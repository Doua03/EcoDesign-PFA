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emat2026" sheetId="1" r:id="rId5"/>
  </sheets>
  <definedNames/>
  <calcPr/>
</workbook>
</file>

<file path=xl/sharedStrings.xml><?xml version="1.0" encoding="utf-8"?>
<sst xmlns="http://schemas.openxmlformats.org/spreadsheetml/2006/main" count="10652" uniqueCount="3309">
  <si>
    <t>.</t>
  </si>
  <si>
    <t>.heading</t>
  </si>
  <si>
    <t>Process</t>
  </si>
  <si>
    <t>Total</t>
  </si>
  <si>
    <t>eco-costs of</t>
  </si>
  <si>
    <t>CED</t>
  </si>
  <si>
    <t>ReCiPe2016</t>
  </si>
  <si>
    <t>ReCiPe</t>
  </si>
  <si>
    <t>EF 3.1</t>
  </si>
  <si>
    <t>ClassyFire</t>
  </si>
  <si>
    <t>chemicals,plastics, and wood</t>
  </si>
  <si>
    <t>Note:</t>
  </si>
  <si>
    <t>.full</t>
  </si>
  <si>
    <t>.      short</t>
  </si>
  <si>
    <t>.                   Simapro</t>
  </si>
  <si>
    <t>Unit</t>
  </si>
  <si>
    <t>eco-costs</t>
  </si>
  <si>
    <t>human health</t>
  </si>
  <si>
    <t>protecting</t>
  </si>
  <si>
    <t>resource</t>
  </si>
  <si>
    <t xml:space="preserve">carbon </t>
  </si>
  <si>
    <t>(Total)</t>
  </si>
  <si>
    <t>endpoint (Pt)</t>
  </si>
  <si>
    <t>ecotoxicity</t>
  </si>
  <si>
    <t>resources</t>
  </si>
  <si>
    <t>subclass</t>
  </si>
  <si>
    <t>alternative names</t>
  </si>
  <si>
    <t xml:space="preserve">Idemat data based on Ecoinvent </t>
  </si>
  <si>
    <t>.nr</t>
  </si>
  <si>
    <t>.    number</t>
  </si>
  <si>
    <t>.                     group</t>
  </si>
  <si>
    <t>euro</t>
  </si>
  <si>
    <r>
      <rPr>
        <rFont val="Arial"/>
        <b/>
        <color theme="1"/>
        <sz val="10.0"/>
      </rPr>
      <t>nature</t>
    </r>
    <r>
      <rPr>
        <rFont val="Arial"/>
        <color theme="1"/>
        <sz val="10.0"/>
      </rPr>
      <t xml:space="preserve">     euro </t>
    </r>
  </si>
  <si>
    <r>
      <rPr>
        <rFont val="Arial"/>
        <b/>
        <color theme="1"/>
        <sz val="10.0"/>
      </rPr>
      <t xml:space="preserve">scarcity </t>
    </r>
    <r>
      <rPr>
        <rFont val="Arial"/>
        <color theme="1"/>
        <sz val="10.0"/>
      </rPr>
      <t xml:space="preserve">  euro</t>
    </r>
  </si>
  <si>
    <r>
      <rPr>
        <rFont val="Arial"/>
        <b/>
        <color theme="1"/>
        <sz val="10.0"/>
      </rPr>
      <t xml:space="preserve">footprint </t>
    </r>
    <r>
      <rPr>
        <rFont val="Arial"/>
        <color theme="1"/>
        <sz val="10.0"/>
      </rPr>
      <t xml:space="preserve"> euro</t>
    </r>
  </si>
  <si>
    <t>kgCO2e</t>
  </si>
  <si>
    <t>MJ</t>
  </si>
  <si>
    <t>World(2010) H/A</t>
  </si>
  <si>
    <t>Pt</t>
  </si>
  <si>
    <t>name</t>
  </si>
  <si>
    <t>can be found at the blackboard of the Delft University of Technology</t>
  </si>
  <si>
    <t>MATERIALS</t>
  </si>
  <si>
    <t>Materials, agricultural, animal production</t>
  </si>
  <si>
    <t>A.010.02.101.240318 Leather Chrome tanning - hides from Argentia</t>
  </si>
  <si>
    <t>agriculture</t>
  </si>
  <si>
    <t xml:space="preserve">kg </t>
  </si>
  <si>
    <t>A.010.02.102.240318 Leather Vegetable tanning - hides from Europe</t>
  </si>
  <si>
    <t>A.010.02.103.250727 Wool (from Australia transported to Rotterdam)</t>
  </si>
  <si>
    <t>A.010.02.104.250727 clean wool in Australia</t>
  </si>
  <si>
    <t>A.010.02.105.250727 greasy wool at farm Australia</t>
  </si>
  <si>
    <t>Materials, agricultural, others</t>
  </si>
  <si>
    <t>A.010.04.101.230701 Crude palm kernel oil refined</t>
  </si>
  <si>
    <t>A.010.04.102.230701 Palm kernel oil - crude from trees</t>
  </si>
  <si>
    <t>A.010.04.103.230701 Potatoe starch DE</t>
  </si>
  <si>
    <t>A.010.04.104.230701 Potatoes DE</t>
  </si>
  <si>
    <t>A.010.04.105.230701 Rape cake Europe</t>
  </si>
  <si>
    <t>A.010.04.106.230701 Soybean meal at coast Brazil</t>
  </si>
  <si>
    <t>A.010.04.107.230701 Soybean meal at coast USA</t>
  </si>
  <si>
    <t>A.010.04.108.230701 Soybean oil - refined at coast Brazil</t>
  </si>
  <si>
    <t>A.010.04.109.230701 Soybean oil - refined at coast USA</t>
  </si>
  <si>
    <t>A.010.04.110.230701 Soybeans grain - harvested and transported to coast Brazil</t>
  </si>
  <si>
    <t>A.010.04.111.230701 Soybeans grain - harvested and transported to coast USA</t>
  </si>
  <si>
    <t>A.010.04.112.230701 Soybean oil crude - degummed at coast Brazil</t>
  </si>
  <si>
    <t>A.010.04.113.230701 Soybean oil, crude - degummed at coast USA</t>
  </si>
  <si>
    <t xml:space="preserve">Materials, agricultural, plant oils </t>
  </si>
  <si>
    <t>A.010.06.101.230701 Palm oil in Rotterdam</t>
  </si>
  <si>
    <t>A.010.06.102.230701 Rape oil Europe</t>
  </si>
  <si>
    <t>A.010.06.103.230701 Soybean oil from Brazil in Rotterdam</t>
  </si>
  <si>
    <t>A.010.06.104.230701 Soybean oil from USA in Rotterdam</t>
  </si>
  <si>
    <t>Materials, agricultural, plant production</t>
  </si>
  <si>
    <t>A.010.08.101.230701 bio-Cotton China</t>
  </si>
  <si>
    <t>A.010.08.102.230701 bio-Cotton India</t>
  </si>
  <si>
    <t>A.010.08.103.230701 bio-Cotton USA</t>
  </si>
  <si>
    <t>A.010.08.104.230701 Cotton China</t>
  </si>
  <si>
    <t>A.010.08.105.230701 Cotton India</t>
  </si>
  <si>
    <t>A.010.08.106.230701 Cotton trade mix China - India - USA</t>
  </si>
  <si>
    <t>A.010.08.107.230701 Cotton USA</t>
  </si>
  <si>
    <t>A.010.08.108.230701 Jute fibres  Bangladesh - rainfed</t>
  </si>
  <si>
    <t>A.010.08.109.230701 Jute fibres trade mix</t>
  </si>
  <si>
    <t>A.010.08.110.230701 Jute fibres Bangladesh</t>
  </si>
  <si>
    <t>A.010.08.111.230701 Jute fibres India</t>
  </si>
  <si>
    <t>A.010.08.112.230701 Jute fibres India - rainfed</t>
  </si>
  <si>
    <t>A.010.08.113.230701 Kenaf fibres Italy</t>
  </si>
  <si>
    <t>A.010.08.114.230701 Kenaf fibres India</t>
  </si>
  <si>
    <t>A.010.08.115.230701 Linseed produced in region</t>
  </si>
  <si>
    <t>A.010.08.116.230701 European Flax scutched - long fibres (12% moisture content)</t>
  </si>
  <si>
    <t>A.010.08.117.250214 Hemp fibres USA (12% moisture content)</t>
  </si>
  <si>
    <t xml:space="preserve">Materials, ceramics </t>
  </si>
  <si>
    <t>A.020.01.101.230701 Alumina</t>
  </si>
  <si>
    <t>ceramics</t>
  </si>
  <si>
    <t xml:space="preserve">Alumina: Aluminium oxide AL2O3 Corundum CASnr 1344-28-1 </t>
  </si>
  <si>
    <t>A.020.01.103.230701 Boron Carbide</t>
  </si>
  <si>
    <t xml:space="preserve">Boron Carbide: B?C Tetraboron carbide CAS nr 12069-32-8 </t>
  </si>
  <si>
    <t>A.020.01.104.230701 Germanium</t>
  </si>
  <si>
    <t xml:space="preserve">Germanium: Ge Element 32 CAS nr7440-56-4 </t>
  </si>
  <si>
    <t>A.020.01.105.230701 Glaze (in addition to Porcelain and Stoneware)</t>
  </si>
  <si>
    <t xml:space="preserve">Glaze: Ceramic coating Glassy finish (no CAS number – depends on formulation) </t>
  </si>
  <si>
    <t>A.020.01.106.230701 Porcelain</t>
  </si>
  <si>
    <t xml:space="preserve">Porcelain: Vitreous china Fine china (no CAS number – mixture of materials) </t>
  </si>
  <si>
    <t>A.020.01.107.230701 PZT Piezo-electric ceramic</t>
  </si>
  <si>
    <t xml:space="preserve">PZT Piezo-electric ceramic: Lead zirconate titanate Pb[ZrxTi1-x]O3 CAS nr 12626-81-2 </t>
  </si>
  <si>
    <t>A.020.01.108.230701 Silicon (purified) for electronics and PV cells</t>
  </si>
  <si>
    <t xml:space="preserve">Silicon (purified): Hyperpure silicon Polycrystalline silicon CAS nr 7440-21-3 </t>
  </si>
  <si>
    <t>A.020.01.109.230701 Silicon carbide</t>
  </si>
  <si>
    <t xml:space="preserve">Silicon Carbide: SiC Carborundum CAS nr 409-21-2 </t>
  </si>
  <si>
    <t>A.020.01.110.230701 Silicon Nitride</t>
  </si>
  <si>
    <t xml:space="preserve">Silicon Nitride: Si3N3 CAS nr 12033-89-5 or 12033-60-2 </t>
  </si>
  <si>
    <t>A.020.01.111.230701 Stoneware</t>
  </si>
  <si>
    <t xml:space="preserve">Stoneware: Ceramic ware Hard-paste pottery (no CAS number – mixture of materials) </t>
  </si>
  <si>
    <t>A.020.01.112.251023 Tungsten Carbide - Cobalt (11%) primary from Canada</t>
  </si>
  <si>
    <t>A.020.01.112</t>
  </si>
  <si>
    <t>Tungsten Carbide - Cobalt (11%) primary from Canada</t>
  </si>
  <si>
    <t xml:space="preserve">Tungsten Carbide: WC Cemented carbide CAS nr 12070-12-1 </t>
  </si>
  <si>
    <t>A.020.01.113.230701 Zirconia</t>
  </si>
  <si>
    <t>A.020.01.113</t>
  </si>
  <si>
    <t>Zirconia</t>
  </si>
  <si>
    <t xml:space="preserve">Zirconia: Zirconium dioxide Cubic zirconia CAS nr 1314-23-4 </t>
  </si>
  <si>
    <t>A.020.01.114.251023 Tungsten Carbide - Cobalt (11%) primary from China</t>
  </si>
  <si>
    <t>A.020.01.114</t>
  </si>
  <si>
    <t>Tungsten Carbide - Cobalt (11%) primary from China</t>
  </si>
  <si>
    <t>A.020.01.115.251023 Tungsten Carbide - Cobalt (11%) chemical recycling Canada estimate</t>
  </si>
  <si>
    <t>A.020.01.115</t>
  </si>
  <si>
    <t>Tungsten Carbide - Cobalt (11%) chemical recycling Canada estimate</t>
  </si>
  <si>
    <t xml:space="preserve">Materials, chemicals, acids inorganic </t>
  </si>
  <si>
    <t>A.030.02.101.230701 HCL (hydrochloric acid)</t>
  </si>
  <si>
    <t>chemicals</t>
  </si>
  <si>
    <t>Halogen hydrides</t>
  </si>
  <si>
    <t xml:space="preserve">HCl (Hydrochloric acid): muriatic acid hydrogen chloride in water CAS nr 7647-01-0 </t>
  </si>
  <si>
    <t>A.030.02.102.230701 Nitric acid</t>
  </si>
  <si>
    <t>Non-metal nitrates</t>
  </si>
  <si>
    <t xml:space="preserve">Nitric acid: aqua fortis spirit of nitre CAS nr 7697-37-2 </t>
  </si>
  <si>
    <t>A.030.02.103.230701 Phosphoric acid</t>
  </si>
  <si>
    <t>Non-metal phosphates</t>
  </si>
  <si>
    <t xml:space="preserve">Phosphoric acid: orthophosphoric acid CAS nr 7664-38-2 </t>
  </si>
  <si>
    <t>A.030.02.104.230701 Sulphuric acid</t>
  </si>
  <si>
    <t>Non-metal sulfates</t>
  </si>
  <si>
    <t xml:space="preserve">Sulphuric acid: oil of vitriol CAS nr 7664-93-9 </t>
  </si>
  <si>
    <t>A.030.02.105.230701 Boric acid</t>
  </si>
  <si>
    <t xml:space="preserve">Boric acid: hydrogen borate orthoboric acid CAS nr 10043-35-3 </t>
  </si>
  <si>
    <t xml:space="preserve">Materials, chemicals, acids organic                                                                     </t>
  </si>
  <si>
    <t>A.030.04.101.230701 Acetic acid trade mix</t>
  </si>
  <si>
    <t>Carboxylic acids</t>
  </si>
  <si>
    <t xml:space="preserve">Acetic acid: ethanoic acid vinegar acid CAS nr 64-19-7 </t>
  </si>
  <si>
    <t>A.030.04.102.230701 Acetic Anhydride trade mix</t>
  </si>
  <si>
    <t>Dicarboxylic acids and derivatives</t>
  </si>
  <si>
    <t xml:space="preserve">Acetic anhydride: acetyl oxide acetic oxide CAS nr 108-24-7 </t>
  </si>
  <si>
    <t>A.030.04.103.230701 Acetic Anhydride Halcon process</t>
  </si>
  <si>
    <t>A.030.04.104.230701 Acetic Anhydride Ketene process</t>
  </si>
  <si>
    <t>A.030.04.105.230701 Chloroacetic acid (1)</t>
  </si>
  <si>
    <t>Alpha-halocarboxylic acids and derivatives</t>
  </si>
  <si>
    <t xml:space="preserve">Chloroacetic acid: monochloroacetic acid CAS nr 79-11-8 </t>
  </si>
  <si>
    <t>A.030.04.106.230701 Maleic acid</t>
  </si>
  <si>
    <t xml:space="preserve">Maleic acid: cis-butenedioic acid CAS nr 110-16-7 </t>
  </si>
  <si>
    <t>A.030.04.107.231020 Adipic acid</t>
  </si>
  <si>
    <t xml:space="preserve">Adipic acid: hexanedioic acid CAS nr 124-04-9 </t>
  </si>
  <si>
    <t>A.030.04.108.240528 Methacrylic acid</t>
  </si>
  <si>
    <t xml:space="preserve">Methacrylic acid: 2-methylpropenoic acid CAS nr 79-41-4 </t>
  </si>
  <si>
    <t>Materials, chemicals, fertilisers inorganic and organic</t>
  </si>
  <si>
    <t>A.030.06.101.230701 Fertilizer-N</t>
  </si>
  <si>
    <t>Fertilizer-N</t>
  </si>
  <si>
    <t>A.030.06.102.230701 Fertilizer-P</t>
  </si>
  <si>
    <t>Fertilizer-P</t>
  </si>
  <si>
    <t>A.030.06.103.230701 Fertilizer-K</t>
  </si>
  <si>
    <t>Fertilizer-K</t>
  </si>
  <si>
    <t xml:space="preserve">Materials, chemicals, gases </t>
  </si>
  <si>
    <t>A.030.08.101.230701 Argon</t>
  </si>
  <si>
    <t>Homogeneous noble gases (class)</t>
  </si>
  <si>
    <t>CAS 7440-37-1</t>
  </si>
  <si>
    <t>A.030.08.102.230701 Carbon dioxide liquid</t>
  </si>
  <si>
    <t>Other non-metal oxides</t>
  </si>
  <si>
    <t>CAS 124-38-9</t>
  </si>
  <si>
    <t>A.030.08.103.230701 Carbon monoxide</t>
  </si>
  <si>
    <t>Homogeneous other non-metal compounds (class)</t>
  </si>
  <si>
    <t>CAS 630-08-0</t>
  </si>
  <si>
    <t>A.030.08.104.230701 Chlorine (US 2011)</t>
  </si>
  <si>
    <t>Homogeneous halogens (class)</t>
  </si>
  <si>
    <t>CAS 7782-50-5</t>
  </si>
  <si>
    <t>A.030.08.105.230803 Chlorine (Plasticseurope 2013)</t>
  </si>
  <si>
    <t>A.030.08.106.230803 Chlorine (European Chlor-Alkali Industry 2022)</t>
  </si>
  <si>
    <t>A.030.08.107.230803 Chlorine (average of USLCI - Plasticseurope - EU chlor-alkali ind.)</t>
  </si>
  <si>
    <t>A.030.08.108.230701 Hydrogen - methane to hydrogen (SMR)</t>
  </si>
  <si>
    <t>-</t>
  </si>
  <si>
    <t>CAS 1333-74-0</t>
  </si>
  <si>
    <t>A.030.08.109.230701 Nitrogen liquid</t>
  </si>
  <si>
    <t>Other non-metal nitrides</t>
  </si>
  <si>
    <t>CAS 7727-37-9</t>
  </si>
  <si>
    <t>A.030.08.110.230701 Oxigen liquid</t>
  </si>
  <si>
    <t>CAS 7782-44-7</t>
  </si>
  <si>
    <t>A.030.08.111.241215 Hydrogen - PEM electrolyzer - electricity from grid average</t>
  </si>
  <si>
    <t>A.030.08.112.241215 Hydrogen - PEM electrolyzer - electricity from offshore wind</t>
  </si>
  <si>
    <t>A.030.08.113.241215 Hydrogen liquefaction - electricity from the grid average</t>
  </si>
  <si>
    <t xml:space="preserve">Materials, chemicals, inorganic </t>
  </si>
  <si>
    <t>A.030.10.101.230701 Ammonia</t>
  </si>
  <si>
    <t>Ammonia: azane NH3 CAS nr 7664-41-7</t>
  </si>
  <si>
    <t>A.030.10.103.230701 Carbon black</t>
  </si>
  <si>
    <t>Carbon black: acetylene black furnace black CAS nr 1333-86-4</t>
  </si>
  <si>
    <t>A.030.10.105.230701 Cobalt oxide (CoO)</t>
  </si>
  <si>
    <t>Transition metal oxides</t>
  </si>
  <si>
    <t>Cobalt oxide: cobalt(IIIII) oxide CAS nr 1308-06-1</t>
  </si>
  <si>
    <t>A.030.10.106.230701 Graphite for batteries</t>
  </si>
  <si>
    <t>Graphite: crystalline carbon CAS nr 7782-42-5</t>
  </si>
  <si>
    <t>A.030.10.107.230701 H2O2 - hydrogen peroxide 70% in H2O</t>
  </si>
  <si>
    <t>Hydrogen peroxide: H2O2 CAS nr 7722-84-1</t>
  </si>
  <si>
    <t>A.030.10.108.230701 Hydrogen Sulfide</t>
  </si>
  <si>
    <t>Other non-metal sulfides</t>
  </si>
  <si>
    <t>Hydrogen sulfide: H2S CAS nr 7783-06-4</t>
  </si>
  <si>
    <t>A.030.10.109.230701 KOH - Potassium hydroxide</t>
  </si>
  <si>
    <t>Alkali metal hydroxides</t>
  </si>
  <si>
    <t>Potassium hydroxide: caustic potash lye CAS nr 1310-58-3</t>
  </si>
  <si>
    <t>A.030.10.110.250311 Hydrated lime (Ca(OH)2), without transport</t>
  </si>
  <si>
    <t>Alkaline earth metal oxides</t>
  </si>
  <si>
    <t>Lime: calcium oxide quicklime CAS nr 1305-78-8</t>
  </si>
  <si>
    <t>A.030.10.111.230701 Manganese dioxide</t>
  </si>
  <si>
    <t>Miscellaneous mixed metal/non-metals (class)</t>
  </si>
  <si>
    <t>Manganese dioxide: manganese(IV) oxide CAS nr 1313-13-9</t>
  </si>
  <si>
    <t>A.030.10.112.230701 Nickel in FerroNickel (27%)</t>
  </si>
  <si>
    <t>Homogeneous transition metal compounds (class)</t>
  </si>
  <si>
    <t>CAS 7440-02-0</t>
  </si>
  <si>
    <t>A.030.10.113.230701 Nickel in Nickel Sufate (22%) for car batteries</t>
  </si>
  <si>
    <t>A.030.10.114.250311 Quicklime  (CaO), without transport</t>
  </si>
  <si>
    <t>Quicklime: calcium oxide burnt lime CAS nr 1305-78-8</t>
  </si>
  <si>
    <t>A.030.10.115.230701 Silicagel</t>
  </si>
  <si>
    <t>Metalloid oxides</t>
  </si>
  <si>
    <t>Silicagel: silicon dioxide (amorphous) CAS nr 112926-00-8</t>
  </si>
  <si>
    <t>A.030.10.116.230701 Sodium Carbonate  (soda Na2CO3)</t>
  </si>
  <si>
    <t>Organic carbonic acids</t>
  </si>
  <si>
    <t>Sodium carbonate: soda ash washing soda CAS nr 497-19-8</t>
  </si>
  <si>
    <t>A.030.10.117.230701 Sodium Chloride (US)</t>
  </si>
  <si>
    <t>Alkali metal chlorides</t>
  </si>
  <si>
    <t>Sodium chloride: common salt table salt CAS nr 7647-14-5</t>
  </si>
  <si>
    <t>A.030.10.118.230803 Sodium Chloride - NaCl (plasticseurope)</t>
  </si>
  <si>
    <t>A.030.10.119.230701 Sodium Chlorite</t>
  </si>
  <si>
    <t>A.030.10.120.230701 Sodium Cumenesulphonate</t>
  </si>
  <si>
    <t>Benzenesulfonic acids and derivatives</t>
  </si>
  <si>
    <t>Sodium cumenesulphonate: sodium isopropylbenzene sulfonate CAS nr 28348-53-0</t>
  </si>
  <si>
    <t>A.030.10.121.230701 Sodium Hydroxide (US 2011)</t>
  </si>
  <si>
    <t>Sodium hydroxide: caustic soda lye CAS nr 1310-73-2</t>
  </si>
  <si>
    <t>A.030.10.122.230803 Sodium Hydroxide - NaOH (European Chlor-Alkali Industry 2022)</t>
  </si>
  <si>
    <t>A.030.10.123.230803 Sodium Hydroxide - NaOH (Plasticseurope 2013)</t>
  </si>
  <si>
    <t>A.030.10.124.230803 Sodium Hydroxide - NaOH (average of USLCI - Plasticseurope - EU Chlor-Alkali ind.)</t>
  </si>
  <si>
    <t>A.030.10.125.230803 Sodium Hypochlorite - NaOCl (European Chlor-Alkali Industry 2022)</t>
  </si>
  <si>
    <t>Alkali metal hypochlorites</t>
  </si>
  <si>
    <t xml:space="preserve">Sodium hypochlorite: bleach liquid chlorine CAS nr 7681-52-9 </t>
  </si>
  <si>
    <t>A.030.10.126.230803 Sodium Hypochlorite - NaOCl (Plasticseurope 2013)</t>
  </si>
  <si>
    <t>Sodium hypochlorite: bleach liquid chlorine CAS nr 7681-52-9</t>
  </si>
  <si>
    <t>A.030.10.127.230701 Sodium Silicate</t>
  </si>
  <si>
    <t>Alkali metal silicates</t>
  </si>
  <si>
    <t>Sodium silicate: water glass CAS nr 1344-09-8 or 15859-24-2</t>
  </si>
  <si>
    <t>A.030.10.128.230701 Sodium Sulphate</t>
  </si>
  <si>
    <t>Alkali metal sulfates</t>
  </si>
  <si>
    <t>Sodium sulphate: Glauber's salt CAS nr 7757-82-6</t>
  </si>
  <si>
    <t>A.030.10.129.230701 Sulphur (local waste at refinery, without transport)</t>
  </si>
  <si>
    <t>Sulphur: brimstone CAS nr 7704-34-9</t>
  </si>
  <si>
    <t>A.030.10.130.230701 Titanium dioxide</t>
  </si>
  <si>
    <t>Titanium dioxide: titania CAS nr 13463-67-7</t>
  </si>
  <si>
    <t>A.030.10.131.230701 Urea (AdBlue)</t>
  </si>
  <si>
    <t>Ureas</t>
  </si>
  <si>
    <t>Urea: carbamide CAS nr 57-13-6</t>
  </si>
  <si>
    <t>A.030.10.132.230701 V2O5 - Vanadium pentoxide</t>
  </si>
  <si>
    <t>Vanadium pentoxide: vanadium(V) oxide CAS nr 1314-62-1</t>
  </si>
  <si>
    <t>A.030.10.133.230701 Zinc Oxide</t>
  </si>
  <si>
    <t>Zinc oxide: zinc white CAS nr 1314-13-2 or 55204-38-1</t>
  </si>
  <si>
    <t>A.030.10.134.230911 LiFePO4 (lithium iron phosphate - LFP)</t>
  </si>
  <si>
    <t>Lithium iron phosphate: LFP CAS nr 15365-14-7</t>
  </si>
  <si>
    <t>A.030.10.135.240318 Chromium oxide</t>
  </si>
  <si>
    <t>Chromium oxide: chromia CAS nr 1308-38-9</t>
  </si>
  <si>
    <t>A.030.10.136.240318 Magnesium oxide</t>
  </si>
  <si>
    <t>Magnesium oxide: magnesia CAS nr 1309-48-4</t>
  </si>
  <si>
    <t>A.030.10.137.240701 Ferric Chloride</t>
  </si>
  <si>
    <t>Ferric chloride: iron(III) chloride CAS nr 7705-08-0</t>
  </si>
  <si>
    <t>A.030.10.138.240901 Talc (Talcum, Mg3Si4O10(OH)2) in Rotterdam</t>
  </si>
  <si>
    <t>Talc: magnesium silicate CAS nr 14807-96-6</t>
  </si>
  <si>
    <t>A.030.10.139.250311 Milled Limestone (CaCO3), without transport</t>
  </si>
  <si>
    <t xml:space="preserve">Materials, chemicals, organic               </t>
  </si>
  <si>
    <t>A.030.14.101.230803 Acetone</t>
  </si>
  <si>
    <t>Carbonyl compounds</t>
  </si>
  <si>
    <t>Acetone: propanone dimethyl ketone CAS nr 67-64-1</t>
  </si>
  <si>
    <t>A.030.14.102.230701 Acetylene (Ethyne)</t>
  </si>
  <si>
    <t>Acetylides (super class)</t>
  </si>
  <si>
    <t>Acetylene: ethyne CAS nr 74-86-2</t>
  </si>
  <si>
    <t>A.030.14.103.230701 Acrylonitrile</t>
  </si>
  <si>
    <t>Organic cyanides</t>
  </si>
  <si>
    <t>Acrylonitrile: vinyl cyanide propenenitrile CAS nr 107-13-1</t>
  </si>
  <si>
    <t>A.030.14.104.230701 Alkenyl Succinic Anhydride (ASA)</t>
  </si>
  <si>
    <t>Alkenyl Succinic Anhydride: ASA CAS nr 26229-09-4 or 70983-53-8</t>
  </si>
  <si>
    <t>A.030.14.105.230701 Alkyl Ketene Dimer (AKD)</t>
  </si>
  <si>
    <t xml:space="preserve">Alkyl Ketene Dimer: AKD CAS nr 144245-85-2 </t>
  </si>
  <si>
    <t>A.030.14.106.230803 Benzene</t>
  </si>
  <si>
    <t>Benzene and substituted derivatives (class)</t>
  </si>
  <si>
    <t>Benzene: benzol CAS nr 71-43-2</t>
  </si>
  <si>
    <t>A.030.14.107.230803 Butadiene</t>
  </si>
  <si>
    <t>Olefins</t>
  </si>
  <si>
    <t>Butadiene: 13-butadiene CAS nr 106-99-0</t>
  </si>
  <si>
    <t>A.030.14.108.230701 Butane</t>
  </si>
  <si>
    <t>Alkanes</t>
  </si>
  <si>
    <t>Butane: n-butane liquefied petroleum gas (LPG) CAS nr 106-97-8</t>
  </si>
  <si>
    <t>A.030.14.109.230701 Cumene hydroperoxide</t>
  </si>
  <si>
    <t>Cumenes</t>
  </si>
  <si>
    <t>Cumene hydroperoxide: isopropylbenzene hydroperoxide CAS nr 80-15-9</t>
  </si>
  <si>
    <t>A.030.14.110.230803 Diethylene glycol (DEG)</t>
  </si>
  <si>
    <t>Ethers</t>
  </si>
  <si>
    <t>Diethylene glycol: DEG CAS nr 111-46-6</t>
  </si>
  <si>
    <t>A.030.14.111.230701 Dipropylene glycol monomethyl ether</t>
  </si>
  <si>
    <t>Dipropylene glycol monomethyl ether: DPM CAS nr 34590-94-8</t>
  </si>
  <si>
    <t>A.030.14.112.230701 Ethanol (alcohol) bio-based from agricultural waste</t>
  </si>
  <si>
    <t>Alcohols and polyols</t>
  </si>
  <si>
    <t>Ethanol: ethyl alcohol grain alcohol CAS nr 64-17-5</t>
  </si>
  <si>
    <t>A.030.14.113.230701 Ethanol (alcohol) synthetic</t>
  </si>
  <si>
    <t>A.030.14.114.230701 Ethylbenzene</t>
  </si>
  <si>
    <t>Ethylbenzene: phenylethane CAS nr 100-41-4</t>
  </si>
  <si>
    <t>A.030.14.115.230803 Ethylene (Ethene)</t>
  </si>
  <si>
    <t>Unsaturated aliphatic hydrocarbons</t>
  </si>
  <si>
    <t>Ethylene: ethene bicarbureted hydrogen CAS nr 74-85-1</t>
  </si>
  <si>
    <t>A.030.14.116.230701 Ethylene dichloride</t>
  </si>
  <si>
    <t>Organochlorides (class)</t>
  </si>
  <si>
    <t>Ethylene dichloride: 12-dichloroethane CAS nr 107-06-2</t>
  </si>
  <si>
    <t>A.030.14.117.230701 Ethylene oxide</t>
  </si>
  <si>
    <t>Epoxides (class)</t>
  </si>
  <si>
    <t>Ethylene oxide: oxirane CAS nr 75-21-8</t>
  </si>
  <si>
    <t>A.030.14.118.230701 Methanol</t>
  </si>
  <si>
    <t>Alcohols and polyols (class)</t>
  </si>
  <si>
    <t>Methanol: methyl alcohol wood alcohol CAS nr 67-56-1</t>
  </si>
  <si>
    <t>A.030.14.119.230701 Methylamine</t>
  </si>
  <si>
    <t>Amines</t>
  </si>
  <si>
    <t>Methylamine: aminomethane CAS nr 74-89-5</t>
  </si>
  <si>
    <t>A.030.14.120.230803 Monoethylene glycol (MEG)</t>
  </si>
  <si>
    <t>Monoethylene glycol: ethylene glycol12-ethanediol CAS nr 107-21-1</t>
  </si>
  <si>
    <t>A.030.14.121.240822 Pentane blowing agent</t>
  </si>
  <si>
    <t>Pentane blowing agent: pentane (as blowing agent) CAS nr 109-66-0</t>
  </si>
  <si>
    <t>A.030.14.122.230701 Propane</t>
  </si>
  <si>
    <t>Propane: n-propane CAS nr 74-98-6</t>
  </si>
  <si>
    <t>A.030.14.123.230803 Propylene (Propene)</t>
  </si>
  <si>
    <t>Propylene: propene CAS nr 115-07-1</t>
  </si>
  <si>
    <t>A.030.14.124.230701 Phenol</t>
  </si>
  <si>
    <t>1-hydroxy-4-unsubstituted benzenoids</t>
  </si>
  <si>
    <t>Phenol: hydroxybenzene carbolic acid CAS nr 108-95-2</t>
  </si>
  <si>
    <t>A.030.14.125.230701 Rosin</t>
  </si>
  <si>
    <t>Rosin: colophony CAS nr 8050-09-7</t>
  </si>
  <si>
    <t>A.030.14.126.230701 Styrene</t>
  </si>
  <si>
    <t>Styrenes</t>
  </si>
  <si>
    <t>Styrene: vinylbenzene ethenylbenzene CAS nr 100-42-5</t>
  </si>
  <si>
    <t>A.030.14.127.230803 Toluene</t>
  </si>
  <si>
    <t>Toluenes</t>
  </si>
  <si>
    <t>Toluene: methylbenzene toluol CAS nr 108-88-3</t>
  </si>
  <si>
    <t>A.030.14.128.230803 Triethylene glycol (TEG)</t>
  </si>
  <si>
    <t>Triethylene glycol: TEG CAS nr 112-27-6</t>
  </si>
  <si>
    <t>A.030.14.129.230803 Xylene</t>
  </si>
  <si>
    <t>Xylenes</t>
  </si>
  <si>
    <t>Xylene: dimethylbenzene CAS nr 1330-20-7</t>
  </si>
  <si>
    <t>A.030.14.130.230813 Acrylonitrile from propylene ammoxidation</t>
  </si>
  <si>
    <t>Acrylonitrile: vinyl cyanide propenenitrile CAS nr 107-13-1 (duplicate of 3)</t>
  </si>
  <si>
    <t>A.030.14.132.230813 Hydrogen cyanide from propylene ammoxidation</t>
  </si>
  <si>
    <t>Hydrogen cyanide: prussic acid CAS nr 74-90-8</t>
  </si>
  <si>
    <t>A.030.14.133.240324 Grease - Lithium-based</t>
  </si>
  <si>
    <t>A.030.14.134.240324 Grease - polymer (Polyalphaolefin + polypropylene)</t>
  </si>
  <si>
    <t>A.030.14.136.240702 Carnauba Wax from Brazil in Rotterdam (De Monchy)</t>
  </si>
  <si>
    <t>Materials, chemicals, organic, solvents</t>
  </si>
  <si>
    <t>A.030.18.101.230701 1-Butanol</t>
  </si>
  <si>
    <t xml:space="preserve">1-Butanol: butyl alcohol n-Butanol CAS nr 71-36-3 </t>
  </si>
  <si>
    <t>A.030.18.102.230701 1-Pentanol</t>
  </si>
  <si>
    <t xml:space="preserve">1-Pentanol: amyl alcohol pentyl alcohol CAS nr 71-41-0 </t>
  </si>
  <si>
    <t>A.030.18.103.230701 1.4-Dioxane</t>
  </si>
  <si>
    <t>1,4-dioxanes</t>
  </si>
  <si>
    <t xml:space="preserve">14-Dioxane: diethylene dioxide dioxane CAS nr 123-91-1 </t>
  </si>
  <si>
    <t>A.030.18.104.230701 2-Butanol</t>
  </si>
  <si>
    <t xml:space="preserve">2-Butanol: sec-butyl alcohol 2-hydroxybutane CAS nr 78-92-2 </t>
  </si>
  <si>
    <t>A.030.18.105.230701 2-Methyl-1-butanol</t>
  </si>
  <si>
    <t xml:space="preserve">2-Methyl-1-butanol: active amyl alcohol isoamyl alcohol CAS nr 137-32-6 </t>
  </si>
  <si>
    <t>A.030.18.106.230701 2-Methyl-1-propanol</t>
  </si>
  <si>
    <t xml:space="preserve">2-Methyl-1-propanol: isobutanol isobutyl alcohol CAS nr 78-83-1 </t>
  </si>
  <si>
    <t>A.030.18.107.230701 2-Methyl-2-butanol</t>
  </si>
  <si>
    <t xml:space="preserve">2-Methyl-2-butanol: tert-amyl alcohol 2-methylbutan-2-ol CAS nr 75-85-4 </t>
  </si>
  <si>
    <t>A.030.18.108.230701 2-Methylpentane</t>
  </si>
  <si>
    <t xml:space="preserve">2-Methylpentane: isohexane 2-methylpentane CAS nr 107-83-5 </t>
  </si>
  <si>
    <t>A.030.18.109.230701 3-Methyl-1-butanol</t>
  </si>
  <si>
    <t>3-Methyl-1-butanol: isoamyl alcohol isopentyl alcohol CAS nr 123-51-3</t>
  </si>
  <si>
    <t>A.030.18.110.230701 3-Methyl-1-butyl acetate</t>
  </si>
  <si>
    <t>Carboxylic acid derivatives</t>
  </si>
  <si>
    <t xml:space="preserve">3-Methyl-1-butyl acetate: isoamyl acetate banana oil CAS nr 123-92-2 </t>
  </si>
  <si>
    <t>A.030.18.111.230701 4-Methyl-2-pentanone</t>
  </si>
  <si>
    <t xml:space="preserve">4-Methyl-2-pentanone: methyl isobutyl ketone (MIBK) CAS nr 108-10-1 </t>
  </si>
  <si>
    <t>A.030.18.112.230701 Acetic acid</t>
  </si>
  <si>
    <t>A.030.18.114.230701 Acetone</t>
  </si>
  <si>
    <t xml:space="preserve">Acetone: propanone dimethyl ketone CAS nr 67-64-1 </t>
  </si>
  <si>
    <t>A.030.18.115.230701 Benzal chloride</t>
  </si>
  <si>
    <t xml:space="preserve">Benzal chloride: benzylidene chloride CAS nr 98-87-3 </t>
  </si>
  <si>
    <t>A.030.18.116.230701 Benzaldehyde</t>
  </si>
  <si>
    <t>Benzoyl derivatives</t>
  </si>
  <si>
    <t xml:space="preserve">Benzaldehyde: benzenecarbonal benzoic aldehyde CAS nr 100-52-7 </t>
  </si>
  <si>
    <t>A.030.18.117.230701 Benzene chlorination (per kg benzene)</t>
  </si>
  <si>
    <t xml:space="preserve">Benzene chlorination: chlorinated benzene derivatives CAS nr 108-90-7 (for monochlorobenzene) </t>
  </si>
  <si>
    <t>A.030.18.118.230701 Benzyl alcohol</t>
  </si>
  <si>
    <t>Benzyl alcohols</t>
  </si>
  <si>
    <t xml:space="preserve">Benzyl alcohol: phenylmethanol CAS nr 100-51-6 </t>
  </si>
  <si>
    <t>A.030.18.119.230701 Benzyl chloride</t>
  </si>
  <si>
    <t>Benzyl halides</t>
  </si>
  <si>
    <t xml:space="preserve">Benzyl chloride: chloromethylbenzene CAS nr 100-44-7 </t>
  </si>
  <si>
    <t>A.030.18.120.230701 Butane-1.4-diol</t>
  </si>
  <si>
    <t xml:space="preserve">Butane-14-diol: 14-butylene glycol CAS nr 110-63-4 </t>
  </si>
  <si>
    <t>A.030.18.121.230701 Butane-1.4-diol dehydrogenation</t>
  </si>
  <si>
    <t xml:space="preserve">Butane: n-butane liquefied petroleum gas (LPG) CAS nr 106-97-8 </t>
  </si>
  <si>
    <t>A.030.18.122.230701 Butane oxidation</t>
  </si>
  <si>
    <t>A.030.18.123.230701 Butanes from butene</t>
  </si>
  <si>
    <t>A.030.18.124.230701 Butene hydration (production of Butanol)</t>
  </si>
  <si>
    <t>A.030.18.125.230701 Butene hydroformylation</t>
  </si>
  <si>
    <t>A.030.18.126.230701 Butyl acetate</t>
  </si>
  <si>
    <t xml:space="preserve">Butyl acetate: n-butyl acetate acetic acid butyl ester CAS nr 123-86-4 </t>
  </si>
  <si>
    <t>A.030.18.127.230701 Butyrolactone</t>
  </si>
  <si>
    <t>Gamma butyrolactones</t>
  </si>
  <si>
    <t xml:space="preserve">Butyrolactone: ?-butyrolactone (GBL) CAS nr 96-48-0 </t>
  </si>
  <si>
    <t>A.030.18.128.230701 Cyclohexane</t>
  </si>
  <si>
    <t>Cycloalkanes</t>
  </si>
  <si>
    <t xml:space="preserve">Cyclohexane: hexahydrobenzene CAS nr 110-82-7 </t>
  </si>
  <si>
    <t>A.030.18.129.230701 Cyclohexanone</t>
  </si>
  <si>
    <t xml:space="preserve">Cyclohexanone: cyclohexyl ketone CAS nr 108-94-1 </t>
  </si>
  <si>
    <t>A.030.18.130.230701 Ethanol from ethylene</t>
  </si>
  <si>
    <t xml:space="preserve">Ethanol: ethyl alcohol grain alcohol CAS nr 64-17-5 </t>
  </si>
  <si>
    <t>A.030.18.131.230701 Diethyl ether</t>
  </si>
  <si>
    <t xml:space="preserve">Diethyl ether: ethyl ether ether CAS nr 60-29-7 </t>
  </si>
  <si>
    <t>A.030.18.132.230701 Dimethyl sulfoxide</t>
  </si>
  <si>
    <t>Sulfoxides (class)</t>
  </si>
  <si>
    <t xml:space="preserve">Dimethyl sulfoxide: DMSO CAS nr 67-68-5 </t>
  </si>
  <si>
    <t>A.030.18.133.230701 Dimethylamine</t>
  </si>
  <si>
    <t xml:space="preserve">Dimethylamine: DMA methanamine CAS nr 124-40-3 </t>
  </si>
  <si>
    <t>A.030.18.134.230701 Ethyl acetate from ethanol and acetic acid</t>
  </si>
  <si>
    <t xml:space="preserve">Ethyl acetate: acetic acid ethyl ester ethyl ethanoate CAS nr 141-78-6 </t>
  </si>
  <si>
    <t>A.030.18.135.230701 Ethyl acetate from Butane oxidation</t>
  </si>
  <si>
    <t>A.030.18.136.230701 Ethyl acetate, from Ethyl Alcohol</t>
  </si>
  <si>
    <t>A.030.18.137.230701 Ethylene glycol diethyl ether</t>
  </si>
  <si>
    <t xml:space="preserve">Ethylene glycol diethyl ether: diethoxyethane glycol diethyl ether CAS nr 629-14-1 </t>
  </si>
  <si>
    <t>A.030.18.138.230701 Ethylene glycol dimethyl ether</t>
  </si>
  <si>
    <t xml:space="preserve">Ethylene glycol dimethyl ether: dimethoxyethane monoglyme CAS nr 110-71-4 </t>
  </si>
  <si>
    <t>A.030.18.139.230701 Ethylene glycol monoethyl ether</t>
  </si>
  <si>
    <t xml:space="preserve">Ethylene glycol monoethyl ether: 2-ethoxyethanol cellosolve CAS nr 110-80-5 </t>
  </si>
  <si>
    <t>A.030.18.140.230701 Ethylene hydration</t>
  </si>
  <si>
    <t xml:space="preserve">Ethylene: ethene bicarbureted hydrogen CAS nr 74-85-1 </t>
  </si>
  <si>
    <t>A.030.18.141.230701 Formic acid by butane oxidation</t>
  </si>
  <si>
    <t xml:space="preserve">Formic acid by butane oxidation: (process no CAS number) </t>
  </si>
  <si>
    <t>A.030.18.142.230701 Formic acid by methyl formate hydrolysis</t>
  </si>
  <si>
    <t xml:space="preserve">Formic acid by methyl formate hydrolysis: (process no CAS number) </t>
  </si>
  <si>
    <t>A.030.18.143.230701 Hydrochloric acid (better is A.030.02.101. of plastic europe)</t>
  </si>
  <si>
    <t xml:space="preserve">Hydrochloric acid: muriatic acid hydrogen chloride in water CAS nr 7647-01-0 </t>
  </si>
  <si>
    <t>A.030.18.144.230701 Hydrogen from Reppe process</t>
  </si>
  <si>
    <t xml:space="preserve">Hydrogen: molecular hydrogen dihydrogen CAS nr 1333-74-0 </t>
  </si>
  <si>
    <t>A.030.18.145.230701 Isobutyl acetate</t>
  </si>
  <si>
    <t xml:space="preserve">Isobutyl acetate: 2-methylpropyl acetate isobutyl ethanoate CAS nr 110-19-0 </t>
  </si>
  <si>
    <t>A.030.18.146.230701 Isopropyl acetate</t>
  </si>
  <si>
    <t xml:space="preserve">Isopropyl acetate: 2-propanol acetate acetic acid isopropyl ester CAS nr 108-21-4 </t>
  </si>
  <si>
    <t>A.030.18.147.230701 Methyl acetate</t>
  </si>
  <si>
    <t xml:space="preserve">Methyl acetate: acetic acid methyl ester methyl ethanoate CAS nr 79-20-9 </t>
  </si>
  <si>
    <t>A.030.18.148.230701 Methyl ethyl ketone</t>
  </si>
  <si>
    <t xml:space="preserve">Methyl ethyl ketone: butanone MEK CAS nr 78-93-3 </t>
  </si>
  <si>
    <t>A.030.18.149.230701 Methyl formate</t>
  </si>
  <si>
    <t xml:space="preserve">Methyl formate: formic acid methyl ester methyl methanoate CAS nr 107-31-3 </t>
  </si>
  <si>
    <t>A.030.18.150.230701 Methylcyclohexane</t>
  </si>
  <si>
    <t xml:space="preserve">Methylcyclohexane: cyclohexylmethane CAS nr 108-87-2 </t>
  </si>
  <si>
    <t>A.030.18.151.230701 Monochlorobenzene</t>
  </si>
  <si>
    <t>Halobenzenes</t>
  </si>
  <si>
    <t xml:space="preserve">Monochlorobenzene: chlorobenzene CAS nr 108-90-7 </t>
  </si>
  <si>
    <t>A.030.18.152.230701 N-Dimethyl-2-pyrrolidone</t>
  </si>
  <si>
    <t>N-alkylpyrrolidines</t>
  </si>
  <si>
    <t xml:space="preserve">N-Dimethyl-2-pyrrolidone: N-methylpyrrolidone NMP CAS nr 872-50-4 </t>
  </si>
  <si>
    <t>A.030.18.153.230701 N.N-Dimethylformamide</t>
  </si>
  <si>
    <t xml:space="preserve">NN-Dimethylformamide: DMF CAS nr 68-12-2 </t>
  </si>
  <si>
    <t>A.030.18.154.230701 o-dichlorobenzene</t>
  </si>
  <si>
    <t>o-Dichlorobenzene: 12-dichlorobenzene ortho-dichlorobenzene CAS nr 95-50-1</t>
  </si>
  <si>
    <t>A.030.18.155.230701 p-dichlorobenzene</t>
  </si>
  <si>
    <t>p-Dichlorobenzene: 14-dichlorobenzene para-dichlorobenzene CAS nr 106-46-7</t>
  </si>
  <si>
    <t>A.030.18.156.230701 Propanal</t>
  </si>
  <si>
    <t xml:space="preserve">Propanal: propionaldehyde CAS nr 123-38-6 </t>
  </si>
  <si>
    <t>A.030.18.157.230701 Propanol</t>
  </si>
  <si>
    <t xml:space="preserve">Propanol: 1-propanol (n-propanol) 2-propanol (isopropanol) CAS nr 71-23-8 (1-propanol) 67-63-0 (2-propanol) </t>
  </si>
  <si>
    <t>A.030.18.158.230701 Propylene ammooxidation</t>
  </si>
  <si>
    <t xml:space="preserve">Propylene ammoxidation: (process no CAS number) </t>
  </si>
  <si>
    <t>A.030.18.159.230701 Propylene hydroformylation</t>
  </si>
  <si>
    <t xml:space="preserve">Propylene hydroformylation: (process no CAS number) </t>
  </si>
  <si>
    <t>A.030.18.160.230701 Tetrahydrofuran</t>
  </si>
  <si>
    <t>Tetrahydrofurans (class)</t>
  </si>
  <si>
    <t xml:space="preserve">Tetrahydrofuran (THF): oxolane butylene oxide CAS nr 109-99-9 </t>
  </si>
  <si>
    <t xml:space="preserve">Materials, chemicals, pesticides </t>
  </si>
  <si>
    <t>A.030.22.101.230701 Pesticides (unspecified)</t>
  </si>
  <si>
    <t>Materials, chemicals, pesticides, fungicides</t>
  </si>
  <si>
    <t>A.030.23.101.230808 Benomyl (1-(Butylcarbamoyl)-1H-1.3-benzimidazol-2-yl methylcarbamate)</t>
  </si>
  <si>
    <t>Benzimidazoles</t>
  </si>
  <si>
    <t xml:space="preserve">CASnr 17804-35-2 </t>
  </si>
  <si>
    <t>A.030.23.102.230808 Captan ((3aR.7aS)-2-[(Trichloromethyl)sulfanyl]-3a.4.7.7a-te</t>
  </si>
  <si>
    <t>Isoindolines</t>
  </si>
  <si>
    <t xml:space="preserve">CASnr 133-06-2 </t>
  </si>
  <si>
    <t>A.030.23.103.230808 Ferbam (Iron(III) Dimethyldithiocarbamate)</t>
  </si>
  <si>
    <t>Organic transition metal salts</t>
  </si>
  <si>
    <t xml:space="preserve">CASnr 14484-64-1 </t>
  </si>
  <si>
    <t>A.030.23.104.230808 Maneb ( [[2-[(Dithio Carboxyl)amino]ethyl]carbodithioate]](2-)-kS,kS']manganese)</t>
  </si>
  <si>
    <t xml:space="preserve">CASnr 12427-38-2 </t>
  </si>
  <si>
    <t>Materials, chemicals, pesticides, herbicides</t>
  </si>
  <si>
    <t>A.030.24.101.230808 2.4-D (2.4-Dichlorophenoxyacetic acid)</t>
  </si>
  <si>
    <t>Phenoxyacetic acid derivatives</t>
  </si>
  <si>
    <t xml:space="preserve">CASnr 94-75-7 </t>
  </si>
  <si>
    <t>A.030.24.102.230808 2.4.5-T (2.4.5-Trichlorophenoxyacetic acid)</t>
  </si>
  <si>
    <t xml:space="preserve">CASnr 93-76-5 </t>
  </si>
  <si>
    <t>A.030.24.103.230808 Alachlor (2-Chloro-N-(2.6-diethylphenyl)-N-(methoxymethyl)acetamide)</t>
  </si>
  <si>
    <t>Anilides</t>
  </si>
  <si>
    <t xml:space="preserve">CAS nr 15972-60-8 </t>
  </si>
  <si>
    <t>A.030.24.104.230808 Bentazone (3-isopropyl-2.1.3-benzothiadiazine-4-one-2.2-dioxide)</t>
  </si>
  <si>
    <t>Benzenoids</t>
  </si>
  <si>
    <t xml:space="preserve">CASnr  25057-89-0 </t>
  </si>
  <si>
    <t>A.030.24.105.230808 Butylate (Butylated hydroxytoluene 2.6-Di-tert-butyl-4-methylphenol)</t>
  </si>
  <si>
    <t>Phenylpropanes</t>
  </si>
  <si>
    <t xml:space="preserve">CASnr 128-37-0 </t>
  </si>
  <si>
    <t>A.030.24.106.230808 Chloramben (3-Amino-2.5-dichlorobenzoic acid)</t>
  </si>
  <si>
    <t>Benzoic acids and derivatives</t>
  </si>
  <si>
    <t xml:space="preserve">CASnr 133-90-4 </t>
  </si>
  <si>
    <t>A.030.24.107.230808 Chlorsulfuron (2-chloro-N-[(4-methoxy-6-methyl-1.3.5-triazin-2-yl)carbamoyl]benzene-1-sulfonamide)</t>
  </si>
  <si>
    <t>Sulfonylureas</t>
  </si>
  <si>
    <t xml:space="preserve">CASnr 64902-72-3 </t>
  </si>
  <si>
    <t>A.030.24.108.230808 Cyanazine (2-[[4-Chloro-6-(ethylamino)-1.3.5-triazin-2-yl]amino]-2-methylpropanenitrile)</t>
  </si>
  <si>
    <t>Aminotriazines</t>
  </si>
  <si>
    <t xml:space="preserve">CASnr  21725-46-2 </t>
  </si>
  <si>
    <t>A.030.24.109.230808 Dicamba (3.6-Dichloro-2-methoxybenzoic acid)</t>
  </si>
  <si>
    <t xml:space="preserve">CASnr 1918-00-9  </t>
  </si>
  <si>
    <t>A.030.24.110.230808 Dinoseb (2-(Butan-2-yl)-4.6-dinitrophenol)</t>
  </si>
  <si>
    <t>Nitrophenols</t>
  </si>
  <si>
    <t xml:space="preserve">CASnr 88-85-7  </t>
  </si>
  <si>
    <t>A.030.24.111.230808 Diquat (6.7-dihydrodipyrido[1.2-a:2'.1'-c]pyrazine-5.8-diium dibromide)</t>
  </si>
  <si>
    <t>Pyridinium derivatives</t>
  </si>
  <si>
    <t xml:space="preserve">CASnr  85-00-7 </t>
  </si>
  <si>
    <t>A.030.24.112.230808 Diuron  DCMU (3-(3.4-dichlorophenyl)-1.1-dimethylurea)</t>
  </si>
  <si>
    <t>N-phenylureas</t>
  </si>
  <si>
    <t xml:space="preserve">CASnr 330-54-1 </t>
  </si>
  <si>
    <t>A.030.24.113.230808 EPTC ( S-Ethyl dipropylthiocarbamate)</t>
  </si>
  <si>
    <t>Thiocarbamic acid derivatives</t>
  </si>
  <si>
    <t xml:space="preserve">CASnr  759-94-4 </t>
  </si>
  <si>
    <t>A.030.24.114.230808 Fluazifop-butyl ( (2R)-2-(4-([5-(trifluoromethyl)-2-pyridyl]oxy)phenoxy)propanoic acid)</t>
  </si>
  <si>
    <t>Benzene and substituted derivatives</t>
  </si>
  <si>
    <t xml:space="preserve">CASnr 69335-91-7 </t>
  </si>
  <si>
    <t>A.030.24.115.230808 Fluometuron (N,N-Dimethyl-N'-[3-(trifluoromethyl)phenyl]urea)</t>
  </si>
  <si>
    <t xml:space="preserve">CASnr 2164-17-2 </t>
  </si>
  <si>
    <t>A.030.24.116.230808 Glyphosate (N-(Phosphonomethyl)glycine)</t>
  </si>
  <si>
    <t>Amino acids, peptides, and analogues</t>
  </si>
  <si>
    <t xml:space="preserve">CASnr  1071-83-6 </t>
  </si>
  <si>
    <t>A.030.24.117.230808 Linuron (3-(3.4-dichlorophenyl)-1-methoxy-1-methylurea)</t>
  </si>
  <si>
    <t xml:space="preserve">CASnr  330-55-2  </t>
  </si>
  <si>
    <t>A.030.24.118.230808 MCPA (2-methyl-4-chlorophenoxyacetic acid)</t>
  </si>
  <si>
    <t xml:space="preserve">CASnr 94-74-6 </t>
  </si>
  <si>
    <t>A.030.24.119.230808 Metolachlor ((RS)-2-Chloro-N-(2-ethyl-6-methyl-phenyl)-N-(1-methoxypropan-2-yl)acetamide)</t>
  </si>
  <si>
    <t xml:space="preserve">CASnr  51218-45-2 </t>
  </si>
  <si>
    <t>A.030.24.120.230808 Paraquat (1.1'-Dimethyl[4.4'-bipyridine]-1.1'-diium dichloride)</t>
  </si>
  <si>
    <t>Pyridines and derivatives</t>
  </si>
  <si>
    <t xml:space="preserve">CASnr  1910-42-5 </t>
  </si>
  <si>
    <t>A.030.24.121.230808 Propachlor (2-Chloro-N-phenyl-N-(propan-2-yl)acetamide)</t>
  </si>
  <si>
    <t xml:space="preserve">CASnr 1918-16-7 </t>
  </si>
  <si>
    <t>A.030.24.122.230808 Propanil (N-(3.4-Dichlorophenyl)propanamide)</t>
  </si>
  <si>
    <t xml:space="preserve">CASnr 709-98-8  </t>
  </si>
  <si>
    <t>A.030.24.123.230808 Trifluralin (2.6-Dinitro-N.N-dipropyl-4-(trifluoromethyl)aniline)</t>
  </si>
  <si>
    <t>Aniline and substituted anilines</t>
  </si>
  <si>
    <t xml:space="preserve">CASnr 1582-09-8 </t>
  </si>
  <si>
    <t>Materials, chemicals, pesticides, insecticides</t>
  </si>
  <si>
    <t>A.030.25.101.230808 Carbaryl (Naphthalen-1-yl methylcarbamate)</t>
  </si>
  <si>
    <t>Naphthalenes</t>
  </si>
  <si>
    <t xml:space="preserve">CASnr 63-25-2  </t>
  </si>
  <si>
    <t>A.030.25.102.230808 Carbofuran (2.2-Dimethyl-2.3-dihydro-1-benzofuran-7-yl methylcarbamate)</t>
  </si>
  <si>
    <t>Coumarans</t>
  </si>
  <si>
    <t xml:space="preserve">CASnr 1563-66-2 </t>
  </si>
  <si>
    <t>A.030.25.103.230808 Chlordimeform (N'-(4-chloro-2-methylphenyl)-N.N-dimethylmethanimidamide)</t>
  </si>
  <si>
    <t xml:space="preserve">CASnr 6164-98-3 </t>
  </si>
  <si>
    <t>A.030.25.104.230808 Cypermethrin ([Cyano-(3-phenoxyphenyl)methyl]3-(2.2-dichloroethenyl)-2.2-dimethylcyclopropane-1-carboxylate)</t>
  </si>
  <si>
    <t>Fatty acid esters</t>
  </si>
  <si>
    <t xml:space="preserve">CASnr 52315-07-8 </t>
  </si>
  <si>
    <t>A.030.25.105.230808 Lindane (Hexachlorocyclohexane, or benzene hexachloride, BHC)</t>
  </si>
  <si>
    <t>Cyclohexyl halides</t>
  </si>
  <si>
    <t xml:space="preserve">CASnr 58-89-9  </t>
  </si>
  <si>
    <t>A.030.25.106.230808 Malathion (Diethyl 2-[(dimethoxyphosphorothioyl)sulfanyl]butanedioate)</t>
  </si>
  <si>
    <t xml:space="preserve">CASnr 121-75-5 </t>
  </si>
  <si>
    <t>A.030.25.107.230808 Methoxychlor (1.1'-(2.2.2-Trichloroethane-1.1-diyl)bis(4-methoxybenzene))</t>
  </si>
  <si>
    <t>Diphenylmethanes</t>
  </si>
  <si>
    <t xml:space="preserve">Cas nr. 72-43-5 </t>
  </si>
  <si>
    <t>A.030.25.108.230808 Methyl  parathion (O.O-Dimethyl O-4-nitrophenyl phosphorothioate)</t>
  </si>
  <si>
    <t>Thiophosphoric acid esters</t>
  </si>
  <si>
    <t xml:space="preserve">CASnr 298-00-0 </t>
  </si>
  <si>
    <t>A.030.25.109.230808 Parathion (O.O-Diethyl O-(4-nitrophenyl) phosphorothioate)</t>
  </si>
  <si>
    <t xml:space="preserve">CASnr 56-38-2 </t>
  </si>
  <si>
    <t>A.030.25.110.230808 Phorate (O.O-Diethyl S-[(ethylsulfanyl)methyl] phosphorodithioate)</t>
  </si>
  <si>
    <t>Dithiophosphate O-esters</t>
  </si>
  <si>
    <t xml:space="preserve">CASnr 298-02-2 </t>
  </si>
  <si>
    <t>A.030.25.111.230808 Toxaphene (Polychlorocamphene)</t>
  </si>
  <si>
    <t xml:space="preserve">CASnr 8001-35-2 </t>
  </si>
  <si>
    <t>Materials, chemicals, printing ink</t>
  </si>
  <si>
    <t>A.030.26.101.230701 Printing Ink Black - conventional</t>
  </si>
  <si>
    <t>A.030.26.102.230701 Printing Ink Black - UV inkjet</t>
  </si>
  <si>
    <t>A.030.26.103.230701 Printing Ink Magenta - conventional</t>
  </si>
  <si>
    <t>A.030.26.104.230701 Printing Ink Magenta - UV inkjet</t>
  </si>
  <si>
    <t>A.030.26.105.230701 Printing Ink Varnish - conventional</t>
  </si>
  <si>
    <t>A.030.26.106.230701 Printing Ink White - UV inkjet</t>
  </si>
  <si>
    <t>Materials, chemicals, refrigerants</t>
  </si>
  <si>
    <t>A.030.28.101.230701 R-1234 yf</t>
  </si>
  <si>
    <t>Vinyl fluorides</t>
  </si>
  <si>
    <t xml:space="preserve">CASnr 754-12-1	 </t>
  </si>
  <si>
    <t>A.030.28.102.230701 R-134a</t>
  </si>
  <si>
    <t>Organofluorides (class)</t>
  </si>
  <si>
    <t xml:space="preserve">CASnr 811-97-2 </t>
  </si>
  <si>
    <t>A.030.28.103.230701 R-744 (CO2)</t>
  </si>
  <si>
    <t xml:space="preserve">CASnr 124-38-9	 </t>
  </si>
  <si>
    <t>Materials, chemicals, washing agents, auxiliaries</t>
  </si>
  <si>
    <t>A.030.30.101.230701 Carboxymethyl cellulose</t>
  </si>
  <si>
    <t>A.030.30.102.230701 Fluorescent whitening agent DAS1 - triazinylaminostilben type</t>
  </si>
  <si>
    <t>A.030.30.103.230701 Fluorescent whitening agent - distyrylbiphenyl type</t>
  </si>
  <si>
    <t>A.030.30.104.230701 Sodium dodecylbenzenesulfonate</t>
  </si>
  <si>
    <t>Materials, chemicals, washing agents, precursors</t>
  </si>
  <si>
    <t>A.030.36.101.230701 3-dimethylamino-propylamine</t>
  </si>
  <si>
    <t>3-Dimethylaminopropylamine: DMAPA CAS nr 109-55-7</t>
  </si>
  <si>
    <t>A.030.36.102.230701 Aminoethylethanol-amine</t>
  </si>
  <si>
    <t xml:space="preserve">Aminoethylethanolamine: AEEA CAS nr 111-41-1 </t>
  </si>
  <si>
    <t>A.030.36.103.230701 Beef tallow</t>
  </si>
  <si>
    <t>A.030.36.104.230701 C16–C18 fatty alcohol (palm oil)</t>
  </si>
  <si>
    <t xml:space="preserve">C16–C18 fatty alcohol (Cetyl alcohol and Stearyl alcohol): cetyl alcohol stearyl alcohol CAS nr (Cetyl alcohol: 36653-82-4 Stearyl alcohol: 112-92-5) </t>
  </si>
  <si>
    <t>A.030.36.105.230701 C16–C18 fatty alcohol (tallow)</t>
  </si>
  <si>
    <t>A.030.36.106.230701 Chloroacetic acid (2)</t>
  </si>
  <si>
    <t>A.030.36.107.230701 Coconut oil methyl ester</t>
  </si>
  <si>
    <t xml:space="preserve">Coconut oil methyl ester: coconut methyl ester CAS nr 61788-59-8 or 457-390-4 </t>
  </si>
  <si>
    <t>A.030.36.108.230701 Cumene</t>
  </si>
  <si>
    <t xml:space="preserve">Cumene: isopropylbenzene CAS nr 98-82-8 </t>
  </si>
  <si>
    <t>A.030.36.109.230701 Diethanolamine</t>
  </si>
  <si>
    <t xml:space="preserve">Diethanolamine: DEA CAS nr 111-42-2 </t>
  </si>
  <si>
    <t>A.030.36.110.230701 Dimethylamine (2)</t>
  </si>
  <si>
    <t>A.030.36.111.230701 Dimethylsulfate</t>
  </si>
  <si>
    <t>Sulfuric acid esters</t>
  </si>
  <si>
    <t>Dimethyl sulfate: DMS sulfuric acid dimethyl ester CAS nr 77-78-1</t>
  </si>
  <si>
    <t>A.030.36.112.230701 Ethylene oxide (2)</t>
  </si>
  <si>
    <t xml:space="preserve">Ethylene oxide: oxirane CAS nr 75-21-8 </t>
  </si>
  <si>
    <t>A.030.36.113.230701 Hydrogen peroxide</t>
  </si>
  <si>
    <t xml:space="preserve">Hydrogen peroxide: H2O2 CAS nr 7722-84-1 </t>
  </si>
  <si>
    <t>A.030.36.114.230701 Palm kernel oil methyl ester</t>
  </si>
  <si>
    <t xml:space="preserve">Palm kernel oil methyl ester: palm kernel methyl ester CAS nr 61789-88-6 or 457-390-4	 </t>
  </si>
  <si>
    <t>A.030.36.115.230701 Palm oil methyl ester</t>
  </si>
  <si>
    <t xml:space="preserve">Palm oil methyl ester: palm methyl ester CAS nr 67784-82-1 or 457-390-4 </t>
  </si>
  <si>
    <t>A.030.36.116.230701 Triethanolamine</t>
  </si>
  <si>
    <t xml:space="preserve">Triethanolamine: TEA CAS nr 102-71-6 </t>
  </si>
  <si>
    <t>Materials, chemicals, washing agents, surfactants</t>
  </si>
  <si>
    <t>A.030.38.101.230701 C12–C13 sodium alkyl ether sulphate. 2 EO</t>
  </si>
  <si>
    <t xml:space="preserve">CASnr 161074-79-9 </t>
  </si>
  <si>
    <t>A.030.38.102.230701 C12–C14 alcohol ethoxylate. 3 EO</t>
  </si>
  <si>
    <t xml:space="preserve">CASnr. 84133-50-6	68131-40-8 </t>
  </si>
  <si>
    <t>A.030.38.103.230701 C12–C14 alcohol ethoxylate. 7 EO</t>
  </si>
  <si>
    <t xml:space="preserve">CASnr. 84133-50-6	       68131-40-8 </t>
  </si>
  <si>
    <t>A.030.38.104.230701 C12–C14 amine oxide</t>
  </si>
  <si>
    <t xml:space="preserve">CASnr. 68955-55-5 </t>
  </si>
  <si>
    <t>A.030.38.105.230701 C12–C14 sodium alkyl ether sulphate. 2 EO</t>
  </si>
  <si>
    <t xml:space="preserve">CASnr. 161074-79-9 </t>
  </si>
  <si>
    <t>A.030.38.106.230701 C12–C14 sodium alkyl sulphate</t>
  </si>
  <si>
    <t xml:space="preserve">CASDnr. 1231880-35-5	85586-07-8 </t>
  </si>
  <si>
    <t>A.030.38.107.230701 C12–C15 alcohol ethoxylate. 3 EO</t>
  </si>
  <si>
    <t xml:space="preserve">CASnr. 84133-50-6	    68131-40-8 </t>
  </si>
  <si>
    <t>A.030.38.108.230701 C12–C15 alcohol ethoxylate. 7 EO</t>
  </si>
  <si>
    <t xml:space="preserve">CASnr 84133-50-6	      68131-40-8 </t>
  </si>
  <si>
    <t>A.030.38.109.230701 C16–C18 alcohol ethoxylate. &gt; 20 EO</t>
  </si>
  <si>
    <t xml:space="preserve">CASnr. 84133-50-6     	68131-40-8 </t>
  </si>
  <si>
    <t>A.030.38.110.230701 C16–C18 triethanolamine esterquats</t>
  </si>
  <si>
    <t xml:space="preserve">CASnr. 102-71-6	 </t>
  </si>
  <si>
    <t>A.030.38.111.230701 C8–C18 alkyl amidopropyl betaine</t>
  </si>
  <si>
    <t>v</t>
  </si>
  <si>
    <t>A.030.38.112.230701 Cocamide diethanolamine</t>
  </si>
  <si>
    <t xml:space="preserve">CASnr. 111-42-2		 </t>
  </si>
  <si>
    <t>A.030.38.113.230701 Linear alkylbenzene sulphonic acid</t>
  </si>
  <si>
    <t xml:space="preserve">CASnr. 85536-14-7 </t>
  </si>
  <si>
    <t>A.030.38.114.230701 Sodium cocoamphoacetate</t>
  </si>
  <si>
    <t>A.030.38.115.230701 Sodium cumene sulphonate</t>
  </si>
  <si>
    <t xml:space="preserve">CASnr. 28348-53-0 </t>
  </si>
  <si>
    <t xml:space="preserve">Materials, construction, binders </t>
  </si>
  <si>
    <t>A.040.01.101.230701 Cement (blastfurnace CEM III B 42.5 N)</t>
  </si>
  <si>
    <t>building materials</t>
  </si>
  <si>
    <t>A.040.01.102.230701 Cement (Portland CEM I 52.5 N)</t>
  </si>
  <si>
    <t>A.040.01.103.230701 Gypsum</t>
  </si>
  <si>
    <t>Materials, construction, bitumen  and asphalt</t>
  </si>
  <si>
    <t>A.040.03.101.230701 Bitumen</t>
  </si>
  <si>
    <t>A.040.03.102.240310 Asphalt</t>
  </si>
  <si>
    <t xml:space="preserve">Materials, construction, bricks </t>
  </si>
  <si>
    <t>A.040.05.101.230701 Red Clay Brick, for housing and roads - packed</t>
  </si>
  <si>
    <t>A.040.05.102.230701 Concrete blocks - light  (439 kg/m3)</t>
  </si>
  <si>
    <t>A.040.05.103.230701 Roof tiles</t>
  </si>
  <si>
    <t>A.040.05.104.230701 Sand-lime bricks - light (600 kg/m3)</t>
  </si>
  <si>
    <t>Materials, construction, concrete</t>
  </si>
  <si>
    <t>A.040.07.101.230701 Concrete</t>
  </si>
  <si>
    <t>m3</t>
  </si>
  <si>
    <t>A.040.07.102.230701 Concrete (reinforced 40 kg steel per 1000 kg)</t>
  </si>
  <si>
    <t>Materials, construction, insulation</t>
  </si>
  <si>
    <t>A.040.09.101.230701 cork slab insulation</t>
  </si>
  <si>
    <t>kg</t>
  </si>
  <si>
    <t>A.040.09.102.250328 glasswool without paper, plastic, or AL facing</t>
  </si>
  <si>
    <t>A.040.09.103.250327 stonewool without paper, plastic, or AL facing</t>
  </si>
  <si>
    <t>A.040.09.104.250214 Hemp insulation slab USA (92% hemp 8% rPET)</t>
  </si>
  <si>
    <t>A.040.09.105.250214 Hempflex insulation slab NL-DE (66% hemp 22% recycled jute 8% rPET 4% soda)</t>
  </si>
  <si>
    <t>Materials, construction, others</t>
  </si>
  <si>
    <t>A.040.11.101.230701 Blastfurnace slags</t>
  </si>
  <si>
    <t>A.040.11.102.230701 Clinker</t>
  </si>
  <si>
    <t>A.040.11.103.230701 Crushed concrete aggregate (recycled)</t>
  </si>
  <si>
    <t>A.040.11.104.230701 Gravel</t>
  </si>
  <si>
    <t>A.040.11.105.230701 Ground (earthmoving)</t>
  </si>
  <si>
    <t>A.040.11.106.230701 Linoleum</t>
  </si>
  <si>
    <t>A.040.11.107.230701 Plasticizers for concrete</t>
  </si>
  <si>
    <t>A.040.11.108.230701 Sand</t>
  </si>
  <si>
    <t>Materials, construction, paints</t>
  </si>
  <si>
    <t>A.040.13.101.230701 Solvent based paint transparent - incl evaporation solvent</t>
  </si>
  <si>
    <t>A.040.13.102.230701 Solvent based paint white - incl evaporation solvent</t>
  </si>
  <si>
    <t>A.040.13.103.230701 Water based paint transparent</t>
  </si>
  <si>
    <t>A.040.13.104.230701 Water based paint white</t>
  </si>
  <si>
    <t>Materials, electronics, others</t>
  </si>
  <si>
    <t>A.050.04.101.241011 AA cell battery (Alkaline)</t>
  </si>
  <si>
    <t>electronics</t>
  </si>
  <si>
    <t xml:space="preserve">p </t>
  </si>
  <si>
    <t>A.050.04.102.230701 AA cell battery (Li-ion)</t>
  </si>
  <si>
    <t>A.050.04.103.230701 Computer desktop -  including 27 inch display</t>
  </si>
  <si>
    <t>A.050.04.104.251120 Computer laptop - 14 inch display</t>
  </si>
  <si>
    <t>A.050.04.105.230701 Electric cord, 6A (1320W) 3x0.75 mm2 (per m)</t>
  </si>
  <si>
    <t>m</t>
  </si>
  <si>
    <t>A.050.04.106.230701 Electric motor less than 500 W</t>
  </si>
  <si>
    <t>A.050.04.109.230701 LCD flat screen 27 inch -  including casing and electronics</t>
  </si>
  <si>
    <t>p</t>
  </si>
  <si>
    <t>A.050.04.110.230701 Lead battery cars (39 Wh per kg)</t>
  </si>
  <si>
    <t>A.050.04.111.230701 LED light bulb 8 watt.</t>
  </si>
  <si>
    <t>A.050.04.112.230701 Lithium-ion LiCoO2 laptop battery (180 Wh/kg)</t>
  </si>
  <si>
    <t>A.050.04.113.230911 Lithium LiFePO4 (145 Wh per kg incl packaging excl electronics)</t>
  </si>
  <si>
    <t>A.050.04.114.230701 Lithium NMC 811 (215 Wh per kg incl packaging excl electronics)</t>
  </si>
  <si>
    <t>A.050.04.115.241008 Mica (fire proof electric insulation) estimate</t>
  </si>
  <si>
    <t>A.050.04.116.230701 NiCd battery AA-cell</t>
  </si>
  <si>
    <t>A.050.04.117.230701 NiCd battery C-cell</t>
  </si>
  <si>
    <t>A.050.04.118.230701 NiMH battery for laptops (54 Wh per kg)</t>
  </si>
  <si>
    <t>A.050.04.120.230701 solder Tin/Lead 63/37 solder electronic industry</t>
  </si>
  <si>
    <t>A.050.04.121.230701 solder leadfree electronic industry (Ag3.9, Cu0.6)</t>
  </si>
  <si>
    <t>A.050.04.122.230701 solder Lead Tin/Lead  60/40 (normal)</t>
  </si>
  <si>
    <t>A.050.04.123.240825 PV cell (Mono-Si) per m2 in Rotterdam</t>
  </si>
  <si>
    <t xml:space="preserve">m2 </t>
  </si>
  <si>
    <t>Materials, electronics, ICs, PCBs and internet</t>
  </si>
  <si>
    <t>A.050.06.101.251021 IC die (not packaged) Logic N65 per cm2</t>
  </si>
  <si>
    <t>A.050.06.101</t>
  </si>
  <si>
    <t>cm2</t>
  </si>
  <si>
    <t>IC die (not packaged) Logic N65 per cm2</t>
  </si>
  <si>
    <t>A.050.06.102.251021 IC die (not packaged) Logic N45 per cm2</t>
  </si>
  <si>
    <t>A.050.06.102</t>
  </si>
  <si>
    <t>IC die (not packaged) Logic N45 per cm2</t>
  </si>
  <si>
    <t>A.050.06.103.251021 IC die (not packaged) Logic N40 per cm2</t>
  </si>
  <si>
    <t>A.050.06.103</t>
  </si>
  <si>
    <t>IC die (not packaged) Logic N40 per cm2</t>
  </si>
  <si>
    <t>A.050.06.104.251021 IC die (not packaged) Logic N28 per cm2</t>
  </si>
  <si>
    <t>A.050.06.104</t>
  </si>
  <si>
    <t>IC die (not packaged) Logic N28 per cm2</t>
  </si>
  <si>
    <t>A.050.06.105.251021 IC die (not packaged) Logic N20 per cm2</t>
  </si>
  <si>
    <t>A.050.06.105</t>
  </si>
  <si>
    <t>IC die (not packaged) Logic N20 per cm2</t>
  </si>
  <si>
    <t>A.050.06.106.251021 IC die (not packaged) Logic N14 per cm2</t>
  </si>
  <si>
    <t>A.050.06.106</t>
  </si>
  <si>
    <t>IC die (not packaged) Logic N14 per cm2</t>
  </si>
  <si>
    <t>A.050.06.107.251021 IC die (not packaged) Logic N10 per cm2</t>
  </si>
  <si>
    <t>A.050.06.107</t>
  </si>
  <si>
    <t>IC die (not packaged) Logic N10 per cm2</t>
  </si>
  <si>
    <t>A.050.06.108.251021 IC die (not packaged) Logic N7 per cm2</t>
  </si>
  <si>
    <t>A.050.06.108</t>
  </si>
  <si>
    <t>IC die (not packaged) Logic N7 per cm2</t>
  </si>
  <si>
    <t>A.050.06.109.251021 IC die (not packaged) Logic N7_EUV per cm2</t>
  </si>
  <si>
    <t>A.050.06.109</t>
  </si>
  <si>
    <t>IC die (not packaged) Logic N7_EUV per cm2</t>
  </si>
  <si>
    <t>A.050.06.110.251021 IC die (not packaged) Logic N5 per cm2</t>
  </si>
  <si>
    <t>A.050.06.110</t>
  </si>
  <si>
    <t>IC die (not packaged) Logic N5 per cm2</t>
  </si>
  <si>
    <t>A.050.06.111.251021 IC die (not packaged) Logic N3 per cm2</t>
  </si>
  <si>
    <t>A.050.06.111</t>
  </si>
  <si>
    <t>IC die (not packaged) Logic N3 per cm2</t>
  </si>
  <si>
    <t>A.050.06.112.251021 IC die (not packaged) Logic N2 per cm2</t>
  </si>
  <si>
    <t>A.050.06.112</t>
  </si>
  <si>
    <t>IC die (not packaged) Logic N2 per cm2</t>
  </si>
  <si>
    <t>A.050.06.113.251021 IC die (not packaged) N2_BSP per cm2</t>
  </si>
  <si>
    <t>A.050.06.113</t>
  </si>
  <si>
    <t>IC die (not packaged) N2_BSP per cm2</t>
  </si>
  <si>
    <t>A.050.06.201.251021 IC die (not packaged) N40 HPC per cm2</t>
  </si>
  <si>
    <t>A.050.06.201</t>
  </si>
  <si>
    <t>IC die (not packaged) N40 HPC per cm2</t>
  </si>
  <si>
    <t>A.050.06.202.251021 IC die (not packaged) N28 HPC per cm2</t>
  </si>
  <si>
    <t>A.050.06.202</t>
  </si>
  <si>
    <t>IC die (not packaged) N28 HPC per cm2</t>
  </si>
  <si>
    <t>A.050.06.203.251021 IC die (not packaged) N20 HPC per cm2</t>
  </si>
  <si>
    <t>A.050.06.203</t>
  </si>
  <si>
    <t>IC die (not packaged) N20 HPC per cm2</t>
  </si>
  <si>
    <t>A.050.06.204.251021 IC die (not packaged) N14 HPC per cm2</t>
  </si>
  <si>
    <t>A.050.06.204</t>
  </si>
  <si>
    <t>IC die (not packaged) N14 HPC per cm2</t>
  </si>
  <si>
    <t>A.050.06.205.251021 IC die (not packaged) N10 HPC per cm2</t>
  </si>
  <si>
    <t>A.050.06.205</t>
  </si>
  <si>
    <t>IC die (not packaged) N10 HPC per cm2</t>
  </si>
  <si>
    <t>A.050.06.206.251021 IC die (not packaged) N7 HPC per cm2</t>
  </si>
  <si>
    <t>A.050.06.206</t>
  </si>
  <si>
    <t>IC die (not packaged) N7 HPC per cm2</t>
  </si>
  <si>
    <t>A.050.06.207.251021 IC die (not packaged) N7_EUV HPC per cm2</t>
  </si>
  <si>
    <t>A.050.06.207</t>
  </si>
  <si>
    <t>IC die (not packaged) N7_EUV HPC per cm2</t>
  </si>
  <si>
    <t>A.050.06.208.251021 IC die (not packaged) N5 HPC per cm2</t>
  </si>
  <si>
    <t>A.050.06.208</t>
  </si>
  <si>
    <t>IC die (not packaged) N5 HPC per cm2</t>
  </si>
  <si>
    <t>A.050.06.209.251021 IC die (not packaged) N3 HPC per cm2</t>
  </si>
  <si>
    <t>A.050.06.209</t>
  </si>
  <si>
    <t>IC die (not packaged) N3 HPC per cm2</t>
  </si>
  <si>
    <t>A.050.06.210.251021 IC die (not packaged) N2 HPC per cm2</t>
  </si>
  <si>
    <t>A.050.06.210</t>
  </si>
  <si>
    <t>IC die (not packaged) N2 HPC per cm2</t>
  </si>
  <si>
    <t>A.050.06.211.251021 IC die (not packaged) N2_BSP HPC per cm2</t>
  </si>
  <si>
    <t>A.050.06.211</t>
  </si>
  <si>
    <t>IC die (not packaged) N2_BSP HPC per cm2</t>
  </si>
  <si>
    <t>A.050.06.251.251021 IC die (not packaged) A5_HPC per cm2</t>
  </si>
  <si>
    <t>A.050.06.251</t>
  </si>
  <si>
    <t>IC die (not packaged) A5_HPC per cm2</t>
  </si>
  <si>
    <t>A.050.06.252.251021 IC die (not packaged) A3_HPC per cm2</t>
  </si>
  <si>
    <t>A.050.06.252</t>
  </si>
  <si>
    <t>IC die (not packaged) A3_HPC per cm2</t>
  </si>
  <si>
    <t>A.050.06.301.240701 PCB = Printed Circuit Board (empty)</t>
  </si>
  <si>
    <t>A.050.06.302.240701 PCB of laptop (including componenets - excluding ICs)</t>
  </si>
  <si>
    <t>A.050.06.303.240701 PCB of mobile phone (including componenets - excluding ICs)</t>
  </si>
  <si>
    <t>A.050.06.304.240701 PCB of refrigerator (including componenets - excluding ICs)</t>
  </si>
  <si>
    <t>A.050.06.305.240701 PCB of washing machine (including componenets - excluding ICs)</t>
  </si>
  <si>
    <t>A.050.06.401.240701 PCB of average laptop (including ICs)</t>
  </si>
  <si>
    <t>A.050.06.501.240721 One day 1.5 GB internet traffic for one user = user.day</t>
  </si>
  <si>
    <t>A.050.06.502.240721 One year 1 GB datastorage in datacentres = GB.year</t>
  </si>
  <si>
    <t>Materials, fibers</t>
  </si>
  <si>
    <t>A.060.01.101.230701 Aramid st gr</t>
  </si>
  <si>
    <t>fibres</t>
  </si>
  <si>
    <t>A.060.01.102.230701 Carbon fibre</t>
  </si>
  <si>
    <t>A.060.01.103.250317 glassfibre - dry and chopped - for reinforcing plastics</t>
  </si>
  <si>
    <t>A.060.01.104.250317 glassfibre - assembled roving - for reinforcing thermosets</t>
  </si>
  <si>
    <t>Materials, fuels, .EU fuel labels</t>
  </si>
  <si>
    <t>A.070.02.101.250506 Diesel B7  - including combustion CO2 per litre</t>
  </si>
  <si>
    <t>fuels</t>
  </si>
  <si>
    <t>litre</t>
  </si>
  <si>
    <t>A.070.02.102.250506 Diesel B10  - including combustion CO2 per litre</t>
  </si>
  <si>
    <t>A.070.02.103.250506 Diesel B100 (FAME) - including combustion CO2 per litre</t>
  </si>
  <si>
    <t>A.070.02.104.250506 Diesel XTL (HVO) from tallow waste - including combustion CO per litre</t>
  </si>
  <si>
    <t>A.070.02.201.250506 Gasoline E5 - including combustion CO2 per litre</t>
  </si>
  <si>
    <t>A.070.02.202.250506 Gasoline E10 - including combustion CO2 per litre</t>
  </si>
  <si>
    <t>A.070.02.203.250506 Gasoline E85 - including combustion CO2 per litre</t>
  </si>
  <si>
    <t>A.070.02.301.230715 CNG - including combustion CO2</t>
  </si>
  <si>
    <t>A.070.02.302.230715 LNG - including combustion CO2</t>
  </si>
  <si>
    <t>A.070.02.303.250506 LPG - including combustion CO2 per litre</t>
  </si>
  <si>
    <t>A.070.02.304.230715 Brown Hydrogen - including combustion CO2</t>
  </si>
  <si>
    <t>Materials, fuels, .EU lease segments</t>
  </si>
  <si>
    <t>A.070.03.101.250316  Gasoline E10 - lease segment A (4.90 l/100km) incl CO2 (per km)</t>
  </si>
  <si>
    <t>km</t>
  </si>
  <si>
    <t>A.070.03.102.250316  Gasoline E10 - lease segment B (5.30 l/100km) incl CO2 (per km)</t>
  </si>
  <si>
    <t>A.070.03.103.250316  Gasoline E10 - lease segment C (5.70 l/100km) incl CO2 (per km)</t>
  </si>
  <si>
    <t>A.070.03.104.250316  Gasoline E10 - lease segment D (6.70 l/100km) incl CO2 (per km)</t>
  </si>
  <si>
    <t>A.070.03.105.250316  Gasoline E10 - lease segment E (8.80 l/100km) incl CO2 (per km)</t>
  </si>
  <si>
    <t>A.070.03.202.250316  Diesel B10 - lease segment B (4.40 l/100km) incl CO2 (per km)</t>
  </si>
  <si>
    <t>A.070.03.203.250316  Diesel B10 - lease segment C (4.70 l/100km) incl CO2 (per km)</t>
  </si>
  <si>
    <t>A.070.03.204.250316  Diesel B10 - lease segment D (5.00 l/100km) incl CO2 (per km)</t>
  </si>
  <si>
    <t>A.070.03.205.250316  Diesel B10 - lease segment E (7.10 l/100km) incl CO2 (per km)</t>
  </si>
  <si>
    <t>A.070.03.301.250316  BEV - lease segment A (14.00 kWh/100km) WTW (per km)</t>
  </si>
  <si>
    <t>A.070.03.302.250316  BEV - lease segment B (15.7 kWh/100km) WTW (per km)</t>
  </si>
  <si>
    <t>A.070.03.303.250316  BEV - lease segment C (16.95 kWh/100km) WTW (per km)</t>
  </si>
  <si>
    <t>A.070.03.304.250316  BEV - lease segment D (16.8 kWh/100km) WTW (per km)</t>
  </si>
  <si>
    <t>A.070.03.305.250316  BEV - lease segment E (22.2 kWh/100km) WTW (per km)</t>
  </si>
  <si>
    <t>A.070.03.401.250316  Euro 6 diesel max emisions CO - NOx - PM - NMVOC per km</t>
  </si>
  <si>
    <t>A.070.03.402.250316  Euro 6 gasoline max emisions CO - NOx - PM - NMVOC per km</t>
  </si>
  <si>
    <t>Materials, fuels, biofuels</t>
  </si>
  <si>
    <t>A.070.04.101.230701 biodiesel (palm oil methyl ester)</t>
  </si>
  <si>
    <t>A.070.04.102.230701 biodiesel (rape methyl ester)</t>
  </si>
  <si>
    <t>A.070.04.103.230701 biodiesel (soybean ester 50% Brazil - 50% USA)</t>
  </si>
  <si>
    <t>A.070.04.104.230701 biodiesel (soybean ester 100% USA)</t>
  </si>
  <si>
    <t>A.070.04.105.230701 ethanol</t>
  </si>
  <si>
    <t>A.070.04.106.230701 petrol (85% ethanol)</t>
  </si>
  <si>
    <t>A.070.04.107.230715 Diesel B100 (FAME)</t>
  </si>
  <si>
    <t>A.070.04.108.240815 Diesel XTL (HVO) from USA soybean oil in Europe</t>
  </si>
  <si>
    <t>A.070.04.109.240815 Diesel XTL (HVO) from agricultural waste</t>
  </si>
  <si>
    <t>A.070.04.110.240815 Diesel XTL (HVO) from tallow (waste)</t>
  </si>
  <si>
    <t>Materials, fuels, coal</t>
  </si>
  <si>
    <t>A.070.06.101.241210 Anthracite coal  at mine (30.7MJ/kg)</t>
  </si>
  <si>
    <t>A.070.06.102.230701 Anthracite coal (30.7 MJ/kg) - including combustion CO2</t>
  </si>
  <si>
    <t>A.070.06.103.230701 Bituminous coal  at mine US (26.4 MJ/kg)</t>
  </si>
  <si>
    <t>A.070.06.104.230701 Bituminous coal (26.4 MJ/kg) US  - including combustion CO2</t>
  </si>
  <si>
    <t>A.070.06.105.241210 Hard coal at mine (open pit mine) Indonesia</t>
  </si>
  <si>
    <t>Materials, fuels, lignite</t>
  </si>
  <si>
    <t>A.070.07.101.230701 Lignite at open pit mine - excluding combustion</t>
  </si>
  <si>
    <t>A.070.07.102.241210 Lignite at open pit mine (high eff) Poland incl land-use change</t>
  </si>
  <si>
    <t>Materials, fuels, LPG</t>
  </si>
  <si>
    <t>A.070.08.101.230701 LPG for chemical feedstock</t>
  </si>
  <si>
    <t>A.070.08.102.230701 LPG for transport - excluding combustion</t>
  </si>
  <si>
    <t>A.070.08.103.230701 LPG for transport - including combustion CO2</t>
  </si>
  <si>
    <t>Materials, fuels, natural gas</t>
  </si>
  <si>
    <t>A.070.09.101.230701 CNG (compressed natural gas) for transport - excl. combustion</t>
  </si>
  <si>
    <t>A.070.09.102.230701 CNG (compressed natural gas) for transport  - including combustion CO2</t>
  </si>
  <si>
    <t>A.070.09.103.230701 Natural gas general EU for feedstock - excl. combustion</t>
  </si>
  <si>
    <t>A.070.09.104.230701 Natural gas general EU for heat - incl. combustion) CO2</t>
  </si>
  <si>
    <t>A.070.09.105.230701 Natural gas Revap LNG from US in EU for feedstock - excl. combustion)</t>
  </si>
  <si>
    <t>A.070.09.201.230720 Nat Gas 40 MJ/Nm3 from LNG for heat - incl. combustion CO2</t>
  </si>
  <si>
    <t xml:space="preserve">m3 </t>
  </si>
  <si>
    <t>A.070.09.202.230720 Nat Gas 40 MJ/Nm3 from Norway - Algeria - UK for heat - incl. combustion CO2</t>
  </si>
  <si>
    <t>A.070.09.203.240716 Nat Gas 35 MJ/Nm3 from Netherlands for heat - incl. combustion CO2</t>
  </si>
  <si>
    <t xml:space="preserve">Materials, fuels, oil                                           </t>
  </si>
  <si>
    <t>A.070.10.101.230701 Crude oil EU General (for feedstock)</t>
  </si>
  <si>
    <t>A.070.10.102.230701 Crude oil US General (for feedstock)</t>
  </si>
  <si>
    <t>A.070.10.103.230701 Diesel low-sulphur - excluding combustion</t>
  </si>
  <si>
    <t>A.070.10.104.230701 Diesel low-sulphur - including combustion CO2</t>
  </si>
  <si>
    <t>A.070.10.105.230701 Diesel low-sulphur - including combustion CO2 - per MJ</t>
  </si>
  <si>
    <t xml:space="preserve">MJ </t>
  </si>
  <si>
    <t>A.070.10.106.230701 Heavy fuel oil for heat - including combustion CO2</t>
  </si>
  <si>
    <t>A.070.10.107.230701 Heavy fuel oil in transport - including combustion CO2)</t>
  </si>
  <si>
    <t>A.070.10.108.230701 Kerosene - excluding combustion</t>
  </si>
  <si>
    <t>A.070.10.109.230701 Kerosene - including combustion CO2</t>
  </si>
  <si>
    <t>A.070.10.110.230701 Petrol - including combustion CO2</t>
  </si>
  <si>
    <t>A.070.10.111.230701 Petrol - excluding combustion</t>
  </si>
  <si>
    <t>A.070.10.112.240703 Naphtha (for feedstock)</t>
  </si>
  <si>
    <t xml:space="preserve">Materials, fuels, uranium                                </t>
  </si>
  <si>
    <t>A.070.11.101.230701 Fuel grade uranium 3615 GJ/kg (4.52% enriched U-235 )</t>
  </si>
  <si>
    <t>Materials, glass, construction</t>
  </si>
  <si>
    <t>A.080.01.101.231217 Glass for windows and facades (float glass)</t>
  </si>
  <si>
    <t>glass</t>
  </si>
  <si>
    <t>Materials,  glass, other glass</t>
  </si>
  <si>
    <t>A.080.02.101.230701 Borosilicate glass (Pyrex)</t>
  </si>
  <si>
    <t>A.080.02.102.230701 Ceramic glass</t>
  </si>
  <si>
    <t>A.080.02.103.230701 Recycled borosilicate glass (Pyrex)</t>
  </si>
  <si>
    <t>A.080.02.104.230701 Recycled silica glass</t>
  </si>
  <si>
    <t>A.080.02.105.230701 Silica glass</t>
  </si>
  <si>
    <t>Materials,  glass, bottles</t>
  </si>
  <si>
    <t>A.080.03.101.231217 Glass bottles 100% recycled</t>
  </si>
  <si>
    <t>A.080.03.102.231217 Glass bottles recycled average EU 74%</t>
  </si>
  <si>
    <t>A.080.03.103.231217 Glass bottles virgin</t>
  </si>
  <si>
    <t>A.080.03.104.240310 Glass bottles flint (=clean transparant), EoL-RIR in Europe 40%</t>
  </si>
  <si>
    <t>A.080.03.105.240310 Glass bottles brown EoL-RIR in Europe 50%</t>
  </si>
  <si>
    <t>A.080.03.106.240310 Glass bottles green EoL-RIR in Europe 80%</t>
  </si>
  <si>
    <t>A.080.03.107.240310 Glass bottles unspecified colour EoL-RIR in Europe 52%</t>
  </si>
  <si>
    <t>Materials, laminates</t>
  </si>
  <si>
    <t>A.090.01.101.230701 Glare 1-3/2-0.3</t>
  </si>
  <si>
    <t>laminates</t>
  </si>
  <si>
    <t>A.090.01.102.230701 Glare 3-3/2-0.2</t>
  </si>
  <si>
    <t>A.090.01.103.230701 Glare 3-6/5-0.4</t>
  </si>
  <si>
    <t>A.090.01.104.230701 Glare 4-6/5-0.4</t>
  </si>
  <si>
    <t>A.090.01.105.230701 Hylite (1 m2  1.2 mm thickness  1.8 ton/m3)</t>
  </si>
  <si>
    <t>Materials, metals, ferro</t>
  </si>
  <si>
    <t>A.100.02.101.250105 Steel market mix USA 69.2% EAF for beams &amp; sheet</t>
  </si>
  <si>
    <t>metals, ferro</t>
  </si>
  <si>
    <t>A.100.02.102.250105 Steel virgin + 15% scrap BOF for beams &amp; sheet</t>
  </si>
  <si>
    <t>A.100.02.103.250105 Steel from 100% scrap EAF for beams &amp; sheet</t>
  </si>
  <si>
    <t>A.100.02.104.250105 Steel market mix Europe 49.8% EAF for beams &amp; sheet</t>
  </si>
  <si>
    <t>A.100.02.105.250105 Steel market mix China 9% EAF for beams &amp; sheet</t>
  </si>
  <si>
    <t>A.100.02.106.250105 Steel welded pipes 8.5% scrap BOF</t>
  </si>
  <si>
    <t>A.100.02.107.250105 Steel seamless pipes 33% scrap BOF</t>
  </si>
  <si>
    <t>Materials, metals, ferro, cast irons</t>
  </si>
  <si>
    <t>A.100.04.101.230701 GG15</t>
  </si>
  <si>
    <t>A.100.04.102.230701 GG35</t>
  </si>
  <si>
    <t>A.100.04.103.230701 GGG-NiCr</t>
  </si>
  <si>
    <t>A.100.04.104.230701 GGG-NiSiCr</t>
  </si>
  <si>
    <t>A.100.04.105.230701 GGG40</t>
  </si>
  <si>
    <t>A.100.04.106.230701 GGG60</t>
  </si>
  <si>
    <t>A.100.04.107.230701 GGG70</t>
  </si>
  <si>
    <t>A.100.04.108.230701 GGL-NiCuCr</t>
  </si>
  <si>
    <t xml:space="preserve">Materials, metals, ferro, stainless steel </t>
  </si>
  <si>
    <t>A.100.06.101.230701 Stainless Steel (secondary), average</t>
  </si>
  <si>
    <t>A.100.06.102.230701 GX12Cr14 (CA15) 23% inox scrap (China)</t>
  </si>
  <si>
    <t>A.100.06.103.230701 GX12Cr14 (CA15) 44% inox scrap (World)</t>
  </si>
  <si>
    <t>A.100.06.104.230701 GX12Cr14 (CA15) 70% inox scrap (EU, USA)</t>
  </si>
  <si>
    <t>A.100.06.105.230701 GX5CrNi19 10 (CF8) 23% inox scrap (China)</t>
  </si>
  <si>
    <t>A.100.06.106.230701 GX5CrNi19 10 (CF8) 44% inox scrap (World)</t>
  </si>
  <si>
    <t>A.100.06.107.230701 GX5CrNi19 10 (CF8) 70% inox scrap (EU, USA)</t>
  </si>
  <si>
    <t>A.100.06.108.230701 X10Cr13 (mart 410) 23% inox scrap (China)</t>
  </si>
  <si>
    <t>A.100.06.109.230701 X10Cr13 (mart 410) 44% inox scrap (World)</t>
  </si>
  <si>
    <t>A.100.06.110.230701 X10Cr13 (mart 410) 70% inox scrap (EU, USA)</t>
  </si>
  <si>
    <t>A.100.06.111.230701 X10CrNiMoNb 23% inox scrap (China)</t>
  </si>
  <si>
    <t>A.100.06.112.230701 X10CrNiMoNb 44% inox scrap (World)</t>
  </si>
  <si>
    <t>A.100.06.113.230701 X10CrNiMoNb 70% inox scrap (EU, USA)</t>
  </si>
  <si>
    <t>A.100.06.114.230701 X10CrNiS (303) 23% inox scrap (China)</t>
  </si>
  <si>
    <t>A.100.06.115.230701 X10CrNiS (303) 44% inox scrap (World)</t>
  </si>
  <si>
    <t>A.100.06.116.230701 X10CrNiS (303) 70% inox scrap (EU, USA)</t>
  </si>
  <si>
    <t>A.100.06.117.230701 X12Cr13 (416) 23% inox scrap (China)</t>
  </si>
  <si>
    <t>A.100.06.118.230701 X12Cr13 (416) 44% inox scrap (World)</t>
  </si>
  <si>
    <t>A.100.06.119.230701 X12Cr13 (416) 70% inox scrap (EU, USA)</t>
  </si>
  <si>
    <t>A.100.06.120.230701 X12CrNi17 7 (301) 23% inox scrap (China)</t>
  </si>
  <si>
    <t>A.100.06.121.230701 X12CrNi17 7 (301) 44% inox scrap (World)</t>
  </si>
  <si>
    <t>A.100.06.122.230701 X12CrNi17 7 (301) 70% inox scrap (EU, USA)</t>
  </si>
  <si>
    <t>A.100.06.123.230701 X20Cr13 (420) 23% inox scrap (China)</t>
  </si>
  <si>
    <t>A.100.06.124.230701 X20Cr13 (420) 44% inox scrap (World)</t>
  </si>
  <si>
    <t>A.100.06.125.230701 X20Cr13 (420) 70% inox scrap (EU, USA)</t>
  </si>
  <si>
    <t>A.100.06.126.230701 X22CrNi17 (431) 23% inox scrap (China)</t>
  </si>
  <si>
    <t>A.100.06.127.230701 X22CrNi17 (431) 44% inox scrap (World)</t>
  </si>
  <si>
    <t>A.100.06.128.230701 X22CrNi17 (431) 70% inox scrap (EU, USA)</t>
  </si>
  <si>
    <t>A.100.06.129.230701 X2CrNiMo1712 (316L) 23% imox scrap (China)</t>
  </si>
  <si>
    <t>A.100.06.130.230701 X2CrNiMo1712 (316L) 44% imox scrap (World)</t>
  </si>
  <si>
    <t>A.100.06.131.230701 X2CrNiMo1712 (316L) 70% imox scrap (EU, USA)</t>
  </si>
  <si>
    <t>A.100.06.132.230701 X30Cr13 (~420) 23% inox scrap (China)</t>
  </si>
  <si>
    <t>A.100.06.133.230701 X30Cr13 (~420) 44% inox scrap (World)</t>
  </si>
  <si>
    <t>A.100.06.134.230701 X30Cr13 (~420) 70% inox scrap (EU, USA)</t>
  </si>
  <si>
    <t>A.100.06.135.230701 X35CrMo17 23% inox scrap (China)</t>
  </si>
  <si>
    <t>A.100.06.136.230701 X35CrMo17 44% inox scrap (World)</t>
  </si>
  <si>
    <t>A.100.06.137.230701 X35CrMo17 70% inox scrap (EU, USA)</t>
  </si>
  <si>
    <t>A.100.06.138.230701 X5CrNi18 (304) 23% inox scrap (China)</t>
  </si>
  <si>
    <t>A.100.06.139.230701 X5CrNi18 (304) 44% inox scrap (World)</t>
  </si>
  <si>
    <t>A.100.06.140.230701 X5CrNi18 (304) 70% inox scrap (EU, USA)</t>
  </si>
  <si>
    <t>A.100.06.141.230701 X5CrNiMo18 (316) 23% inox scrap (China)</t>
  </si>
  <si>
    <t>A.100.06.142.230701 X5CrNiMo18 (316) 44% inox scrap (World)</t>
  </si>
  <si>
    <t>A.100.06.143.230701 X5CrNiMo18 (316) 70% inox scrap (EU, USA)</t>
  </si>
  <si>
    <t>A.100.06.144.230701 X6Cr17 (430) 23% inox scrap (China)</t>
  </si>
  <si>
    <t>A.100.06.145.230701 X6Cr17 (430) 44% inox scrap (World)</t>
  </si>
  <si>
    <t>A.100.06.146.230701 X6Cr17 (430) 70% inox scrap (EU, USA)</t>
  </si>
  <si>
    <t>A.100.06.147.230701 X6CrNi18 (~304) 23% inox scrap (China)</t>
  </si>
  <si>
    <t>A.100.06.148.230701 X6CrNi18 (~304) 44% inox scrap (World)</t>
  </si>
  <si>
    <t>A.100.06.149.230701 X6CrNi18 (~304) 70% inox scrap (EU, USA)</t>
  </si>
  <si>
    <t>A.100.06.150.230701 X7CrAl13 (405) 23% inox scrap (China)</t>
  </si>
  <si>
    <t>A.100.06.151.230701 X7CrAl13 (405) 44% inox scrap (World)</t>
  </si>
  <si>
    <t>A.100.06.152.230701 X7CrAl13 (405) 70% inox scrap (EU, USA)</t>
  </si>
  <si>
    <t>A.100.06.153.230701 X90CrCoMoV17 23% inox scrap (China)</t>
  </si>
  <si>
    <t>A.100.06.154.230701 X90CrCoMoV17 44% inox scrap (World)</t>
  </si>
  <si>
    <t>A.100.06.155.230701 X90CrCoMoV17 70% inox scrap (EU, USA)</t>
  </si>
  <si>
    <t>A.100.06.156.230701 X90CrMoV18 (440B) 23% inox scrap (China)</t>
  </si>
  <si>
    <t>A.100.06.157.230701 X90CrMoV18 (440B) 44% inox scrap (World)</t>
  </si>
  <si>
    <t>A.100.06.158.230701 X90CrMoV18 (440B) 70% inox scrap (EU, USA)</t>
  </si>
  <si>
    <t xml:space="preserve">Materials, metals, ferro, steel automation </t>
  </si>
  <si>
    <t>A.100.08.101.230701 10SPb20 (1.0721)</t>
  </si>
  <si>
    <t>A.100.08.102.230701 35S20 (1.0726)</t>
  </si>
  <si>
    <t>A.100.08.103.230701 9S20</t>
  </si>
  <si>
    <t>A.100.08.104.230701 9SMnPb (1.0718)</t>
  </si>
  <si>
    <t xml:space="preserve">Materials, metals, ferro, steel cast </t>
  </si>
  <si>
    <t>A.100.10.101.230701 GS-10Ni6</t>
  </si>
  <si>
    <t>A.100.10.102.230701 GS-22Mo4</t>
  </si>
  <si>
    <t>A.100.10.103.230701 GS-25CrMo4</t>
  </si>
  <si>
    <t>A.100.10.104.230701 GS-45.3</t>
  </si>
  <si>
    <t>A.100.10.105.230701 GS-70</t>
  </si>
  <si>
    <t>A.100.10.106.230701 GS-X40CrNiSi 25 12</t>
  </si>
  <si>
    <t>A.100.10.107.230701 HA</t>
  </si>
  <si>
    <t>A.100.10.108.230701 HT</t>
  </si>
  <si>
    <t xml:space="preserve">Materials, metals, ferro, steel construction </t>
  </si>
  <si>
    <t>A.100.12.101.230701 Fe360</t>
  </si>
  <si>
    <t>A.100.12.102.230701 Fe470</t>
  </si>
  <si>
    <t>A.100.12.103.230701 Fe520</t>
  </si>
  <si>
    <t>A.100.12.104.230701 St13</t>
  </si>
  <si>
    <t xml:space="preserve">Materials, metals, ferro, steel draw </t>
  </si>
  <si>
    <t>A.100.14.101.230701 A517a</t>
  </si>
  <si>
    <t>A.100.14.102.230701 A517b</t>
  </si>
  <si>
    <t>A.100.14.103.230701 S355J2G1W</t>
  </si>
  <si>
    <t>A.100.14.104.230701 St14</t>
  </si>
  <si>
    <t xml:space="preserve">Materials, metals, ferro, steel high grade </t>
  </si>
  <si>
    <t>A.100.16.101.230701 14NiCr14</t>
  </si>
  <si>
    <t>A.100.16.102.230701 15Cr3</t>
  </si>
  <si>
    <t>A.100.16.103.230701 18NiCr8</t>
  </si>
  <si>
    <t>A.100.16.104.230701 25CrMo4</t>
  </si>
  <si>
    <t>A.100.16.105.230701 30CrNiMo8</t>
  </si>
  <si>
    <t>A.100.16.106.230701 34Cr4</t>
  </si>
  <si>
    <t>A.100.16.107.230701 34CrAl6</t>
  </si>
  <si>
    <t>A.100.16.108.230701 35NiCr18</t>
  </si>
  <si>
    <t>A.100.16.109.230701 36NiCr6</t>
  </si>
  <si>
    <t>A.100.16.110.230701 37MnSi5</t>
  </si>
  <si>
    <t>A.100.16.111.230701 42CrMo4</t>
  </si>
  <si>
    <t>A.100.16.112.230701 50 CrV4</t>
  </si>
  <si>
    <t>A.100.16.113.230701 C15</t>
  </si>
  <si>
    <t>A.100.16.114.230701 C35</t>
  </si>
  <si>
    <t>A.100.16.115.230701 C45</t>
  </si>
  <si>
    <t>A.100.16.116.230701 C55</t>
  </si>
  <si>
    <t>A.100.16.117.230701 C60</t>
  </si>
  <si>
    <t xml:space="preserve">Materials, metals, ferro, steel high temperature </t>
  </si>
  <si>
    <t>A.100.18.101.230701 13CrMo4 5 (1.7335)</t>
  </si>
  <si>
    <t>A.100.18.102.230701 21MoV53</t>
  </si>
  <si>
    <t>A.100.18.103.230701 22Mo4</t>
  </si>
  <si>
    <t>A.100.18.104.230701 28NiCrMo4</t>
  </si>
  <si>
    <t xml:space="preserve">Materials, metals, ferro, steel low temperature </t>
  </si>
  <si>
    <t>A.100.20.101.230701 15NiMn6 (1.6228)</t>
  </si>
  <si>
    <t>A.100.20.102.230701 A514(A)</t>
  </si>
  <si>
    <t>A.100.20.103.230701 ASt35 (1.0346)</t>
  </si>
  <si>
    <t>A.100.20.104.230701 X12CrNi 18 9</t>
  </si>
  <si>
    <t>A.100.20.105.230701 X12Ni5 (1.5680)</t>
  </si>
  <si>
    <t>A.100.20.106.230701 X8Ni9</t>
  </si>
  <si>
    <t xml:space="preserve">Materials, metals, ferro, steel spring </t>
  </si>
  <si>
    <t>A.100.22.101.230701 38Si6</t>
  </si>
  <si>
    <t>A.100.22.102.230701 50CrV4</t>
  </si>
  <si>
    <t>A.100.22.103.230701 55Si7</t>
  </si>
  <si>
    <t>A.100.22.104.230701 67SiCr5</t>
  </si>
  <si>
    <t xml:space="preserve">Materials, metals, non ferro        Note: when 'virgin' is added it is 100% primary, when nothing is added it is a european market mix </t>
  </si>
  <si>
    <t>A.100.24.099.241123 Aluminium (primary) Global average</t>
  </si>
  <si>
    <t>metals, non-ferro</t>
  </si>
  <si>
    <t>Materials, metals, non ferro        Note: when 'virgin' is added it is 100% primary, when nothing is added it is a european market mix accoding to JRC report : Towards recycling indicators based on EU flows and raw materials analysis system data. 2018</t>
  </si>
  <si>
    <t>A.100.24.100.241123 Aluminium trade mix Global (64% prim 36% sec)</t>
  </si>
  <si>
    <t>A.100.24.101.241123 Aluminium (primary) European production, bauxite from Africa</t>
  </si>
  <si>
    <t>A.100.24.102.241125 Aluminium (secondary)</t>
  </si>
  <si>
    <t>A.100.24.103.241123 Aluminium trade mix Europe (79% prim 21% sec)</t>
  </si>
  <si>
    <t>A.100.24.104.230713 Antimony - CRM (EoL-RIR = 18%)</t>
  </si>
  <si>
    <t>A.100.24.105.230713 Cadmium (EoL-RIR = 0%)</t>
  </si>
  <si>
    <t>A.100.24.106.241117 Chromium, CRM (EoL-RIR = 21%)</t>
  </si>
  <si>
    <t>A.100.24.107.241117 Cobalt - CRM (EoL-RIR = 22%)</t>
  </si>
  <si>
    <t>A.100.24.108.241124 Copper rod tube plate (primary)</t>
  </si>
  <si>
    <t>A.100.24.109.241125 Copper (secondary)</t>
  </si>
  <si>
    <t>A.100.24.110.241125 Copper wire - plate - tube - trade mix ( 68% prim 32% sec)</t>
  </si>
  <si>
    <t>A.100.24.111.241117 Gallium, CRM (EoL-RIR = 0%)</t>
  </si>
  <si>
    <t>A.100.24.112.241117 Gold (primary)</t>
  </si>
  <si>
    <t>A.100.24.113.230701 Gold (secondary)</t>
  </si>
  <si>
    <t>A.100.24.114.230713 Gold trade mix (76% prim 24% sec)</t>
  </si>
  <si>
    <t>A.100.24.115.241117 Indium - CRM (EoL-RIR= 0%)</t>
  </si>
  <si>
    <t>A.100.24.116.230701 Lead (primary)</t>
  </si>
  <si>
    <t>A.100.24.117.230701 Lead (secondary)</t>
  </si>
  <si>
    <t>A.100.24.118.230713 Lead trade mix ( 20% prim 80% sec)</t>
  </si>
  <si>
    <t>A.100.24.119.241117 Lithium (EoL-RIR = 0%)</t>
  </si>
  <si>
    <t>A.100.24.120.230701 Magnesium - CRM (primary)</t>
  </si>
  <si>
    <t>A.100.24.121.230701 Magnesium - CRM (secondary)</t>
  </si>
  <si>
    <t>A.100.24.122.230713 Magnesium - CRM trade mix (93% prim 7% sec)</t>
  </si>
  <si>
    <t>A.100.24.123.241117 Manganese (EoL_RIR= 9%)</t>
  </si>
  <si>
    <t>A.100.24.124.241117 Mercury (virgin)</t>
  </si>
  <si>
    <t>A.100.24.125.241117 Molybdenum (EoL-RIR = 9%)</t>
  </si>
  <si>
    <t>A.100.24.126.230701 Nickel (primary)</t>
  </si>
  <si>
    <t>A.100.24.127.230701 Nickel (secondary)</t>
  </si>
  <si>
    <t>A.100.24.128.230713 Nickel trade mix (84% prim 16% sec)</t>
  </si>
  <si>
    <t>A.100.24.129.240701 Palladium - CRM (primary)</t>
  </si>
  <si>
    <t>A.100.24.130.230701 Palladium - CRM (secondary)</t>
  </si>
  <si>
    <t>A.100.24.131.230713 Palladium - CRM trade mix (67% prim 33% sec)</t>
  </si>
  <si>
    <t>A.100.24.132.240701 Platinum - CRM (primary)</t>
  </si>
  <si>
    <t>A.100.24.133.230701 Platinum - CRM (secondary)</t>
  </si>
  <si>
    <t>A.100.24.134.230713 Platinum - CRM trade mix (75% prim 25% sec)</t>
  </si>
  <si>
    <t>A.100.24.135.240701 Rhodium - CRM (primary)</t>
  </si>
  <si>
    <t>A.100.24.136.230701 Rhodium - CRM (secondary)</t>
  </si>
  <si>
    <t>A.100.24.137.230713 Rhodium - CRM trade mix (64% prim 36% sec)</t>
  </si>
  <si>
    <t>A.100.24.138.230701 Silicon (metallurgical) for steel</t>
  </si>
  <si>
    <t>A.100.24.139.241117 Silver (primary)</t>
  </si>
  <si>
    <t>A.100.24.140.230701 Silver (secondary)</t>
  </si>
  <si>
    <t>A.100.24.141.230713 Silver trade mix (81% prim 19% sec)</t>
  </si>
  <si>
    <t>A.100.24.142.241117 Tantalum (EoL-RIR = 13%)</t>
  </si>
  <si>
    <t>A.100.24.143.230713 Tellurium (EoL-RIR = 1%)</t>
  </si>
  <si>
    <t>A.100.24.144.241117 Tin (virgin)</t>
  </si>
  <si>
    <t>A.100.24.145.230701 Titanium (primary)</t>
  </si>
  <si>
    <t>A.100.24.146.230701 Titanium (secondary)</t>
  </si>
  <si>
    <t>A.100.24.147.230713 Titanium trade mix (99% prim, 1% sec)</t>
  </si>
  <si>
    <t>A.100.24.148.240228 Tungsten - CRM (EoL-RIR=42%)</t>
  </si>
  <si>
    <t>A.100.24.149.230701 Vanadium (primary)</t>
  </si>
  <si>
    <t>A.100.24.150.230713 Vanadium trade mix (99% prim 1% sec)</t>
  </si>
  <si>
    <t>A.100.24.151.241011 Zinc (primary)</t>
  </si>
  <si>
    <t>A.100.24.152.230701 Zinc (secondary)</t>
  </si>
  <si>
    <t>A.100.24.153.230713 Zinc trade mix (86% prim 14% sec)</t>
  </si>
  <si>
    <t>A.100.24.154.240228 Tungsten (primary)</t>
  </si>
  <si>
    <t>A.100.24.155.240228 Tungsten (secondary)</t>
  </si>
  <si>
    <t xml:space="preserve">Materials, metals, particular metals    </t>
  </si>
  <si>
    <t>A.100.25.101.231218 Arsenic (as co-product of Copper)</t>
  </si>
  <si>
    <t>A.100.25.102.231218 Barium</t>
  </si>
  <si>
    <t>A.100.25.103.231218 Berylium</t>
  </si>
  <si>
    <t>A.100.25.104.231106 Bismuth (as co-product of Lead)</t>
  </si>
  <si>
    <t>A.100.25.105.231218 Boron</t>
  </si>
  <si>
    <t>A.100.25.107.231218 Hafnium</t>
  </si>
  <si>
    <t>A.100.25.108.241117 Niobium</t>
  </si>
  <si>
    <t>A.100.25.109.231218 Rhenium</t>
  </si>
  <si>
    <t>A.100.25.110.231218 Strontium</t>
  </si>
  <si>
    <t>A.100.25.111.241117 Thallium</t>
  </si>
  <si>
    <t>A.100.25.112.231218 Thorium</t>
  </si>
  <si>
    <t xml:space="preserve">Materials, metals, rare earth    </t>
  </si>
  <si>
    <t>A.100.26.101.230701 Cerium</t>
  </si>
  <si>
    <t>A.100.26.102.230701 Dysprosium</t>
  </si>
  <si>
    <t>A.100.26.103.230701 Erbium</t>
  </si>
  <si>
    <t>A.100.26.104.230701 Eutropium</t>
  </si>
  <si>
    <t>A.100.26.105.230701 Gadolinium</t>
  </si>
  <si>
    <t>A.100.26.106.230701 Lanthanum</t>
  </si>
  <si>
    <t>A.100.26.107.230701 Mischmetal: Cerium 67%, lanthanum 20%, Neodimium 11%, rest 2%</t>
  </si>
  <si>
    <t>A.100.26.108.230701 Neodymium</t>
  </si>
  <si>
    <t>A.100.26.109.230701 Praseodymium</t>
  </si>
  <si>
    <t>A.100.26.110.230701 Samarium</t>
  </si>
  <si>
    <t>A.100.26.111.230701 Scandium</t>
  </si>
  <si>
    <t>A.100.26.112.230701 Terbium</t>
  </si>
  <si>
    <t>A.100.26.113.230701 Ytterbium</t>
  </si>
  <si>
    <t>A.100.26.114.230701 Yttrium</t>
  </si>
  <si>
    <t xml:space="preserve">Materials, metals, non ferro, aluminiums </t>
  </si>
  <si>
    <t>A.100.28.100.241123 Al99</t>
  </si>
  <si>
    <t>A.100.28.101.230701 AlCuMg1 (2017)</t>
  </si>
  <si>
    <t xml:space="preserve">Alternative names EN AW-2017A    A92017   UNS 3.1325   DIN AlCuMgSi  2017 </t>
  </si>
  <si>
    <t>A.100.28.102.230701 AlCuMg2 (2024)</t>
  </si>
  <si>
    <t xml:space="preserve">Alternative names EN AW-2024 UNS A92024 DIN 3.1355 ISO AlCu4Mg1 AICuMg2 2024 </t>
  </si>
  <si>
    <t>A.100.28.103.230701 AlCuMgPb (2011)</t>
  </si>
  <si>
    <t xml:space="preserve">Alternative names EN AW-2011 UNS A92011 DIN 3.1655 ISO AlCu6BiPb 2011 </t>
  </si>
  <si>
    <t>A.100.28.104.230701 AlCuSiMg (2036)</t>
  </si>
  <si>
    <t xml:space="preserve">Alternative names EN AW-2036 UNS A92036 AA2036 DIN 3.1255 2036 </t>
  </si>
  <si>
    <t>A.100.28.105.230701 AlMg1 (5005)</t>
  </si>
  <si>
    <t xml:space="preserve">Alternative names UNS A95005 DIN 3.3315 ISO AlMg1 AA 5005 </t>
  </si>
  <si>
    <t>A.100.28.106.230701 AlMg3 (5754a)</t>
  </si>
  <si>
    <t xml:space="preserve">Alternative Names EN AW-5754 UNS A95754 DIN 3.3535 ISO AlMg3 AA5754 </t>
  </si>
  <si>
    <t>A.100.28.107.230701 AlMg4.5Mn (5182)</t>
  </si>
  <si>
    <t xml:space="preserve">Alternative Names EN AW-5083 UNS A95083 DIN 3.3547 ISO AlMg4.5Mn0.7 AA5083 </t>
  </si>
  <si>
    <t>A.100.28.108.230701 AlMgSi0.5 (6060 and 6063)</t>
  </si>
  <si>
    <t xml:space="preserve">Alternative Names EN AW-6060 UNS A96060 DIN 3.3206 ISO AlMgSi AA6060 </t>
  </si>
  <si>
    <t>A.100.28.109.230701 AlMgSi0.7 (6005)</t>
  </si>
  <si>
    <t xml:space="preserve">Alternative Names EN AW-6005A UNS A96005 DIN AlMgSi(A) ISO AlSiMg(A) AA6005A </t>
  </si>
  <si>
    <t>A.100.28.110.230701 AlMn1 (3003)</t>
  </si>
  <si>
    <t xml:space="preserve">Alternative Names EN AW-3103 UNS A93103 DIN 3.0515 ISO AlMn1 AA3103 EN AW-3003 UNS A93003 DIN 3.0517 ISO AlMn1Cu AA3003 </t>
  </si>
  <si>
    <t>A.100.28.111.230701 AlMn1.2Mg1 (3004)</t>
  </si>
  <si>
    <t xml:space="preserve">Alternative Names EN AW-3004 UNS A93004 DIN 3.0526 ISO AlMn1Mg1 AA3004 </t>
  </si>
  <si>
    <t>A.100.28.112.230701 AlSiMgMn (6009)</t>
  </si>
  <si>
    <t xml:space="preserve">Alternative Names DIN AlSiMgMn ISO AlSiMgMn EN AW-6009 UNS A96009 AA6009 </t>
  </si>
  <si>
    <t>A.100.28.113.230701 AlZnCuMg (7075)</t>
  </si>
  <si>
    <t xml:space="preserve">Alternative Names EN AW-7075 UNS A97075 DIN 3.4365 ISO AlZn5.5MgCu AA7075 </t>
  </si>
  <si>
    <t>A.100.28.114.230701 G-AlCu4TiMg (204)</t>
  </si>
  <si>
    <t xml:space="preserve">Alternative Names 204.0 ENAC-AlCu4MgTi DIN 3.1371.JIS AC1B ISO AlCu4MgTi </t>
  </si>
  <si>
    <t>A.100.28.115.230701 G-AlMg3 (242)</t>
  </si>
  <si>
    <t xml:space="preserve">Alternative Names ENAC-AlMg3 UNS A93150 AA3150 ISO AlMg3 242 </t>
  </si>
  <si>
    <t>A.100.28.116.230701 G-AlMg5 (314)</t>
  </si>
  <si>
    <t xml:space="preserve">Alternative Names ENAC-AlMg3 UNS A93150 AA3150 ISO AlMg3 314 </t>
  </si>
  <si>
    <t>A.100.28.117.230701 G-AlSi12 (230)</t>
  </si>
  <si>
    <t xml:space="preserve">Alternative Names ENAC-AlSi12 (a) UNS A04130 AA413.0 ISO AlSi12 DIN 3.2581  230 </t>
  </si>
  <si>
    <t>A.100.28.118.230701 G-AlSi12Cu (231)</t>
  </si>
  <si>
    <t xml:space="preserve">Alternative Names ENAC-AlSi12(Cu) UNS A04130 AA413.0 ISO AlSi12Cu DIN 3.2583 231 </t>
  </si>
  <si>
    <t>A.100.28.119.230701 G-AlSi7Mg (Thixo)</t>
  </si>
  <si>
    <t xml:space="preserve">Alternative Names ENAC-AlSi7Mg UNS A03560 AA356.0 ISO AlSi7Mg DIN 3.2371 </t>
  </si>
  <si>
    <t>A.100.28.120.230701 G-AlSi8Cu3 (380)</t>
  </si>
  <si>
    <t xml:space="preserve">Alternative Names ENAC-AlSi8Cu3 UNS A03800 AA380.0 ISO AlSi8Cu3 DIN 3.2153 380 </t>
  </si>
  <si>
    <t xml:space="preserve">Materials, metals, non ferro, coppers </t>
  </si>
  <si>
    <t>A.100.30.097.241124 Copper wire rod</t>
  </si>
  <si>
    <t>A.100.30.098.241124 Copper tube</t>
  </si>
  <si>
    <t>A.100.30.099.241124 Copper flat rolled product</t>
  </si>
  <si>
    <t>A.100.30.100.241125 Cu-E</t>
  </si>
  <si>
    <t>A.100.30.101.230701 CuAg-E</t>
  </si>
  <si>
    <t xml:space="preserve">Alternative Names EN CW013A UNS C10700 DIN 2.1203 ISO CuAg0.1 JIS C1070 </t>
  </si>
  <si>
    <t>A.100.30.102.230701 CuAl5</t>
  </si>
  <si>
    <t xml:space="preserve">Alternative Names EN: CuAl5As (CW300G) UNS: C60800 DIN: 2.0916 ISO: CuAl5 AF NOR: P-CuAl5 GOST: BrA5 </t>
  </si>
  <si>
    <t>A.100.30.103.230701 CuNi10Fe</t>
  </si>
  <si>
    <t xml:space="preserve">Alternative Names EN: CuNi10Fe1Mn (CW352H) UNS: C70600 DIN: 2.0872 ISO: CuNi10Fe1Mn BS: CN102JIS: C7060T </t>
  </si>
  <si>
    <t>A.100.30.104.230701 CuNi18Zn</t>
  </si>
  <si>
    <t xml:space="preserve">Alternative Names EN: CuNi18Zn20 (CW409J) UNS: C76400 DIN: 2.0740 ISO: CuNi18Zn20 JIS: C7641 </t>
  </si>
  <si>
    <t>A.100.30.105.230701 CuNi44Mn</t>
  </si>
  <si>
    <t xml:space="preserve">Alternative Names EN: CuNi44Mn1 UNS: C72150 DIN: 2.0842 ISO: CuNi44 BS: CN403 JIS: C7215 </t>
  </si>
  <si>
    <t>A.100.30.106.230701 CuSn6.7P</t>
  </si>
  <si>
    <t xml:space="preserve">Alternative Names EN: CuSn6 (CW452K) UNS: C51900 DIN: 2.1020 JIS: C5191 BS: PB102 AFNOR: CuSn6P </t>
  </si>
  <si>
    <t>A.100.30.107.230701 CuSn8</t>
  </si>
  <si>
    <t xml:space="preserve">Alternative Names EN: CuSn8 (CW453K) UNS: C52100 DIN: 2.1030 JIS: C5212 BS: PB104 AFNOR: P-CuSn8 </t>
  </si>
  <si>
    <t>A.100.30.108.230701 CuZn15</t>
  </si>
  <si>
    <t xml:space="preserve">Alternative Names Tombac EN: CW502L UNS: C23000 DIN: 2.0240 JIS: C2300 BS: CZ102 AFNOR: L85 </t>
  </si>
  <si>
    <t>A.100.30.109.230701 CuZn30</t>
  </si>
  <si>
    <t xml:space="preserve">Alternative Names Cartridge Brass EN: CW505L UNS: C26000 DIN: 2.0265 JIS: C2600 BS: CZ106 AFNOR: L70 </t>
  </si>
  <si>
    <t>A.100.30.110.230701 CuZn37 (Brass)</t>
  </si>
  <si>
    <t xml:space="preserve">Alternative Names Brass EN: CW508L UNS: C27200 DIN: 2.0321 JIS: C2720 BS: CZ108 AFNOR: L63 </t>
  </si>
  <si>
    <t>A.100.30.111.230701 CuZn40 (Muntz metal)</t>
  </si>
  <si>
    <t xml:space="preserve">Alternative Names Muntz Metal EN: CW509L UNS: C28000 DIN: 2.0360 JIS: C2801 BS: CZ109 AFNOR: L60 </t>
  </si>
  <si>
    <t>A.100.30.112.230701 CuZn40Pb (Brass alloy, alpha-beta, machinable)</t>
  </si>
  <si>
    <t xml:space="preserve">Alternative Names EN: CuZn37Pb1 (CW605N) UNS: C36500 DIN: 2.0371 JIS: C3501 BS: CZ123 AFNOR: P-CuZn39Pb1 </t>
  </si>
  <si>
    <t>A.100.30.113.230701 G-CuAl10Fe</t>
  </si>
  <si>
    <t xml:space="preserve">Alternative Names EN: CuAl10Fe2-B UNS: C62400 DIN: 2.0940 ISO: CuAl10Fe BS: AB1 AFNOR: CuAl10Fe </t>
  </si>
  <si>
    <t>A.100.30.114.230701 G-CuAl10Ni</t>
  </si>
  <si>
    <t xml:space="preserve">Alternative Names EN: CuAl10Fe5Ni5-C UNS: C95500 DIN: 2.0975 ISO: CuAl10Fe5Ni5 BS: AB2 AFNOR: CuAl10Fe5Ni5 </t>
  </si>
  <si>
    <t>A.100.30.115.230701 G-CuNi10</t>
  </si>
  <si>
    <t xml:space="preserve">Alternative Names EN: CuNi10Fe1Mn-C UNS: C96200 DIN: 2.0815.01 ISO: CuNi10Fe1Mn BS: CN1-C AFNOR: CuNi10Fe1Mn </t>
  </si>
  <si>
    <t>A.100.30.116.230701 G-CuSn10</t>
  </si>
  <si>
    <t xml:space="preserve">Alternative Names EN: CuSn10-C (CC480K) UNS: C90700 DIN: 2.1050.01 ISO: CuSn10 BS: CT1 AFNOR: CuSn10 </t>
  </si>
  <si>
    <t>A.100.30.117.230701 G-CuSn12</t>
  </si>
  <si>
    <t xml:space="preserve">Alternative Names EN: CuSn12-C (CC483K) UNS: C91700 DIN: 2.1052.01 ISO: CuSn12 BS: PB2 AFNOR: UE12 </t>
  </si>
  <si>
    <t>A.100.30.118.230701 G-CuSn5Zn5Pb5</t>
  </si>
  <si>
    <t xml:space="preserve">Alternative Names EN: CuSn5Zn5Pb5-C (CC491K) UNS: C83600 DIN: 2.1096.01 ISO: CuSn5Zn5Pb5 BS: LG2 AFNOR: UE5Pb </t>
  </si>
  <si>
    <t>A.100.30.119.230701 G-CuZn15</t>
  </si>
  <si>
    <t xml:space="preserve">Alternative Names EN: CuZn15As-C UNS: C23000 DIN: 2.0241.01 ISO: CuZn15As-C BS: CZ102 AFNOR: L85 </t>
  </si>
  <si>
    <t>A.100.30.120.230701 G-CuZn37Pb</t>
  </si>
  <si>
    <t xml:space="preserve">Alternative Names EN: CuZn39Pb1Al-C UNS: C37100 DIN: 2.0340 ISO: CuZn39Pb1Al-C BS: CZ114 AFNOR: CuZn39Pb1Al </t>
  </si>
  <si>
    <t>A.100.30.121.230701 G-CuZn40</t>
  </si>
  <si>
    <t xml:space="preserve">Alternative Names EN: CuZn40-C (CC770S) UNS: C28000 DIN: 2.0360 ISO: CuZn40 BS: CZ109 AFNOR: L60 </t>
  </si>
  <si>
    <t>Materials, metals, non ferro, magnesiums</t>
  </si>
  <si>
    <t>A.100.32.101.230701 AM100A</t>
  </si>
  <si>
    <t xml:space="preserve">Alternative Names UNS: M10100 ASTM: AM100A AMS: 4483 SAE: J465 </t>
  </si>
  <si>
    <t>A.100.32.102.230701 AM503</t>
  </si>
  <si>
    <t xml:space="preserve">Alternative Names UNS: M10503 ASTM: AM503 AMS: 4484 SAE: J466 </t>
  </si>
  <si>
    <t>A.100.32.103.230701 G-MgAl6Zn3</t>
  </si>
  <si>
    <t xml:space="preserve">Alternative Names EN: EN-MAMgAl6Zn3 UNS: AZ63 DIN: MgAl6Zn3 ISO: MgAl6Zn3 Trade names: EN-MA21150 Magnesium AZ63 Magnesium Alloy AZ63 </t>
  </si>
  <si>
    <t>A.100.32.104.230701 G-MgAl8Zn1</t>
  </si>
  <si>
    <t xml:space="preserve">Alternative Names EN: EN-MCMgAl8Zn1 ISO: MgAl8Zn1 UNS: AZ81 DIN: G-MgAl8Zn1 AFNOR: G-A8Z BS: A8 </t>
  </si>
  <si>
    <t>A.100.32.105.230701 G-MgAl9Zn2</t>
  </si>
  <si>
    <t xml:space="preserve">Alternative Names trade names: Elektron® AZ91 </t>
  </si>
  <si>
    <t>A.100.32.106.230701 GD-MgAl9Zn1</t>
  </si>
  <si>
    <t xml:space="preserve">Alternative Names EN: EN-MCMgAl9Zn1(A) UNS: AZ91 DIN: MgAl9Zn1 ISO: MgAl9Zn1 AFNOR: G-A9Z1 BS: MAG7 </t>
  </si>
  <si>
    <t>A.100.32.107.230701 MgAl3Zn</t>
  </si>
  <si>
    <t xml:space="preserve">Alternative Names EN: EN-MAMgAl3Zn1 (EN-MA21130) UNS: AZ31 DIN: MgAl3Zn1 ISO: MgAl3Zn1 AFNOR: G-A3Z1 BS: MAG-E-111 </t>
  </si>
  <si>
    <t>A.100.32.108.230701 MgZn6Zr</t>
  </si>
  <si>
    <t xml:space="preserve">Alternative Names ASTM: ZK60A UNS: M16600 ISO: ISO-WD32260 DIN: MgZn6Zr AFNOR: MAG-E-161 </t>
  </si>
  <si>
    <t>A.100.32.109.230701 MgMn1.5</t>
  </si>
  <si>
    <t xml:space="preserve">Alternative Names ASTM: M1A UNS: M11100 ISO: MgMn1 DIN: 3.5200BS: HM21A FNOR: G-MA1 </t>
  </si>
  <si>
    <t>A.100.32.110.230701 MgAl6Zn</t>
  </si>
  <si>
    <t xml:space="preserve">Alternative Names ASTM: AZ61A UNS: M11610 ISO: ISO-WD21160 DIN: 3.5614A FNOR: MAG-E-121 </t>
  </si>
  <si>
    <t>Materials, metals, non ferro, nickels</t>
  </si>
  <si>
    <t>A.100.34.101.230701 Duranickel</t>
  </si>
  <si>
    <t xml:space="preserve">Alternative Names sub types Alloy 300 Alloy 301 Trade names:  </t>
  </si>
  <si>
    <t>A.100.34.102.230701 Invar</t>
  </si>
  <si>
    <t xml:space="preserve">Alternative Names FeNi36 64FeNi (primarily used in the United States) UNS K93600Alloy  36Nilo  36Pernifer  36Invar  SteelSuper  Invar 32-5 Carpenter 36 Trade names: Invar (original trademark by Imphy Alloys now part of Aperam)Carpenter Invar 36 (produced by Carpenter Technology Corporation)Nilo 36 (by Special Metals Corporation)Pernifer 36 (by ThyssenKrupp VDM)Vacuumschmelze Vacodil 36 (by Vacuumschmelze GmbH)Invar Standard or Invar Alloy 36Nilvar (a less common trade name) </t>
  </si>
  <si>
    <t>A.100.34.103.230701 Mumetal</t>
  </si>
  <si>
    <t xml:space="preserve">Alternative Names not to be confused with ASTM A753 Alloy 4: 80% nickel 5% molybdenum small amounts of various other elements and 12~15% iron for the remainder  </t>
  </si>
  <si>
    <t>A.100.34.104.230701 Ni 99.6</t>
  </si>
  <si>
    <t xml:space="preserve">Alternative Names DIN: 2.4060  BR-Ni 99.6 UNS: N02200  Nickel 200 ISO: Ni 99. 6BS: NA11 AFNOR: N-100 Trade names: Nickel 200 (most commonly used trade name)Commercially Pure NickelCP NickelLow Carbon NickelAlloy 200 (used by some manufacturers interchangeably with Nickel 200) </t>
  </si>
  <si>
    <t>A.100.34.105.230701 Ni span C902</t>
  </si>
  <si>
    <t xml:space="preserve">Alternative Names Alloy 902 or UNS N09902 </t>
  </si>
  <si>
    <t>A.100.34.106.230701 NiCr 80 20</t>
  </si>
  <si>
    <t xml:space="preserve">Alternative Names UNS: N06003 DIN: 2.4869 BS: N8 AFNOR: Cr20Ni80 Trade Names: Nichrome V Nikrothal 80 Resistohm 80 Cronix 80 HAI-NiCr 80 X20H80 </t>
  </si>
  <si>
    <t>A.100.34.107.230701 NiCr20Co18Ti</t>
  </si>
  <si>
    <t xml:space="preserve">Alternative Names EN: 2.4632 UNS: N07090 Trade Names: Nimonic 90 Superimphy 90 Pyromet 90 Udimet 90 </t>
  </si>
  <si>
    <t>A.100.34.108.230701 NiCr20TiAl</t>
  </si>
  <si>
    <t xml:space="preserve">Alternative Names EN: 2.4952 UNS: N07080 Trade Names: Alloy 80A Nimonic 80A Pyromet 80A Nickelvac 80A </t>
  </si>
  <si>
    <t>A.100.34.109.230701 NiCu30Al</t>
  </si>
  <si>
    <t xml:space="preserve">Alternative Names UNS: N05500 EN: 2.4375 BS: NA18 AFNOR: NU30AT Trade Names: Monel K-500 Nicorros AL </t>
  </si>
  <si>
    <t>A.100.34.110.230701 NiCu30Fe</t>
  </si>
  <si>
    <t xml:space="preserve">Alternative Names UNS: N04400 EN: 2.4360 DIN: NiCu30Fe BS: NA13 AFNOR: NU30 Trade Names: Monel 400 Nicorros </t>
  </si>
  <si>
    <t>A.100.34.111.230701 NiFe 50 50</t>
  </si>
  <si>
    <t xml:space="preserve">Alternative Names UNS: K95050 EN: 1.3917 Trade names: Alloy 52 Nilo 50 Pernifer 50 Glass-Seal 52 </t>
  </si>
  <si>
    <t>A.100.34.112.230701 NiMo30</t>
  </si>
  <si>
    <t xml:space="preserve">Alternative Names DIN/EN: NiMo 30 BSI/AFNOR: N 10001 UNS: N10276 Werkstoff Nr.: 2.4819 Trade Names: Hastelloy C-276 G-NiMo30 </t>
  </si>
  <si>
    <t>A.100.34.113.230701 Supermalloy</t>
  </si>
  <si>
    <t xml:space="preserve">Alternative Names no other names </t>
  </si>
  <si>
    <t>Materials, metals, non ferro, titaniums</t>
  </si>
  <si>
    <t>A.100.36.101.230701 TiAl5Sn2</t>
  </si>
  <si>
    <t xml:space="preserve">Alternative Names Grade 6 Titanium  Ti-5Al-2.5Sn UNS: R54520 ASTM Standards: ASTM B265 Grade 6 ASTM B348 Grade 6 ASTM B381 Grade 6. AMS Specifications:AMS 4926 AMS 4910 AMS 4966 AMS 4953 Military Specifications: MIL-T-9046 MIL-T-9047 MIL F-83142 MIL T-81556 MIL T-81915 </t>
  </si>
  <si>
    <t>A.100.36.102.230701 TiAl6V4</t>
  </si>
  <si>
    <t xml:space="preserve">Alternative Names UNS: R56400 ASTM Grades: Grade 5 AMS : AMS 4928 ISO: 3.7165 Trade Names: Ti64 TC4 </t>
  </si>
  <si>
    <t>A.100.36.103.230701 TiV15SnCrAl3</t>
  </si>
  <si>
    <t xml:space="preserve">Alternative Names not to be cofused with Beta C Titanium Ti-3Al-8V-6Cr-4Mo-4Zr </t>
  </si>
  <si>
    <t>Materials, metals, non ferro, zincs</t>
  </si>
  <si>
    <t>A.100.38.101.230701 G-ZnAlCu</t>
  </si>
  <si>
    <t xml:space="preserve">Alternative Names EN 12844 </t>
  </si>
  <si>
    <t>A.100.38.102.230701 Zamak3</t>
  </si>
  <si>
    <t xml:space="preserve">Alternative Names ASTM: Zinc Alloy 3 ISO:ZP0430 (Zinc Pressure Casting Alloy with 4% Aluminum and 0.3% Copper) DIN: GD ZnAl4Cu1 BS:ZnAl4 AFNOR: ZL3 Chinese Standard: ZnAl4Cu1  Japanese Standard: DAC 3 </t>
  </si>
  <si>
    <t>A.100.38.103.230701 Zamak5</t>
  </si>
  <si>
    <t xml:space="preserve">Alternative Names ASTM: Zinc Alloy 5 ISO: ZP0435 (Zinc Pressure Casting Alloy with 4% Aluminum and 0.5% Copper) DIN: GD ZnAl4Cu1 BS: ZnAl4Cu1 AFNOR: ZL5 Chinese Standard: ZnAl4Cu1  Japanese Standard: DAC 5 </t>
  </si>
  <si>
    <t>A.100.38.104.230701 ZnCuTi</t>
  </si>
  <si>
    <t>A.100.38.105.230701 Zinc (super plastic)</t>
  </si>
  <si>
    <t>Materials, metals, non ferro, magnets</t>
  </si>
  <si>
    <t>A.100.40.101.230701 Barium Ferrite magnet, ceramic 4 MGOe</t>
  </si>
  <si>
    <t>A.100.40.102.230701 Neodymium magnet (NdFeB) 50 MGOe</t>
  </si>
  <si>
    <t>A.100.40.103.230701 Neodymium magnet (NdFeB) 50 MGOe recycled</t>
  </si>
  <si>
    <t>A.100.40.104.230701 Neodymium magnet (NdFeB) corrosion resistant 40 MGOe</t>
  </si>
  <si>
    <t>A.100.40.105.230701 Neodymium magnet (NdFeB) corrosion resistant 40 MGOe recycled</t>
  </si>
  <si>
    <t>A.100.40.106.230701 SmCo (1:5) magnet, 20 MGOe</t>
  </si>
  <si>
    <t>A.100.40.107.230701 Nitride magnet (Fe16N2), 20-80 MGOe</t>
  </si>
  <si>
    <t>Materials, paper and packaging, general</t>
  </si>
  <si>
    <t>A.120.01.101.260213 Recycled paper (testliner and fluting) in Europe</t>
  </si>
  <si>
    <t>paper &amp; packaging</t>
  </si>
  <si>
    <t>A.120.01.102.260213 Brown paper (kraft liner)</t>
  </si>
  <si>
    <t>A.120.01.103.260213 Brown paper (kraft liner) 70 gr/m2</t>
  </si>
  <si>
    <t>A.120.01.104.260213 Brown paper (kraft liner) - FSC or wood waste based</t>
  </si>
  <si>
    <t>A.120.01.105.260213 Moulded fibre products</t>
  </si>
  <si>
    <t>A.120.01.106.260213 Office paper woodfree uncoated bleached -  FSC or waste wood based</t>
  </si>
  <si>
    <t>A.120.01.107.260213 Office paper woodfree uncoated bleached 80 gr/m2</t>
  </si>
  <si>
    <t>A.120.01.108.260213 Office paper uncoated bleached -  from recycled (office) paper</t>
  </si>
  <si>
    <t>A.120.01.109.260213 Semichemical fluting</t>
  </si>
  <si>
    <t>A.120.01.110.260213 Semichemical fluting - FCS or wood waste based</t>
  </si>
  <si>
    <t>A.120.01.111.240310 Folding Boxboard GC1</t>
  </si>
  <si>
    <t>A.120.01.112.240310 Folding Boxboard GC2 or GC3</t>
  </si>
  <si>
    <t>A.120.01.113.260213 Paper and board for (fat) food packaging</t>
  </si>
  <si>
    <t>A.120.01.114.241205 Bamboo paper in Shenzhen produced in Sichuan proxi</t>
  </si>
  <si>
    <t>A.120.01.115.260213 Solid board (from recycling paper) in Europe</t>
  </si>
  <si>
    <t>A.120.01.116.260212 Sanitary paper (virgin) in Europe</t>
  </si>
  <si>
    <t>A.120.01.117.260212 Sanitary paper (from recycled paper) in Europe</t>
  </si>
  <si>
    <t>Materials, packaging MAP films</t>
  </si>
  <si>
    <t>A.120.10.101.230701 film HDPE 50 mu</t>
  </si>
  <si>
    <t>A.120.10.102.230701 film LDPE 50 mu</t>
  </si>
  <si>
    <t>A.120.10.103.230701 film PC 50 mu</t>
  </si>
  <si>
    <t>A.120.10.104.230701 film PET / PE+EVOH+PE 62 mu for MAP</t>
  </si>
  <si>
    <t>A.120.10.105.230701 film PET 50 mu</t>
  </si>
  <si>
    <t>A.120.10.106.230701 film PET+ALOx / LDPE 62 mu for MAP</t>
  </si>
  <si>
    <t>A.120.10.107.230701 film PET+PVOH / LDPE 62 mu for MAP</t>
  </si>
  <si>
    <t>A.120.10.108.230701 film PLA (biobased) 50 mu</t>
  </si>
  <si>
    <t>A.120.10.109.230701 film PP 50 mu</t>
  </si>
  <si>
    <t>A.120.10.110.230701 film PP+PVDC 62 mu for MAP</t>
  </si>
  <si>
    <t>A.120.10.111.230701 film PS (shrink) 50 mu</t>
  </si>
  <si>
    <t>A.120.10.112.230701 film PVC (stiff shrink) 50 mu</t>
  </si>
  <si>
    <t>A.120.10.113.230701 Printing of multilayer film - UV Inkjet</t>
  </si>
  <si>
    <t>Materials, packaging MAP gasses</t>
  </si>
  <si>
    <t>A.120.20.101.230701 MAP Carbon Dioxide gas at 1 bar 0 degr C</t>
  </si>
  <si>
    <t>A.120.20.102.230701 MAP Nitrogen gas at 1 bar 0 degr C</t>
  </si>
  <si>
    <t>A.120.20.103.230701 MAP Oxygen gas at 1 bar 0 degr C</t>
  </si>
  <si>
    <t>Materials, packaging micellanious</t>
  </si>
  <si>
    <t>A.120.30.101.240310 Mycelium composite protective packaging - Grown Bio 121 kg/m3</t>
  </si>
  <si>
    <t>Materials, plastics, packaging micellanious</t>
  </si>
  <si>
    <t>A.120.30.102.230701 Paperfoam</t>
  </si>
  <si>
    <t>A.120.30.103.241206 Stonepaper from Taiwan in Rotterdam</t>
  </si>
  <si>
    <t xml:space="preserve">Rock PaperMineral PaperRich Mineral Paper (RMP)Limestone PaperCalcium Carbonate PaperTree-Free PaperStone Fiber PaperEco-Stone PaperTerraSkinKarst Stone PaperAgile Stone PaperEnviro PaperFiberless PaperPaper Made of StoneSynthetic Paper (when emphasizing the resin component) </t>
  </si>
  <si>
    <t>A.120.30.104.241206 Stonepaper from Germany in Rotterdam</t>
  </si>
  <si>
    <t>A.120.30.105.250810 pallet Euro 1 Euro 2 Euro 3 and ISO wood per round trip (30)</t>
  </si>
  <si>
    <t>m2</t>
  </si>
  <si>
    <t>A.120.30.106.250816 Ca(Alg)2 bioplastic from seaweed alginate (compostable)</t>
  </si>
  <si>
    <t>Materials, plastics, bioplastics</t>
  </si>
  <si>
    <t>A.130.01.101.250620 bio-HDPE (Polyethylene) - not biodegradable - from ethanol (Brazil Braskem)</t>
  </si>
  <si>
    <t>plastics</t>
  </si>
  <si>
    <t xml:space="preserve">Alternative names: Bio-PE Bio-based Polyethylene Renewable Polyethylene CAS number: 9002-88-4 (same as conventional polyethylene as it has the same chemical structure) </t>
  </si>
  <si>
    <t>A.130.01.102.250705 CA (Cellulose polymers) - biodegradable</t>
  </si>
  <si>
    <t xml:space="preserve">Alternative names: CA Cellulose Acetate Cellulose Diacetate Acetylated Cellulose CAS number: 9004-35-7 </t>
  </si>
  <si>
    <t>A.130.01.103.250705 PA-11 (Nylon-11) - bio-based not biodegradable</t>
  </si>
  <si>
    <t xml:space="preserve">Alternative names: PA-11 Nylon-11 Polyamide 11 Rilsan (common trade name) CAS number: 25035-04-5 </t>
  </si>
  <si>
    <t>A.130.01.104.240814 bio-PET (Polyethylene terephthalate) from sugarcane - not biodegradable</t>
  </si>
  <si>
    <t xml:space="preserve">Alternative names: Bio-PET Bio-based PET Renewable PET Bio-based Polyethylene Terephthalate CAS number: 25038-59-9 (same as conventional PET as it has the same chemical structure) </t>
  </si>
  <si>
    <t>A.130.01.105.230701 PHA and PHB (Polyhydroxyalkanoates) from wastewater sludge - biodegradable)</t>
  </si>
  <si>
    <t xml:space="preserve">Alternative names: PHA Polyhydroxyalkanoates Biopolyester CAS number: Varies by specific type with common CAS for PHA being 80181-31-3 (general) and for PHB (Polyhydroxybutyrate) being 29435-48-1. Alternative names: PHB Polyhydroxybutyrate Biopolyester CAS number: 29435-48-1 </t>
  </si>
  <si>
    <t>A.130.01.106.230701 PLA (Polylactide) of corn stover - biodegradable</t>
  </si>
  <si>
    <t xml:space="preserve">Alternative names: PLA Polylactic Acid Polylactide CAS number: 26100-51-6 </t>
  </si>
  <si>
    <t>A.130.01.107.230701 PBS-Starch 50%-50% blend - biodegradable</t>
  </si>
  <si>
    <t xml:space="preserve">Alternative names: PBS Polybutylene Succinate Biodegradable Polyester CAS number: 25777-14-4 </t>
  </si>
  <si>
    <t>A.130.01.108.231019 PBS (Polybutylene succinate) - biodegradable</t>
  </si>
  <si>
    <t>A.130.01.109.231019 PBAT (polybutylene adipate-co-terephthalate) -  biodegradable</t>
  </si>
  <si>
    <t xml:space="preserve">Alternative names: Polybutylene Adipate Terephthalate (PBAT) poly(butylene adipate-co-terephthalate) polybutylene adipate-co-terephthalate CAS Number: 61894-10-8 </t>
  </si>
  <si>
    <t>A.130.01.110.250620 bio-PE (Polyethylene) from agricultural waste - not biodegradable</t>
  </si>
  <si>
    <t>A.130.01.111.250620 bio-PP (Polypropylene) from agricultural waste - not biodegradable</t>
  </si>
  <si>
    <t xml:space="preserve">Alternative Names: Bio-based Polypropylene Bio-derived Polypropylene CAS Number: The CAS number for polypropylene (applies to both petroleum-based and bio-based versions) is 9003-07-0. </t>
  </si>
  <si>
    <t>A.130.01.112.240814 PEF (Polyethylene furan-2,5-dicarboxylate) from sugarcane - not biodegradable</t>
  </si>
  <si>
    <t xml:space="preserve">Alternative Names: Poly(ethylene furanoate) Bio-based Polyester It is often considered a sustainable alternative to PET (Polyethylene Terephthalate) due to its better barrier properties and reduced environmental impact. CAS Number: 25038-71-5 </t>
  </si>
  <si>
    <t>Materials, plastics, recycled plastics</t>
  </si>
  <si>
    <t>A.130.03.091.250411  rABS - mechanical recycled in China - ex transport</t>
  </si>
  <si>
    <t>A.130.03.092.250411  rPE - mechanical recycled in China - ex transport</t>
  </si>
  <si>
    <t>A.130.03.093.250411  rPET - mechanical recycled in China - ex transport</t>
  </si>
  <si>
    <t>A.130.03.094.250411  rPP - mechanical recycled in China - ex transport</t>
  </si>
  <si>
    <t>A.130.03.095.250411  rPS - mechanical recycled in China - ex transport</t>
  </si>
  <si>
    <t>A.130.03.096.250411  rPVC - mechanical recycled in China - ex transport</t>
  </si>
  <si>
    <t>A.130.03.101.250411 average rPET/rPE/rPP - mechanical recycled in EU - ex transport</t>
  </si>
  <si>
    <t>A.130.03.102.250411  rPVC - mechanical recycled in EU - ex transport</t>
  </si>
  <si>
    <t>A.130.03.103.230701 ABS (Acrylonitrile butadiene styrene) chemical upcycled</t>
  </si>
  <si>
    <t>A.130.03.104.230701 CA (Cellelose Acetate tetra) chemical upcycled</t>
  </si>
  <si>
    <t>A.130.03.105.250712 EVA (Ethylene vinyl acetate) chemical upcycled</t>
  </si>
  <si>
    <t>A.130.03.106.230701 Flexible Polymeer Foam (PE) chemical upcycled</t>
  </si>
  <si>
    <t>A.130.03.107.230701 Ionomer chemical upcycled</t>
  </si>
  <si>
    <t>A.130.03.108.250705 PA-11 (Nylon-11) chemical upcycled - not biodegradable</t>
  </si>
  <si>
    <t>A.130.03.109.230701 PA (Nylons) chemical upcycled</t>
  </si>
  <si>
    <t>A.130.03.110.230701 PC (Polycarbonate) chemical upclycled</t>
  </si>
  <si>
    <t>A.130.03.111.230701 bio-PE (Polyethylene) chemical upcycled - non biodegradable</t>
  </si>
  <si>
    <t>A.130.03.112.230701 PE (HDPE  High density Polyethylene) chemical upcycled</t>
  </si>
  <si>
    <t>A.130.03.113.230701 PET (Polyethylene terephthalate) chemical upcycled</t>
  </si>
  <si>
    <t>A.130.03.114.230701 PHA and PHB (Polyhydroxyalkanoates) chemical upcycled - biodegradeble</t>
  </si>
  <si>
    <t>A.130.03.115.230701 PLA (Polylactide - starch based) chemical upcycled - biodegradeble</t>
  </si>
  <si>
    <t>A.130.03.116.230701 PMMA (Polymethyl methacrylate) chemical upcycled</t>
  </si>
  <si>
    <t>A.130.03.117.230701 POM (Polyoxymethylene) chemical upcycled</t>
  </si>
  <si>
    <t>A.130.03.118.230701 PP (Polypropylene) chemical upcycled</t>
  </si>
  <si>
    <t>A.130.03.119.230701 PS (Polystyrene) chemical upcycled</t>
  </si>
  <si>
    <t>A.130.03.120.230701 PTFE (Teflon) chemical upcycled</t>
  </si>
  <si>
    <t>A.130.03.121.230701 PTT (Polyltrimethylene terephthalate) chemical upcycled</t>
  </si>
  <si>
    <t>A.130.03.122.230701 PUR (Polyurethane) chemical upcycled</t>
  </si>
  <si>
    <t>A.130.03.123.230701 PVC (Polyvinylchloride) chemical upcycled</t>
  </si>
  <si>
    <t>A.130.03.124.230701 Starch-PBS 50%-50% blend chemical upcycled - biodegradeble</t>
  </si>
  <si>
    <t>A.130.03.125.230701 PBS  chemical upcycled - biodegradeble</t>
  </si>
  <si>
    <t>A.130.03.126.230701 PBAT (polybutylene adipate-co-terephthalate) chemical upcycled - biodegradeble</t>
  </si>
  <si>
    <t>A.130.03.127.240817 PAN (Polyacrylonitrile fibres) chemical upcycled</t>
  </si>
  <si>
    <t>A.130.03.128.240817 bio-PP (Polypropylene) chemical upcycled - not biodegradable</t>
  </si>
  <si>
    <t>A.130.03.129.240817 bio-PET (Polyethylene terephthalate) chemical upcycled - not biodegradable</t>
  </si>
  <si>
    <t>A.130.03.130.230701 PEF (Polyethylene furan-2.5-dicarboxylate) chemical upcycled - not biodegradeble</t>
  </si>
  <si>
    <t xml:space="preserve">Materials, plastics, Rubbers                     </t>
  </si>
  <si>
    <t>A.130.05.100.230701 BR (butadiene rubber)</t>
  </si>
  <si>
    <t xml:space="preserve">Alternative names: Polybutadiene Butadiene rubber BR CAS number: 9003-17-2 </t>
  </si>
  <si>
    <t>A.130.05.101.250730 Tires (SBR plus Carbon black plus steel)</t>
  </si>
  <si>
    <t xml:space="preserve">Alternative names: Polybutadiene Butadiene rubber BR CAS 9003-17-2 Alternative names: Isobutylene Isoprene Rubber Butyl rubber IIR CAS 9010-85-9 </t>
  </si>
  <si>
    <t>A.130.05.102.240813 EPDM (ethylene propylene diene monomer rubber)</t>
  </si>
  <si>
    <t xml:space="preserve">Alternative names: EPDM Ethylene Propylene Diene Monomer Rubber Ethylene Propylene Rubber CAS 25038-36-2 </t>
  </si>
  <si>
    <t>A.130.05.103.250712 EVA (ethylene vinyl acetate rubber)</t>
  </si>
  <si>
    <t xml:space="preserve">Alternative names: EVA Ethylene Vinyl Acetate Copolymer Ethylene Vinyl Acetate Rubber CAS 24937-78-8 </t>
  </si>
  <si>
    <t>A.130.05.104.250705 IR (polyisoprene rubber)</t>
  </si>
  <si>
    <t xml:space="preserve">Alternative names: IR Polyisoprene Rubber Synthetic Natural Rubber CAS 9003-31-0 </t>
  </si>
  <si>
    <t>A.130.05.105.230701 Natural rubber (from Thailand in Rotterdam)</t>
  </si>
  <si>
    <t xml:space="preserve">Alternative names: NR Caoutchouc Latex Rubber CAS number: 9006-04-6 </t>
  </si>
  <si>
    <t>A.130.05.106.230701 NBR (nitrile rubber)</t>
  </si>
  <si>
    <t xml:space="preserve">Alternative names: NBR Nitrile Rubber Buna-N Acrylonitrile Butadiene Rubber CAS 9003-18-3 </t>
  </si>
  <si>
    <t>A.130.05.107.230701 Polychloroprene (Neoprene and CR) rubber</t>
  </si>
  <si>
    <t xml:space="preserve">Alternative names: Polychloroprene Neoprene CR Rubber CAS 9010-98-4 </t>
  </si>
  <si>
    <t>A.130.05.108.230701 PU (polyurethane) rubber shoe soles MDI 41.4% Polyols 58.5%</t>
  </si>
  <si>
    <t xml:space="preserve">Alternative names: PU Polyurethane Rubber Polyurethane Elastomer CAS 9009-54-5 or 68258-82-2 </t>
  </si>
  <si>
    <t>A.130.05.109.240811 SAN (Styrene-acrylonitrile copolymer)</t>
  </si>
  <si>
    <t xml:space="preserve">Alternative names: SAN Styrene-Acrylonitrile Resin Styrene Acrylonitrile Styrene-Acrylonitrile Copolymer CAS 9003-54-7 </t>
  </si>
  <si>
    <t>A.130.05.110.230701 SBR (Styrene butadiene rubber)</t>
  </si>
  <si>
    <t xml:space="preserve">Alternative names: SBR Styrene Butadiene Rubber Buna-S Styrene-Butadiene Copolymer CAS 9003-55-8 </t>
  </si>
  <si>
    <t>A.130.05.111.230701 Silicone rubber (PDMS)</t>
  </si>
  <si>
    <t xml:space="preserve">Alternative names: PDMS Polydimethylsiloxane Silicone Rubber CAS 63148-62-9 </t>
  </si>
  <si>
    <t xml:space="preserve">Materials, plastics, Thermoplasts                         </t>
  </si>
  <si>
    <t>A.130.07.101.240811 ABS (Acrylonitrile butadiene styrene)</t>
  </si>
  <si>
    <t xml:space="preserve">Alternative names: ABS Acrylonitrile Butadiene Styrene ABS Polymer CAS 9003-56-9 </t>
  </si>
  <si>
    <t>A.130.07.102.230701 ABS 30% glass fibre</t>
  </si>
  <si>
    <t>A.130.07.103.230701 Ionomer</t>
  </si>
  <si>
    <t xml:space="preserve">Alternative names: Ionomer Resin Ionomer Copolymer Surlyn (a common trade name) CAS 9010-95-7 </t>
  </si>
  <si>
    <t>A.130.07.104.230803 PA 6 (Nylon 6  Polyamide 6)</t>
  </si>
  <si>
    <t xml:space="preserve">Alternative names: PA 6 Nylon 6 Polyamide 6 Polycaprolactam CAS 25038-54-4 </t>
  </si>
  <si>
    <t>A.130.07.105.230701 PA 6 30% glass fibre</t>
  </si>
  <si>
    <t>A.130.07.106.230803 PA 66 (Nylon 66  Polyamide 6-6)</t>
  </si>
  <si>
    <t xml:space="preserve">Alternative names: PA 66 Nylon 66 Polyamide 6-6 Poly(hexamethylene adipamide) CAS 32131-17-2 or 9011-55-6 </t>
  </si>
  <si>
    <t>A.130.07.107.230701 PA 66 30% glass fibre</t>
  </si>
  <si>
    <t xml:space="preserve">Alternative names: PA 66 Nylon 66 Polyamide 6-6 Poly(hexamethylene adipamide) CAS 32131-1 </t>
  </si>
  <si>
    <t>A.130.07.108.230701 PB-1 (Polybutylene)</t>
  </si>
  <si>
    <t xml:space="preserve">Alternative names: PB-1 Polybutylene-1 Poly(1-butene) CAS 9003-28-5 </t>
  </si>
  <si>
    <t>A.130.07.109.230701 PC (Polycarbonate)</t>
  </si>
  <si>
    <t xml:space="preserve">Alternative names: PC Polycarbonate Lexan (common trade name) Makrolon (common trade name) CAS 25037-45-0 </t>
  </si>
  <si>
    <t>A.130.07.110.230701 PC 30% glass fibre</t>
  </si>
  <si>
    <t>A.130.07.111.230701 PE (HDPE  High density Polyethylene)</t>
  </si>
  <si>
    <t xml:space="preserve">Alternative names: PE HDPE High-Density Polyethylene Polyethylene CAS 9002-88-4 </t>
  </si>
  <si>
    <t>A.130.07.112.230701 PE (LDPE  Low density Polyethylene)</t>
  </si>
  <si>
    <t xml:space="preserve">Alternative names: PE LDPE Low-Density Polyethylene Polyethylene CAS 9002-88-4 </t>
  </si>
  <si>
    <t>A.130.07.113.230701 PE (LLDPE  Linear low density Polyethylene)</t>
  </si>
  <si>
    <t xml:space="preserve">Alternative names: PE LLDPE Linear Low-Density Polyethylene Linear Polyethylene CAS 9002-88-4 </t>
  </si>
  <si>
    <t>A.130.07.114.230701 PE (Polyethylene expanded, EPE)</t>
  </si>
  <si>
    <t xml:space="preserve">Alternative names: EPE Expanded Polyethylene Foam Polyethylene Polyethylene Foam CAS 9002-88-4 </t>
  </si>
  <si>
    <t>A.130.07.116.230701 PET (Polyethylene terephthalate) 30% glass fibre</t>
  </si>
  <si>
    <t xml:space="preserve">Alternative names: PET Polyethylene Terephthalate Polyester PETE CAS 25038-59-9  </t>
  </si>
  <si>
    <t>A.130.07.117.230701 PET (Polyethylene terephthalate) amorphous</t>
  </si>
  <si>
    <t xml:space="preserve">Alternative names: PET Polyethylene Terephthalate Polyester PETE CAS 25038-59-9 </t>
  </si>
  <si>
    <t>A.130.07.118.230701 PET (Polyethylene terephthalate) bottle grade</t>
  </si>
  <si>
    <t>A.130.07.119.240813 PMMA (Polymethyl methacrylate)</t>
  </si>
  <si>
    <t xml:space="preserve">Alternative names: PMMA Acrylic Plexiglass Lucite Acrylate Resin CAS 9011-14-7 </t>
  </si>
  <si>
    <t>A.130.07.120.240813 POM (Polyoxymethyleen, polyacetaal)</t>
  </si>
  <si>
    <t xml:space="preserve">Alternative names: POM Polyoxymethylene Polyacetal Acetal Delrin (trade name) CAS 9002-81-7 </t>
  </si>
  <si>
    <t>A.130.07.121.240822 PP (Polypropylene)</t>
  </si>
  <si>
    <t xml:space="preserve">Alternative names: PP Polypropylene Polypropene CAS 9003-07-0 </t>
  </si>
  <si>
    <t>A.130.07.122.230701 PP GF30</t>
  </si>
  <si>
    <t>A.130.07.123.240822 PS (EPS  expandable polystyrene, white)</t>
  </si>
  <si>
    <t xml:space="preserve">Alternative names: PS EPS Expandable Polystyrene Polystyrene Foam Styrofoam (common trade name) CAS 9003-53-6 </t>
  </si>
  <si>
    <t>A.130.07.124.240822 PS (GPPS  general purpose polystyrene)</t>
  </si>
  <si>
    <t xml:space="preserve">Alternative names: PS GPPS General Purpose Polystyrene Crystal Polystyrene CAS 9003-53-6 </t>
  </si>
  <si>
    <t>A.130.07.125.240822 PS (HIPS  high impact polysyrene)</t>
  </si>
  <si>
    <t xml:space="preserve">Alternative names: PS HIPS High Impact Polystyrene Impact-Resistant Polystyrene CAS 9003-55-8 </t>
  </si>
  <si>
    <t>A.130.07.126.240813 PTFE (Polytetrafluoroethylene) Teflon</t>
  </si>
  <si>
    <t xml:space="preserve">Alternative names: PTFE Teflon Polytetrafluoroethylene Fluon CAS 9002-84-0 </t>
  </si>
  <si>
    <t>A.130.07.127.230701 PTT (Polyltrimethylene terephthalate)</t>
  </si>
  <si>
    <t xml:space="preserve">Alternative names: PTT Polytrimethylene Terephthalate Sorona (common trade name) Corterra CAS 25777-14-4 </t>
  </si>
  <si>
    <t>A.130.07.128.230701 PVOH (Polyvinyl alcohol) and PVA (Polyvinyl acetate - wood glue)</t>
  </si>
  <si>
    <t xml:space="preserve">Alternative names: PVOH Polyvinyl Alcohol PVA CAS 9002-89-5 Alternative names: PVA Polyvinyl Acetate PVAc CAS 9003-20-7 </t>
  </si>
  <si>
    <t>A.130.07.129.240822 PVC (Polyvinylchloride emulsion polymerised)</t>
  </si>
  <si>
    <t xml:space="preserve">Alternative names: PVC Polyvinyl Chloride Vinyl CAS 9002-86-2 </t>
  </si>
  <si>
    <t>A.130.07.130.240822 PVC (Polyvinylchloride suspension polymerised)</t>
  </si>
  <si>
    <t>A.130.07.131.240822 PVC (Polyvinylchloride trade mix)</t>
  </si>
  <si>
    <t>A.130.07.132.241011 PVDC (Polyvinyliden chloride)</t>
  </si>
  <si>
    <t xml:space="preserve">Alternative names: PVDC Polyvinylidene Chloride Saran (common trade name) CAS 9002-85-1 </t>
  </si>
  <si>
    <t>A.130.07.133.240814 PAN Polyacrylonitrile fibres</t>
  </si>
  <si>
    <t xml:space="preserve">Alternative names: PAN Polyacrylonitrile Acrylonitrile Polymer CAS 25014-41-9 </t>
  </si>
  <si>
    <t xml:space="preserve">Materials, plastics, Thermosets                          </t>
  </si>
  <si>
    <t>A.130.09.101.230701 Carbon fiber-reinforced plastic</t>
  </si>
  <si>
    <t>A.130.09.102.240822 Epoxy resin from Bisphenol A 33% Epichlorohydrin 66%</t>
  </si>
  <si>
    <t xml:space="preserve">Alternative names: BPA44'-Isopropylidenediphenol Alternative names: ECH 1-Chloro-23-epoxypropane Chloromethyl Oxirane (±)-Epichlorohydrin  </t>
  </si>
  <si>
    <t>A.130.09.103.240822 MF (melamine formaldehyde resin)</t>
  </si>
  <si>
    <t xml:space="preserve">Alternative names: MF Melamine Formaldehyde Resin Melamine-Formaldehyde CAS 9003-08-1 or 68002-20-0 </t>
  </si>
  <si>
    <t>A.130.09.104.230701 PF (phenol formaldehyde resin)</t>
  </si>
  <si>
    <t xml:space="preserve">Alternative names: PF Phenolic Resin Phenol Formaldehyde Bakelite CAS 9003-35-4 </t>
  </si>
  <si>
    <t>A.130.09.105.230701 Phenolics (Bakelite)</t>
  </si>
  <si>
    <t xml:space="preserve">Alternative names: Phenolic Resin Bakelite Phenol Formaldehyde Resin PF CAS 9003-35-4 </t>
  </si>
  <si>
    <t>A.130.09.106.230701 Polyester (unsaturated resin)</t>
  </si>
  <si>
    <t xml:space="preserve">Alternative names: Unsaturated Polyester Resin UPR Polyester Resin CAS 9011-11-4 or 68258-82-2 </t>
  </si>
  <si>
    <t>A.130.09.107.230701 PUR flex. block foam 34% TDI  66% Polyols</t>
  </si>
  <si>
    <t xml:space="preserve">Alternative names: PUR Foam Polyurethane Foam Flexible Polyurethane Foam PU Foam CAS 9009-54-5 Alternative names: TDI Toluene Diisocyanate24-TDI26-TDI (common isomers) CAS numbers: 24-TDI (584-84-9)26-TDI (91-08-7) mixture of isomers (26471-62-5) </t>
  </si>
  <si>
    <t>A.130.09.108.230701 PUR flex. moulded  TDI with flame retardant</t>
  </si>
  <si>
    <t>A.130.09.109.230701 PUR flex. moulded 29% TDI 71% Polyols</t>
  </si>
  <si>
    <t>A.130.09.110.230701 PUR flex. moulded. 36% MDI 64% Polyols</t>
  </si>
  <si>
    <t>A.130.09.111.250414 PUR rigid foam 65% MDI 35% Polyols</t>
  </si>
  <si>
    <t>A.130.09.112.230701 Sheet molding compound 25% glass fibre</t>
  </si>
  <si>
    <t>A.130.09.113.230701 Sheet molding compound 50% glass fibre</t>
  </si>
  <si>
    <t>A.130.09.114.230701 UF (urea-formaldehyde resin)</t>
  </si>
  <si>
    <t xml:space="preserve">Alternative names: UF Urea-Formaldehyde Resin Urea-Methanal Resin Urea-Formaldehyde CAS number: 9011-05-6 </t>
  </si>
  <si>
    <t xml:space="preserve">Materials, plastics, other              </t>
  </si>
  <si>
    <t>A.130.11.101.230701 Bisphenol A</t>
  </si>
  <si>
    <t xml:space="preserve">Materials, plastics, other             </t>
  </si>
  <si>
    <t xml:space="preserve">Alternative names: BPA44'-Isopropylidenediphenol CAS 80-05-7 </t>
  </si>
  <si>
    <t>A.130.11.102.230701 DEHP (diisooctyl phthalate)</t>
  </si>
  <si>
    <t xml:space="preserve">Alternative names: DEHP Di(2-ethylhexyl) Phthalate Dioctyl Phthalate DOP CAS 117-81-7 </t>
  </si>
  <si>
    <t>A.130.11.103.230701 DINP (diisononyl phthalate)</t>
  </si>
  <si>
    <t xml:space="preserve">Alternative names: DINP Diisononyl Phthalate CAS 28553-12-0 </t>
  </si>
  <si>
    <t>A.130.11.104.240930 Epichlorohydrin</t>
  </si>
  <si>
    <t xml:space="preserve">Alternative names: ECH 1-Chloro-23-epoxypropane Chloromethyl Oxirane (±)-Epichlorohydrin CAS 106-89-8 </t>
  </si>
  <si>
    <t>A.130.11.105.230701 EVOH (Ethylene vinyl alcohol) film barrier of gasses</t>
  </si>
  <si>
    <t xml:space="preserve">Alternative names: EVOH Ethylene Vinyl Alcohol Copolymer CAS 26221-27-2 </t>
  </si>
  <si>
    <t>A.130.11.106.230701 Formaldehyde</t>
  </si>
  <si>
    <t xml:space="preserve">Alternative names: Methanal Methyl Aldehyde Formalin (in solution) CAS 50-00-0 </t>
  </si>
  <si>
    <t>A.130.11.107.230803 MDI (Methylene diphenyl diisocyanate)</t>
  </si>
  <si>
    <t xml:space="preserve">Alternative names: MDI Methylene Diphenyl Diisocyanate44'-MDI Diphenylmethane Diisocyanate CAS 101-68-8 </t>
  </si>
  <si>
    <t>A.130.11.108.240823 MMA (Methyl methacrylate)</t>
  </si>
  <si>
    <t xml:space="preserve">Alternative names: MMA Methyl Methacrylate 2-Methylpropenoic Acid Methyl Ester CAS number: 80-62-6 </t>
  </si>
  <si>
    <t>A.130.11.109.230701 Nafion</t>
  </si>
  <si>
    <t xml:space="preserve">Alternative names: Nafion Perfluorosulfonic Acid/PTFE Copolymer PFSA Membrane CAS number: 31175-20-9 </t>
  </si>
  <si>
    <t>A.130.11.111.240813 PEEK (Polyetheretherketone)</t>
  </si>
  <si>
    <t xml:space="preserve">Alternative names: PEEK Polyetheretherketone CAS 29658-26-2 </t>
  </si>
  <si>
    <t>A.130.11.112.230701 PEI (PolyEther Imide)</t>
  </si>
  <si>
    <t xml:space="preserve">Alternative names: PEI Polyether Imide Ultem (common trade name) CAS 61128-46-9 </t>
  </si>
  <si>
    <t>A.130.11.113.240823 Phthalic anhydride</t>
  </si>
  <si>
    <t xml:space="preserve">Alternative names: Phthalic Anhydride12-Benzenedicarboxylic Anhydride Phthalandione CAS number: 85-44-9 </t>
  </si>
  <si>
    <t>A.130.11.114.240823 Polyether-polyols</t>
  </si>
  <si>
    <t xml:space="preserve">Alternative names: Polyether Polyols, Polyether Glycols, Polyoxyalkylene Polyols CAS number: Varies by specific type   common CAS number for polyether polyols used in polyurethane production is 9082-00-2 </t>
  </si>
  <si>
    <t>A.130.11.115.230701 PPS (polyphenylene sulfide)</t>
  </si>
  <si>
    <t xml:space="preserve">Alternative names: PPS Polyphenylene Sulfide CAS 25212-74-2 </t>
  </si>
  <si>
    <t>A.130.11.116.230701 PVB (Polyvinyl butyral)</t>
  </si>
  <si>
    <t xml:space="preserve">Alternative names: PVB Polyvinyl Butyral CAS 63148-65-2 or 9002-89-5 </t>
  </si>
  <si>
    <t>A.130.11.117.230803 TDI (toluene diisocyanate)</t>
  </si>
  <si>
    <t xml:space="preserve">Alternative names: TDI Toluene Diisocyanate24-TDI26-TDI CAS numbers: 24-TDI (584-84-9)26-TDI (91-08-7) mixture of isomers (26471-62-5) </t>
  </si>
  <si>
    <t>A.130.11.118.240801 PE for bottles with deposit in EU (RR=80%  RIR=25%)</t>
  </si>
  <si>
    <t>A.130.11.119.240801 PET for bottles with deposit in EU (RR=80%  RIR=25%)</t>
  </si>
  <si>
    <t>A.130.11.120.240801 PP for bottles with deposit in EU (RR=80%  RIR=25%)</t>
  </si>
  <si>
    <t>A.130.11.121.240801 PVC for bottles with deposit in EU (RR=80%  RIR=25%)</t>
  </si>
  <si>
    <t>A.130.11.122.250817 EMAA (Ethylene-Methacrylic Acid Copolymer) without water</t>
  </si>
  <si>
    <t>Alternative names: EMAA copolymer, CAS nr, 25777-27-9</t>
  </si>
  <si>
    <t>Materials, textiles, materials</t>
  </si>
  <si>
    <t>A.140.01.101.240814 Acrylic fibres</t>
  </si>
  <si>
    <t>textile</t>
  </si>
  <si>
    <t>A.140.01.102.230701 BioCotton fibre from China/India (without global seatransport)</t>
  </si>
  <si>
    <t>A.140.01.103.230701 BioCotton fibre from USA (without global seatransport)</t>
  </si>
  <si>
    <t>A.140.01.104.230701 Cotton fibre from China and India (without global seatransport)</t>
  </si>
  <si>
    <t>A.140.01.105.230701 Cotton fibre from USA (without global seatransport)</t>
  </si>
  <si>
    <t>A.140.01.106.230701 Cotton fibre trade mix (without global seatransport)</t>
  </si>
  <si>
    <t>A.140.01.107.230701 Elastane (polyurethane) pellets</t>
  </si>
  <si>
    <t>A.140.01.108.230701 Fleece from recycled PET bottles</t>
  </si>
  <si>
    <t>A.140.01.109.230701 Jute fibre incl. degumming market mix</t>
  </si>
  <si>
    <t>A.140.01.110.230701 Jute fibre incl. degumming India irrigation</t>
  </si>
  <si>
    <t>A.140.01.111.230701 Jute fibre incl. degumming India rain fed - renewable fuel</t>
  </si>
  <si>
    <t>A.140.01.112.230701 Kenaf fibre incl. degumming India</t>
  </si>
  <si>
    <t>A.140.01.113.230701 Kenaf fibre incl. degumming Italy - renewable fule</t>
  </si>
  <si>
    <t>A.140.01.114.230701 Nylon pellets</t>
  </si>
  <si>
    <t>A.140.01.115.230701 Polyester = PET pellets</t>
  </si>
  <si>
    <t>A.140.01.116.230701 PLA (polylactide) pellets</t>
  </si>
  <si>
    <t>A.140.01.117.230701 Sorona (PTT) biobased pellets</t>
  </si>
  <si>
    <t>A.140.01.118.230701 Viscose production</t>
  </si>
  <si>
    <t>A.140.01.119.230701 Wool from Australia - transported to Rotterdam</t>
  </si>
  <si>
    <t>A.140.01.120.230701 PP (Polypropylene) pellets</t>
  </si>
  <si>
    <t>A.140.01.121.230701 Flax fibres for spinning linen</t>
  </si>
  <si>
    <t>Materials, textiles, processes</t>
  </si>
  <si>
    <t>A.140.03.101.230701 dyeing with pollution in India - without materials input</t>
  </si>
  <si>
    <t>A.140.03.102.230701 dyeing in Europe - without materials input</t>
  </si>
  <si>
    <t>A.140.03.103.230701 heat setting and washing synthetic fabrics</t>
  </si>
  <si>
    <t>A.140.03.104.230701 knitting  83 dtex</t>
  </si>
  <si>
    <t>A.140.03.105.230701 knitting 200 dtex</t>
  </si>
  <si>
    <t>A.140.03.106.230701 knitting 300 dtex</t>
  </si>
  <si>
    <t>A.140.03.107.230701 pretreatment of cotton</t>
  </si>
  <si>
    <t>A.140.03.108.230701 spinning cotton  45 dtex</t>
  </si>
  <si>
    <t>A.140.03.109.230701 spinning cotton  70 dtex</t>
  </si>
  <si>
    <t>A.140.03.110.230701 spinning cotton 100 dtex</t>
  </si>
  <si>
    <t>A.140.03.111.230701 spinning cotton 150 dtex</t>
  </si>
  <si>
    <t>A.140.03.112.230701 spinning cotton 200 dtex</t>
  </si>
  <si>
    <t>A.140.03.113.230701 spinning cotton 300 dtex</t>
  </si>
  <si>
    <t>A.140.03.114.230701 spinning cotton 400 dtex</t>
  </si>
  <si>
    <t>A.140.03.115.230701 spinning cotton 500 dtex</t>
  </si>
  <si>
    <t>A.140.03.116.230701 spinning extruder polymer filaments  (80 - 500 dtex)</t>
  </si>
  <si>
    <t>A.140.03.117.230701 spinning viscose fibres (80-500 dtex)</t>
  </si>
  <si>
    <t>A.140.03.118.230701 texturing polymer fibres (to improve insulation properties)</t>
  </si>
  <si>
    <t>A.140.03.119.230701 weaving  15 dtex</t>
  </si>
  <si>
    <t>A.140.03.120.230701 weaving  30 dtex</t>
  </si>
  <si>
    <t>A.140.03.121.230701 weaving  45 dtex</t>
  </si>
  <si>
    <t>A.140.03.122.230701 weaving  70 dtex</t>
  </si>
  <si>
    <t>A.140.03.123.230701 weaving 100 dtex</t>
  </si>
  <si>
    <t>A.140.03.124.230701 weaving 150 dtex</t>
  </si>
  <si>
    <t>A.140.03.125.230701 weaving 200 dtex</t>
  </si>
  <si>
    <t>A.140.03.126.230701 weaving 300 dtex</t>
  </si>
  <si>
    <t>A.140.03.127.230701 weaving 400 dtex</t>
  </si>
  <si>
    <t>A.140.03.128.230701 weaving 500 dtex</t>
  </si>
  <si>
    <t>A.140.03.131.250729 circular knitting (fabric interlock, 83 dtex, 28 GG)</t>
  </si>
  <si>
    <t>A.140.03.132.250729 circular knitting  (cotton, 200 dtex)</t>
  </si>
  <si>
    <t>A.140.03.133.250729 circular knitting (cotton, 300 dtex)</t>
  </si>
  <si>
    <t>A.140.03.134.250729 flat bed knitting panels (cotton, thin)</t>
  </si>
  <si>
    <t>A.140.03.135.250729 fully fashioned flat bed knitting (cotton, thick)</t>
  </si>
  <si>
    <t>A.140.03.136.250729 fully fashioned flat bed knitting (cotton, thin)</t>
  </si>
  <si>
    <t>A.140.03.137.250729 whole garment flat bed knitting (recycled wool, 1400 dtex (2-ply), normal speed)</t>
  </si>
  <si>
    <t>Materials, textiles, products</t>
  </si>
  <si>
    <t>A.140.04.101.230701 Geotextiles (PP  500 dTex  woven)</t>
  </si>
  <si>
    <t>A.140.04.102.241204 Duck Down in Rotterdam from China</t>
  </si>
  <si>
    <t xml:space="preserve">Alternative names: Feather Fill - A mix of larger duck or goose feathers -  and Eiderdown </t>
  </si>
  <si>
    <t>A.140.04.103.241204 Duck Down in Rotterdam from Poland</t>
  </si>
  <si>
    <t>A.140.04.104.241204 Polyester fiberfill</t>
  </si>
  <si>
    <t xml:space="preserve">Alternative names   Polyester Batting  Synthetic Fiberfill  Hollow Fiber  Microfiber Insulation  Stuffing Fiber  Polyfill  Polyester Padding  Fibrefill Trade names: PrimaLoft®  Thinsulate™  Climashield®  Thermolite®  Polarguard®  Thermore®    </t>
  </si>
  <si>
    <t>Materials, water</t>
  </si>
  <si>
    <t>A.150.01.101.230701 drinking water without water stress</t>
  </si>
  <si>
    <t>water</t>
  </si>
  <si>
    <t>A.150.01.102.230701 industrial reverse osmosis water</t>
  </si>
  <si>
    <t>A.150.02.101.241024 cooling water - excluding pumping energy - excluding BWS</t>
  </si>
  <si>
    <t>A.150.03.101.241024 low water stress (BWS &lt; 10%) drinking water and cooling tower water</t>
  </si>
  <si>
    <t>A.150.03.102.241024 low medium water stress (BWS 10%-20%) drinking water and cooling tower water</t>
  </si>
  <si>
    <t>A.150.03.103.241024 medium high water stress (BWS 20%-40%) drinking water and cooling tower water</t>
  </si>
  <si>
    <t>A.150.03.104.241024 high water stress (BWS 40%-80%) drinking water and cooling tower water</t>
  </si>
  <si>
    <t>A.150.03.105.241024 extremely high water stress (BWS &gt; 80%) drinking water and cooling tower water</t>
  </si>
  <si>
    <t>Materials, wood, Class I (&gt;25y)</t>
  </si>
  <si>
    <t>A.160.01.101.230701 Afrormosia FSC/PEFC 700 (kg/m3)</t>
  </si>
  <si>
    <t>wood</t>
  </si>
  <si>
    <t xml:space="preserve">Alternative names: Assamela (Ivory Coast Ghana) Kokrodua (Ghana) Obang (Cameroon) Pernambuco (Various regions) Botanical name: Pericopsis elata </t>
  </si>
  <si>
    <t>A.160.01.102.230701 Afrormosia natural forest clear cut 700 (kg/m3)</t>
  </si>
  <si>
    <t>A.160.01.103.230701 Afzelia FCS/PEFC 820 (kg/m3)</t>
  </si>
  <si>
    <t xml:space="preserve">Other names: Doussié (Kameroen Gabon Congo) Pachyloba (Gabon Congo) Apa (Ghana Ivoorkust) Lingue (Ivoorkust Sierra Leone) Chanfuta (Mozambique) Botanical name: Afzelia bipindensis Afzelia africana Afzelia pachyloba Afzelia quanzensis </t>
  </si>
  <si>
    <t>A.160.01.104.230701 Afzelia natural forest clear cut 820 (kg/m3)</t>
  </si>
  <si>
    <t>A.160.01.105.230701 Guaiacum wood FSC/PEFC 1250 (kg/m3)</t>
  </si>
  <si>
    <t>other names: Lignum Vitae  Palo Santo   Ironwood  Guayacán  Greenheart  Guaiac  Guaiacum officinale or Guaiacum sanctum</t>
  </si>
  <si>
    <t>A.160.01.106.230701 Guaiacum wood natural forest clear cut 1250 (kg/m3)</t>
  </si>
  <si>
    <t>A.160.01.107.230701 Iroko FSC/PEFC 650 (kg/m3)</t>
  </si>
  <si>
    <t>Other names: Mereira Moreira (Angola) Abang Mandji (Cameroon Guinea) Kambala Molundu (Congo Zaïre) Odum (Ghana Ivory Coast) Simmé (Guinea) Rokko (Nigeria) Mvule Mvuli (East Africa)</t>
  </si>
  <si>
    <t>A.160.01.108.230701 Iroko natural forest clear cut 650 (kg/m3)</t>
  </si>
  <si>
    <t>A.160.01.109.230701 Makore FSC/PEFC 660 (kg/m3)</t>
  </si>
  <si>
    <t xml:space="preserve">Other names: Lifua (Angola) Baku (Ghana) Makore (Ivory Coast) Douka (Gabon Guinea) Okala (Gabon). Botanical name: Tieghemella heckelii Pierre ex A. Chev. Tieghemella africana Pierre. </t>
  </si>
  <si>
    <t>A.160.01.110.230701 Makore natural forest clear cut 660 (kg/m3)</t>
  </si>
  <si>
    <t>A.160.01.111.230701 Mansonia FSC/PEFC 620 (kg/m3)</t>
  </si>
  <si>
    <t xml:space="preserve">Other names: Bété (Cameroon Ivory Coast) Aprono (Ghana) Ofun Afun (Nigeria) Koul (Congo Zaïre). Botanical name: Mansonia altissima A. Chev. </t>
  </si>
  <si>
    <t>A.160.01.112.230701 Mansonia natural forest clear cut 620 (kg/m3)</t>
  </si>
  <si>
    <t>A.160.01.113.230701 Moabi FSC/PEFC 815 (kg/m3)</t>
  </si>
  <si>
    <t xml:space="preserve">Other names: Adjap Ayap (Cameroon Guinea) Dimpampi (Congo) Adza (Gabon) Moabi (Angola Congo) Njabi (Nigeria Cameroon). Botanical name: Baillonella toxisperma Pierre (previously Mimusops djave Engl.). </t>
  </si>
  <si>
    <t>A.160.01.114.230701 Moabi natural forest clear cut 815 (kg/m3)</t>
  </si>
  <si>
    <t>A.160.01.115.230701 Padouk African FSC/PEFC 740 (kg/m3)</t>
  </si>
  <si>
    <t xml:space="preserve">Other names: M'bèl (Cameroon Gabon) Palo roja (Guinea) Osun (Nigeria) Kisésé N'gula Mukula Mongola (Congo Zaïre) Mwangura (East Africa) African padauk Barwood (UK) Padouk Corail (France). Botanical name: Pterocarpus soyauxii Taubert. </t>
  </si>
  <si>
    <t>A.160.01.116.230701 Padouk African natural forest clear cut 740 (kg/m3)</t>
  </si>
  <si>
    <t>A.160.01.117.230701 Palissander Indisch FSC/PEFC 850 (kg/m3)</t>
  </si>
  <si>
    <t xml:space="preserve">Other names: Indian Rosewood Sonokeling Java Palissander Sonokling (Indonesia) Shisham Sissoo (India Nepal). Botanical name: Dalbergia latifolia. </t>
  </si>
  <si>
    <t>A.160.01.118.230701 Palissander Indisch natural forest clear cut 850 (kg/m3)</t>
  </si>
  <si>
    <t>A.160.01.119.230701 Robinia FSC/PEFC 740 (kg/m3)</t>
  </si>
  <si>
    <t xml:space="preserve">Other names: Acacia (Netherlands) Falsche Akazie (Germany) Robinier (France) False Acacia (UK) Black Locust (USA). Botanical name: Robinia pseudoacacia L. </t>
  </si>
  <si>
    <t>A.160.01.120.230701 Teak FSC/PEFC 665 (kg/m3)</t>
  </si>
  <si>
    <t xml:space="preserve">Other names: Burma teak Moulmein teak Rangoon teak Java teak djati (Netherlands) kyun (Myanmar/Burma) teck (France) teca (Spain) giati (Vietnam) may sak (Laos). Botanical name: Tectona grandis L.f. </t>
  </si>
  <si>
    <t>A.160.01.121.230701 Teak natural forest clear cut 665 (kg/m3)</t>
  </si>
  <si>
    <t>Materials, wood, Class II (15-25y)</t>
  </si>
  <si>
    <t>A.160.02.101.230701 Agba FSC/PEFC 500 (kg/m3)</t>
  </si>
  <si>
    <t xml:space="preserve">Other names: Ntola White Tola (Angola) Sinedon (Cameroon) Emolo (Gabon) Tola (France Zaïre) Agba (Nigeria UK). Botanical name: Gossweilerodendron balsamiferum (Vermoesen) Harms. </t>
  </si>
  <si>
    <t>A.160.02.102.230701 Agba natural forest clear cut 500 (kg/m3)</t>
  </si>
  <si>
    <t>A.160.02.103.230701 Angelique FSC 735 (kg/m3)</t>
  </si>
  <si>
    <t xml:space="preserve">Other names: Basralocus (Suriname) Angélique (French Guiana) Angelica do Para (Brazil). Botanical name: Dicorynia guianensis Amshoff (Dicorynia paraensis Benth). </t>
  </si>
  <si>
    <t>A.160.02.104.230701 Angelique natural forest clear cut 735 (kg/m3)</t>
  </si>
  <si>
    <t>A.160.02.105.230701 Azobé FSC/PEFC 1060 (kg/m3)</t>
  </si>
  <si>
    <t xml:space="preserve">Other names: Aba (Nigeria) Akoga Akoura (Gabon Guinea) Aya (Congo Zaïre) Bongossi (Cameroon Germany) Ekki (Nigeria UK) Eba (Nigeria) Esore (Ivory Coast) Kaku (Ghana) Okoga (Cameroon). Botanical name: Lophira alata Banks ex Gaertn.f. (= Lophira procera A. Chev.). </t>
  </si>
  <si>
    <t>A.160.02.106.230701 Azobé natural forest clear cut 1060 (kg/m3)</t>
  </si>
  <si>
    <t>A.160.02.107.230701 Bosse clair FSC/PEFC 575 (kg/m3)</t>
  </si>
  <si>
    <t xml:space="preserve">Other names: Ebangbemva (Cameroon) Kwabohoro (Ghana) Bossé (Ivory Coast) Bosasa (Congo Zaïre) Obobo Obobonufua (Nigeria) Guarea Scented Guarea White Guarea (UK) Bosse Bossé clair (France). Botanical name: Guarea cedrata (A. Chev.) Guarea laurentii De Wild. Guarea thompsonii. </t>
  </si>
  <si>
    <t>A.160.02.108.230701 Bosse clair natural forest clear cut 575 (kg/m3)</t>
  </si>
  <si>
    <t>A.160.02.109.230701 Bubinga FSC/PEFC 830 (kg/m3)</t>
  </si>
  <si>
    <t xml:space="preserve">Other names: Essingang Okweni (Cameroon) Kevazingo Ovang Buvenga (Gabon) Waka (Zaïre). Botanical name: Guibourtia demeusei (Harms) Guibourtia tessmannii (Harms). </t>
  </si>
  <si>
    <t>A.160.02.110.230701 Bubinga natural forest clear cut 830 (kg/m3)</t>
  </si>
  <si>
    <t>A.160.02.111.230701 Cedar  American FSC/PEFC 490 (kg/m3)</t>
  </si>
  <si>
    <t xml:space="preserve">Other names: Red cedar Pacific red cedar Canoe cedar Giant cedar Shinglewood Arbor vitae Giant arbor vitae Thuja Thuja géant (Canada British Columbia). Botanical name: Thuja plicata Don ex D. DON (synonym: T. gigantea Nutt.). </t>
  </si>
  <si>
    <t>A.160.02.112.230701 Cedar  American natural forest clear cut 490 (kg/m3)</t>
  </si>
  <si>
    <t>A.160.02.113.230701 Chestnut FSC/PEFC 540 (kg/m3)</t>
  </si>
  <si>
    <t xml:space="preserve">Other names: Europees kastanje tamme kastanje (Netherlands) Edelkastanie (Germany) châtaignier (France) sweet chestnut Spanish chestnut (UK) Amerikaans kastanje (Netherlands) chestnut (USA). Botanical name: Castanea sativa (European chestnut) Castanea dentata (American chestnut). </t>
  </si>
  <si>
    <t>A.160.02.114.230701 Cordia FCS/PEFC 540 (kg/m3)</t>
  </si>
  <si>
    <t xml:space="preserve">Other names: Freijo (Brazil) Frei Jorge (Brazil) Peterebi (Argentina Paraguay) Louro (Brazil) Laurel (Ecuador) Bojón (Mexico) Laurel Blanco Pardillo (Venezuela). Botanical names: Cordia goeldiana Hub. Cordia alliodora (R. et P.) Oken Cordia trichotoma Arrab. </t>
  </si>
  <si>
    <t>A.160.02.115.230701 Cordia natural forest clear cut 540 (kg/m3)</t>
  </si>
  <si>
    <t>A.160.02.116.230701 Idigbo FSC/PEFC 550 (kg/m3)</t>
  </si>
  <si>
    <t xml:space="preserve">Other names: Bassi Baji (Sierra Leone and Liberia) Framiré Bona Onidjo Agui (Ivory Coast) Idigbo Emeri (Ghana) Black Afara Kokanga (Nigeria) Lidia (Cameroon). Botanical name: Terminalia ivorensis. </t>
  </si>
  <si>
    <t>A.160.02.117.230701 Idigbo natural forest clear cut 550 (kg/m3)</t>
  </si>
  <si>
    <t>A.160.02.118.230701 Mahogany FSC/PEFC 1110 (kg/m3)</t>
  </si>
  <si>
    <t>Other names: Caoba Mahogany Mogno Mara Acajou Baywood Boliviaans Mahonie Braziliaans Mahonie Cuba Mahonie Hondurees Mahonie en vele andere regionale benamingen zoals Aguano (Peru) Orura (Venezuela) Rosadillo (Guatemala) Zopilote (Mexico)</t>
  </si>
  <si>
    <t>A.160.02.119.230701 Mahogany natural forest clear cut 1110 (kg/m3)</t>
  </si>
  <si>
    <t>A.160.02.120.230701 Meranti FSC/PEFC 640 (kg/m3)</t>
  </si>
  <si>
    <t>Other names: Donkerrode meranti dark red meranti light red meranti (Maleisië) melebekan meranti merah (Indonesië) dark red seraya red seraya light red seraya obar suluk (Sabah). Botanical names:For light red meranti: Shorea leprosula S. ovalis S. parvifolia S. smithiana. For dark red meranti: Shorea curtisii S. macrantha S. ovata</t>
  </si>
  <si>
    <t>A.160.02.121.230701 Meranti natural forest clear cut 640 (kg/m3)</t>
  </si>
  <si>
    <t>A.160.02.122.230701 Merbau FSC/PEFC 800 (kg/m3)</t>
  </si>
  <si>
    <t>Other names: Solomon Merbau (Netherlands) Tat-talun (Myanmar/Burma) Vesi (Fiji) Ipil (Philippines) Kayu Besi Moluks IJzerhout Mirabow (Indonesia) Kwila Bendora (Papua New Guinea) Ivili Kivoli Vuvula (Solomon Islands) Kohu (New Caledonia) Hintsy (Madagascar)</t>
  </si>
  <si>
    <t>A.160.02.123.230701 Merbau natural forest clear cut 800 (kg/m3)</t>
  </si>
  <si>
    <t>A.160.02.124.230701 Oak European FSC/PEFC 710 (kg/m3)</t>
  </si>
  <si>
    <t xml:space="preserve">Other names: Belgisch eiken Duits eiken Frans eiken inlands eiken Pools eiken Roemeens eiken Slavonisch eiken Spessart eiken (depending on origin) Chêne (France) Eiche (Germany) Oak (UK). Botanical name: Quercus petraea (Mattuschka) Lieblein (= Q. sessiliflora Salisb.) Quercus robur L. (= Q. pedunculata Ehrh.). </t>
  </si>
  <si>
    <t>A.160.02.125.230701 Purpleheart FSC/PEFC 850 (kg/m3)</t>
  </si>
  <si>
    <t>Other names: Violetwood Guarabu Pau Roxo Roxinho (Brazil) Tananeo (Colombia) Amarante Bois Violet (French Guiana) Koroborelli (Guyana) Palo Morado (Mexico) Nazareno Morado (Panama Venezuela) Popohatti Dastan</t>
  </si>
  <si>
    <t>A.160.02.126.230701 Purpleheart natural forest clear cut 850 (kg/m3)</t>
  </si>
  <si>
    <t>A.160.02.127.230701 Red Cedar Western 370 (kg/m3)</t>
  </si>
  <si>
    <t xml:space="preserve">Other names: Pacific Red Cedar Canoe Cedar Giant Cedar Shinglewood Arbor Vitae Giant Arbor Vitae Thuja géant (Canada British Columbia). Botanical name: Thuja plicata Don ex D. Don (also known as Thuja gigantea Nutt.). </t>
  </si>
  <si>
    <t>A.160.02.128.230701 Utile (Sipo) FSC/PEFC 640 (kg/m3)</t>
  </si>
  <si>
    <t xml:space="preserve">Other names: Sipo Mahonie (Netherlands) Assié Asseng-assié (Cameroon) Timbi (Congo Zaire) Kalungi (Angola) Utile (Ghana Nigeria UK) Efuodwe (Ghana) Mebrou (Ivory Coast) Okeong (Nigeria) Mufumbi (Uganda) Liboyo (Zaire). Botanical name: Entandrophragma utile. </t>
  </si>
  <si>
    <t>A.160.02.129.230701 Utile (Sipo) natural forest clear cut 640 (kg/m3)</t>
  </si>
  <si>
    <t>A.160.02.130.230701 Wengé FSC/PEFC 830 (kg/m3)</t>
  </si>
  <si>
    <t>Other names: Awong (Cameroon) N'toko Ngondou (Congo) Anong (Guinea) N'son-so (Gabon) Mboto Bokonge Dikala-kala Tshikalakala Dikela Kiboto Monkonge Mundambi (Zaïre). Additionally Panga Panga</t>
  </si>
  <si>
    <t>A.160.02.131.230701 Wengé natural forest clear cut 830 (kg/m3)</t>
  </si>
  <si>
    <t>Materials, wood, Class III (10-15y)</t>
  </si>
  <si>
    <t>A.160.03.101.230701 Carapa FSC/PEFC 610 (kg/m3)</t>
  </si>
  <si>
    <t xml:space="preserve">Alternative names: Andiroba (Brazil) Crabwood (Guyana Suriname) Tangare (Panama Ecuador) Karatapa (Venezuela) Bissandra (Ivory Coast) Kambo (Central African Republic) Coconote (Peru) Carapilla (Mexico)  Botanical name: Carapa guianensis </t>
  </si>
  <si>
    <t>A.160.03.102.230701 Carapa natural forest clear cut 610 (kg/m3)</t>
  </si>
  <si>
    <t>A.160.03.103.230701 Dibetou FSC/PEFC550 (kg/m3)</t>
  </si>
  <si>
    <t xml:space="preserve">Alternative names: Lovoa (Cameroon Gabon) African Walnut (West Africa) Congo Walnut (Congo) Dibetou (Ivory Coast) Louro Faia (Portugal Brazil) Embero (Central Africa) Tanganika Walnut (Tanzania) N'Kula (Zambia)  Botanical name: Lovoa trichilioides </t>
  </si>
  <si>
    <t>A.160.03.104.230701 Dibetou natural forest clear cut 550 (kg/m3)</t>
  </si>
  <si>
    <t>A.160.03.105.230701 Kauri FSC/PEFC 485 (kg/m3)</t>
  </si>
  <si>
    <t xml:space="preserve">Alternative names: New Zealand Kauri (New Zealand) Dammar Pine (Various regions) Agathis (Pacific Islands) Kauri Pine (Australia) Yellow Pine (New Zealand) White Pine (New Zealand) Kauri Gum Tree (New Zealand)  Botanical name: Agathis australis </t>
  </si>
  <si>
    <t>A.160.03.106.230701 Kauri natural forest clear cut 485 (kg/m3)</t>
  </si>
  <si>
    <t>A.160.03.107.230701 Kotibe FSC/PEFCt 760 (kg/m3)</t>
  </si>
  <si>
    <t xml:space="preserve">Alternative names: Baku (Ivory Coast) Ekop Naga (Gabon) African Walnut (Ghana Benin) Kotibé (West Africa) Benin Mahogany (Benin) Awoura (Ivory Coast) Bengué (Central Africa)  Botanical name: Nesogordonia papaverifera </t>
  </si>
  <si>
    <t>A.160.03.108.230701 Kotibe natural forest clear cut 760 (kg/m3)</t>
  </si>
  <si>
    <t>A.160.03.109.230701 Larch FSC/PEFC 600 (kg/m3)</t>
  </si>
  <si>
    <t xml:space="preserve">Alternative names: European Larch (Europe) Siberian Larch (Russia) Tamarack (North America) Larche (France) Mélèze (France) Lärche (Germany) Western Larch (United States) Eastern Larch (Canada)  Botanical name: Larix decidua (European Larch) Larix sibirica (Siberian Larch) Larix laricina (Tamarack) </t>
  </si>
  <si>
    <t>A.160.03.110.230701 Mahogany African FSC/PEFC 640 (kg/m3)</t>
  </si>
  <si>
    <t>Alternative names: Khaya (West Africa) Benin Mahogany (Benin) Lagos Mahogany (Nigeria) Acajou (Ivory Coast Cameroon) Caoba (Ghana) Dry Zone Mahogany (Sudan) Acajou d'Afrique (French-speaking Africa) Djiboko (Central Africa) Bois Rouge (Madagascar) Khaya Grandifoliola (West Africa) Senegal Mahogany (Senegal)  Botanical name: Khaya ivorensis Khaya senegalensis Khaya anthotheca</t>
  </si>
  <si>
    <t>A.160.03.111.230701 Mahogany African natural forest clear cut 640 (kg/m3)</t>
  </si>
  <si>
    <t>A.160.03.112.230701 Movigui FSC/PEFC 710 (kg/m3)</t>
  </si>
  <si>
    <t xml:space="preserve">Alternative names: Eyen (Cameroon) Assamela (Ivory Coast) Longhi (Gabon) African Satinwood (West Africa) Obonsamdua (Ghana) Bonsamdua (Ghana) Movingui (Various regions)  Botanical name: Distemonanthus benthamianus </t>
  </si>
  <si>
    <t>A.160.03.113.230701 Movigui natural forest clear cut 710 (kg/m3)</t>
  </si>
  <si>
    <t>A.160.03.114.230701 Mutenye FSC/PEFCt 820 (kg/m3)</t>
  </si>
  <si>
    <t xml:space="preserve">Alternative names: Mutenyé (Gabon Cameroon) Zingana (Congo) Ovangkol (West Africa) Mutenye Walnut (Central Africa) Bubinga (Central Africa) African Walnut (Various regions)  Botanical name: Guibourtia arnoldiana </t>
  </si>
  <si>
    <t>A.160.03.115.230701 Mutenye natural forest clear cut 820 (kg/m3)</t>
  </si>
  <si>
    <t>A.160.03.116.230701 Niangon FSC/PEFC 710 (kg/m3)</t>
  </si>
  <si>
    <t xml:space="preserve">Alternative names: Niangon (Ivory Coast Cameroon) Baga (Guinea) Ouloume (Gabon) Limbali (Congo) Akom (Equatorial Guinea) Sipo (West Africa) Red Sipo (Ghana) Palissandre Rouge (Central Africa)  Botanical name: Heritiera utilis </t>
  </si>
  <si>
    <t>A.160.03.117.230701 Niangon natural forest clear cut 710 (kg/m3)</t>
  </si>
  <si>
    <t>A.160.03.118.230701 Olon FSC/PEFC 485 (kg/m3)</t>
  </si>
  <si>
    <t xml:space="preserve">Alternative names: Olon (Cameroon) Ilomba (Congo) Aloma (Gabon) Ofray (Ghana) Ako (Nigeria)  Botanical name: Pycnanthus angolensis </t>
  </si>
  <si>
    <t>A.160.03.119.230701 Olon natural forest clear cut 485 (kg/m3)</t>
  </si>
  <si>
    <t>A.160.03.120.230701 Oregon Pine FSC/PEFC 505 (kg/m3)</t>
  </si>
  <si>
    <t xml:space="preserve">Alternative names: Douglas Fir (United States) Oregon (Australia United Kingdom) Red Fir (Canada) Yellow Fir (New Zealand) Columbian Pine (United Kingdom) Oregon Douglas Fir (South Africa) Oregon Pine (Europe)  Botanical name: Pseudotsuga menziesii </t>
  </si>
  <si>
    <t>A.160.03.121.230701 Oregon Pine natural forest clear cut 505 (kg/m3)</t>
  </si>
  <si>
    <t>A.160.03.122.230701 Tchitola natural forest clear cut 630 (kg/m3)</t>
  </si>
  <si>
    <t xml:space="preserve">Alternative names: Lolagbola (Nigeria) Emola (Gabon) M'Baboi (Zaire) Tola chinfuta (Angola) Kitola (Congo) Akwakwa (Cameroon)  Botanical name: Oxystigma oxyphyllum </t>
  </si>
  <si>
    <t>A.160.03.123.230701 Peroba FSC/PEFC 750 (kg/m3)</t>
  </si>
  <si>
    <t>A.160.03.124.230701 Peroba natural forest clear cut 750 (kg/m3)</t>
  </si>
  <si>
    <t>A.160.03.125.230701 Pitch Pine FSC/PEFC 750 (kg/m3)</t>
  </si>
  <si>
    <t xml:space="preserve">Alternative names: Torch Pine (United States) Candlewood Pine (United States) Yellow Pine (United States) Hard Pine (United States) Black Pine (Canada) Northern Pitch Pine (Canada) Rigida Pine (Europe)  Botanical name: Pinus rigida </t>
  </si>
  <si>
    <t>A.160.03.126.230701 Pitch Pine natural forest clear cut 750 (kg/m3)</t>
  </si>
  <si>
    <t>A.160.03.127.230701 Sapelli FSC/PEFC 650 (kg/m3)</t>
  </si>
  <si>
    <t xml:space="preserve">Alternative names: Sapelli (West Africa) Sapeli (Ivory Coast Gabon) Sapele Mahogany (Nigeria) Aboudikro (Ivory Coast) Assi (Ghana) Muyovu (Uganda)  Botanical name: Entandrophragma cylindricum </t>
  </si>
  <si>
    <t>A.160.03.128.230701 Sapelli natural forest clear cut 650 (kg/m3)</t>
  </si>
  <si>
    <t>A.160.03.129.230701 Scots pine FSC/PEFC 520 (kg/m3)</t>
  </si>
  <si>
    <t xml:space="preserve">Alternative names: Scots Fir (Scotland) Scotch Pine (United States) Riga Pine (Eastern Europe Baltic) Danzig Pine (Baltic regions) Baltic Pine (Northern Europe) Mongolian Pine (Mongolia)  Botanical name: Pinus sylvestris </t>
  </si>
  <si>
    <t>A.160.03.130.230701 Tchitola FSC/PEFC 630 (kg/m3)</t>
  </si>
  <si>
    <t xml:space="preserve">Alternative names: Lolagbola (Nigeria) Emola (Gabon) M'Baboi (Zaire) Tola Chanfuta (Angola) Kitola (Congo) Akwakwa (Cameroon)  Botanical name: Oxystigma oxyphyllum </t>
  </si>
  <si>
    <t>A.160.03.131.230701 Tiama FSC/PEFC 560 (kg/m3)</t>
  </si>
  <si>
    <t xml:space="preserve">Alternative names: Edinam (Ghana) Gedu Nohor (Central Africa) Tiama Mahogany (West and Central Africa) Tiama Rouge (Congo Gabon)  Botanical name: Entandrophragma angolense </t>
  </si>
  <si>
    <t>A.160.03.132.230701 Tiama natural forest clear cut 560 (kg/m3)</t>
  </si>
  <si>
    <t>A.160.03.133.230701 Walnut FSC/PEFC 670 (kg/m3)</t>
  </si>
  <si>
    <t>Alternative names: English Walnut (UK Europe) Circassian Walnut (Eastern Europe Western Asia) French Walnut (France) Common Walnut (Western Europe) Black Walnut (USA Canada) Claro Walnut (USA – California Oregon) Butternut or White Walnut (USA – Eastern Coast) Tropical Walnut or Nogal (Mexico Central America) Peruvian Walnut (South America)</t>
  </si>
  <si>
    <t>A.160.03.134.230701 Yang FSC/PEFC 750 (kg/m3)</t>
  </si>
  <si>
    <t xml:space="preserve">Alternative names: Gurjan (India Myanmar) Keruing (Malaysia Philippines) Apitong (Thailand Southeast Asia) Mayapis (Philippines)  Botanical name: Dipterocarpus turbinatus </t>
  </si>
  <si>
    <t>A.160.03.135.230701 Yang natural forest clear cut 750 (kg/m3)</t>
  </si>
  <si>
    <t>Materials, wood, Class IV (5-10y)</t>
  </si>
  <si>
    <t>A.160.04.101.230701 Aningre FSC/PEFC 580 (kg/m3)</t>
  </si>
  <si>
    <t>Alternative names: Anigre Anegre Aniegre Aningeria (West and East Africa) Landosan (Guinea Sierra Leone) Mukali (Kenya Uganda) Kali (Congo) Mugangu (Cameroon) Muna (Ivory Coast) Osan (Ghana) Anegre Blanc (Central Africa) Longhi (various regions)</t>
  </si>
  <si>
    <t>A.160.04.102.230701 Aningre natural forest clear cut 580 (kg/m3)</t>
  </si>
  <si>
    <t>A.160.04.103.230701 Avodire FSC/PEFC 550 (kg/m3)</t>
  </si>
  <si>
    <t xml:space="preserve">Alternative names: African Satinwood (Various regions) Agbe (West Africa) Apapaye (Ghana) Lusamba (Democratic Republic of Congo) M'Fube (Congo) Wansenwa (Cameroon) Blima-Pu (Liberia) Esu (Nigeria) Apeya (Ivory Coast) Engan (West Africa)  Botanical name: Turraeanthus africanus </t>
  </si>
  <si>
    <t>A.160.04.104.230701 Avodire natural forest clear cut 550 (kg/m3)</t>
  </si>
  <si>
    <t>A.160.04.105.230701 Balsa FSC/PEFC 150 (kg/m3)</t>
  </si>
  <si>
    <t xml:space="preserve">Alternative names: Ochroma (various regions) Balsa Wood (United States Ecuador) West Indian Balsa (Caribbean) Balsa de Boya (Mexico) Corcho (Colombia) Bois Flotté (French-speaking regions) Enea (Peru)  Botanical name: Ochroma pyramidale (also synonymously known as Ochroma lagopus) </t>
  </si>
  <si>
    <t>A.160.04.106.230701 Balsa natural forest clear cut 150 (kg/m3)</t>
  </si>
  <si>
    <t>A.160.04.107.230701 Birch FSC/PEFC 660 (kg/m3)</t>
  </si>
  <si>
    <t>Alternative names: European White Birch (Europe) Silver Birch (UK Northern Europe) Warty Birch (Eastern Europe) Weeping Birch (Asia) Paper Birch (North America) Canoe Birch (Canada) Yellow Birch (USA Canada) River Birch (USA) Black Birch or Cherry Birch (Eastern USA) Bog Birch (Northern regions Arctic areas) Sweet Birch (USA</t>
  </si>
  <si>
    <t>A.160.04.108.230701 Elm FSC/PEFC 650 (kg/m3)</t>
  </si>
  <si>
    <t>Alternative names: American Elm (USA Canada) White Elm (USA) Gray Elm (USA) Water Elm (Southern USA) English Elm or Common Elm (UK Europe) Field Elm (Western Europe) Atinian Elm (Southern Europe) Siberian Elm (Russia East Asia) Asiatic Elm (China) Dwarf Elm (Various regions in Asia) Chinese Elm or Lacebark Elm (China Japan Korea) David Elm (China</t>
  </si>
  <si>
    <t>A.160.04.109.230701 Emeri FSC/PEFC 515 (kg/m3)</t>
  </si>
  <si>
    <t xml:space="preserve">Alternative names: Idigbo (Nigeria) Framire (Ivory Coast) Black Afara (Ghana) African Oak (West Africa) Ivory Coast Almond (Ivory Coast)  Botanical name: Terminalia ivorensis </t>
  </si>
  <si>
    <t>A.160.04.110.230701 Emeri natural forest clear cut 515 (kg/m3)</t>
  </si>
  <si>
    <t>A.160.04.111.230701 Hemlock FSC/PEFCt 490 (kg/m3)</t>
  </si>
  <si>
    <t xml:space="preserve">Alternative names: Eastern Hemlock (USA Canada) Canadian Hemlock (Canada) Western Hemlock (Northwestern USA British Columbia) Mountain Hemlock (Western USA Canada) Tsuga (Japan) Hemlock Fir or Prince Albert's Fir (UK) Alaska Pine (Northwestern USA)  Botanical names: Tsuga canadensis (Eastern Hemlock) Tsuga heterophylla (Western Hemlock) Tsuga mertensiana (Mountain Hemlock) Tsuga sieboldii (Japanese Hemlock) Tsuga diversifolia (Northern Japanese Hemlock) </t>
  </si>
  <si>
    <t>A.160.04.112.230701 Hickory FSC/PEFCt 800 (kg/m3)</t>
  </si>
  <si>
    <t>Alternative names: Shagbark Hickory (USA) Shellbark Hickory (USA) Pignut Hickory (Eastern USA) Mockernut Hickory (USA) Bitternut Hickory (USA) Kingnut (USA) Nutmeg Hickory (USA) Red Hickory (USA) Black Hickory (USA) Swamp Hickory (Southern USA) Water Hickory (Southern USA) Pecan Hickory (USA Mexico)  Botanical name: Carya spp. with specific species such as Carya ovata (Shagbark)</t>
  </si>
  <si>
    <t>A.160.04.113.230701 Limba FSC/PEFC 560 (kg/m3)</t>
  </si>
  <si>
    <t xml:space="preserve">Alternative names: Korina (USA) Afara (Nigeria) Ofram (Ghana) Akom (Cameroon Gabon Equatorial Guinea) Frake (Ivory Coast) Kohagei (Sierra Leone) Limbo (France) Noyer Du Mayombe (France) Azinii (Benin)  Botanical name: Terminalia superba </t>
  </si>
  <si>
    <t>A.160.04.114.230701 Limba natural forest clear cut 560 (kg/m3)</t>
  </si>
  <si>
    <t>A.160.04.115.230701 Menkulang FSC/PEFC 710 (kg/m3)</t>
  </si>
  <si>
    <t xml:space="preserve">Alternative names: Red Palapi (Philippines) Malabu (Malaysia) Melabu (Sarawak) Jambu Keluang (Melaka) Kembang (Sabah) Melima (Peninsular Malaysia)  Botanical name: Heritiera javanica (also includes Heritiera simplicifolia and Heritiera sumatrana) </t>
  </si>
  <si>
    <t>A.160.04.116.230701 Menkulang natural forest clear cut 710 (kg/m3)</t>
  </si>
  <si>
    <t>A.160.04.117.230701 Mersawa FSC/PEFC 640 (kg/m3)</t>
  </si>
  <si>
    <t xml:space="preserve">Alternative names: Palosapis (Philippines) Balau (Malaysia Indonesia) Dagang (Philippines) Malagangau (Malaysia) Krabak (Thailand) Kaunghmu (Myanmar) Garawa (Papua New Guinea) Phdiek (Cambodia) Kijal (Malaysia)  Botanical name: Anisoptera laevis and related species (Anisoptera marginata Anisoptera curtisii) </t>
  </si>
  <si>
    <t>A.160.04.118.230701 Mersawa natural forest clear cut 640 (kg/m3)</t>
  </si>
  <si>
    <t>A.160.04.119.230701 Okoume FSC/PEFC forest 440 (kg/m3)</t>
  </si>
  <si>
    <t xml:space="preserve">Alternative names: Gaboon (Gabon Congo) Angouma (Central Africa) N'Kumi (Equatorial Guinea) Acoume (France) Zouga (West Africa) Okume (various regions)  Botanical name: Aucoumea klaineana </t>
  </si>
  <si>
    <t>A.160.04.120.230701 Okoume natural forest clear cut 440 (kg/m3)</t>
  </si>
  <si>
    <t>A.160.04.121.230701 Parana Pine FSC/PEFC 540 (kg/m3)</t>
  </si>
  <si>
    <t xml:space="preserve">Alternative names: Brazilian Pine (Brazil) Pinheiro do Paraná (Portugal) Pino Parana (Spanish-speaking countries) Candelabra Tree (various regions) Parana Pine (widely used in English-speaking countries)  Botanical name: Araucaria angustifolia </t>
  </si>
  <si>
    <t>A.160.04.122.230701 Parana Pine natural forest clear cut 540 (kg/m3)</t>
  </si>
  <si>
    <t>A.160.04.123.230701 Radiata Pine FSC/PEFC 450 (kg/m3)</t>
  </si>
  <si>
    <t xml:space="preserve">Alternative names: Monterey Pine (United States) Insignis Pine (New Zealand Australia) Pino Insigne (Spain Chile Argentina) Radiata Pine (widely used internationally)  Botanical name: Pinus radiata </t>
  </si>
  <si>
    <t>A.160.04.124.230701 Red oak FSC/PEFC 700 (kg/m3)</t>
  </si>
  <si>
    <t xml:space="preserve">Alternative names: Northern Red Oak (USA Canada) American Red Oak (USA) Gray Oak (USA) Eastern Red Oak (Eastern USA) Mountain Red Oak (Appalachian regions USA) Champion Oak (general USA)  Botanical name: Quercus rubra </t>
  </si>
  <si>
    <t>A.160.04.125.230701 Silver fir FSC/PEFC 450 (kg/m3)</t>
  </si>
  <si>
    <t xml:space="preserve">Alternative names: European Silver Fir (Europe) Common Silver Fir (Europe) Abeto (Spain) Abies Blanc (France) Weißtanne (Germany) Peccio Bianco (Italy) Sapin Blanc (French-speaking regions)  Botanical name: Abies alba </t>
  </si>
  <si>
    <t>A.160.04.126.230701 Spruce European FSC/PEFC 460 (kg/m3)</t>
  </si>
  <si>
    <t xml:space="preserve">Alternative names: Norway Spruce (Northern and Central Europe UK Canada) German Spruce (Germany) Alpine Spruce (Switzerland Austria) Common Spruce (various regions) Épicéa Commun (France) Rote Fichte (Germany) Jel Europeiskaya (Russia)  Botanical name: Picea abies </t>
  </si>
  <si>
    <t>A.160.04.127.230701 Yellow pine FSC/PEFC 540 (kg/m3)</t>
  </si>
  <si>
    <t>Alternative names: Southern Yellow Pine (Southern USA) Western Yellow Pine (Western USA) Ponderosa Pine (USA Canada) Longleaf Pine (USA - Southeastern) Shortleaf Pine (USA - Southern and Eastern) Slash Pine (USA - Southeastern) Loblolly Pine (USA - Southern) Douglas Pine (New Zealand) Hill Pine (Australia)  Botanical names: Primarily Pinus ponderosa (Ponderosa Pine) Pinus taeda (Loblolly Pine) Pinus elliottii (Slash Pine) Pinus echinata (Shortleaf Pine)</t>
  </si>
  <si>
    <t>Materials, wood, Class V (&lt;5y)</t>
  </si>
  <si>
    <t>A.160.05.101.230701 Abura FSC/PEFC 560 (kg/m3)</t>
  </si>
  <si>
    <t xml:space="preserve">Alternative names: Bahia (various regions) Baya (West Africa) Camaroncillo (Equatorial Guinea) Elelom (Cameroon) M'voukou (Gabon) Subaha (Ivory Coast) Vuku (Congo)  Botanical name: Mitragyna ciliata with some sources also listing Mitragyna stipulosa and Mitragyna ledermannii </t>
  </si>
  <si>
    <t>A.160.05.102.230701 Abura natural forest clear cut 560 (kg/m3)</t>
  </si>
  <si>
    <t>A.160.05.103.230701 Ahorn FSC/PEFC 640 (kg/m3)</t>
  </si>
  <si>
    <t>Alternative Names: Ahorn (Germany Austria Switzerland) Maple (UK USA Canada) Érable (France) Acer (Italy Spain) Esdoorn (Netherlands) Momiji (Japan for Japanese Maple) Bordo (Argentina) Javor (Slovenia</t>
  </si>
  <si>
    <t>A.160.05.104.230701 Alder FSC/PEFC 530 (kg/m3)</t>
  </si>
  <si>
    <t>Alternative Names: Alder (UK USA) Black Alder (USA UK) Common Alder (UK) Aulne (France) Erle (Germany) Ontano (Italy) Aliso (Spain Argentina) Els (Netherlands) Olsza (Poland) Alnus (Sweden) Alnus Noir (France</t>
  </si>
  <si>
    <t>A.160.05.105.230701 Antiaris FSC/PEFC 445 (kg/m3)</t>
  </si>
  <si>
    <t xml:space="preserve">Alternative Names: Antiaris (General) Upas Tree (Indonesia) Bark Cloth Tree (Uganda Kenya) False Iroko (Ghana Nigeria) Antiáris Tóxica (Brazil) Bois du Diable (France) and Antiarenbaum (Germany).  Botanical Name: Antiaris toxicaria </t>
  </si>
  <si>
    <t>A.160.05.106.230701 Antiaris natural forest clear cut 445 (kg/m3)</t>
  </si>
  <si>
    <t>A.160.05.107.230701 Ash FSC/PEFC 700 (kg/m3)</t>
  </si>
  <si>
    <t>Alternative Names: Ash (UK USA) Common Ash (UK) European Ash (Europe) White Ash (USA) Fraxin (France) Esche (Germany) Fresno (Spain Argentina) Frassino (Italy) As (Netherlands) Jesion (Poland) Ask (Sweden Norway)</t>
  </si>
  <si>
    <t>A.160.05.108.230701 Aspen FSC/PEFC 440 (kg/m3)</t>
  </si>
  <si>
    <t>Alternative Names: Quaking Aspen (USA) Trembling Aspen (Canada) Poplar (USA) Tremble (UK) Tremble Tree (Ireland) Faux-tremble (France) Poppel (Netherlands) Espen (Germany Norway) Chopo Temblón (Spain) Osika (Poland) Álamo Temblón (Latin America) Pioppo Tremulo (Italy) Osier Tremblant (France)</t>
  </si>
  <si>
    <t>A.160.05.109.230701 Baboen FSC/PEFC 410 (kg/m3)</t>
  </si>
  <si>
    <t xml:space="preserve">Alternative Names: Baboen (Suriname) Baboenhout (Netherlands) African Mahogany (USA) Guarea (Trinidad and Tobago) Abois (French Guiana) Koemaroe (Suriname) Acajou de Guyane (French Guiana) Bois de fer (Haiti) Cedro Macho (Puerto Rico).  Botanical Name: Guarea spp. primarily Guarea cedrata </t>
  </si>
  <si>
    <t>A.160.05.110.230701 Baboen natural forest clear cut 410 (kg/m3)</t>
  </si>
  <si>
    <t>A.160.05.111.230701 Beech European FSC/PEFC 710 (kg/m3)</t>
  </si>
  <si>
    <t>Alternative Names: Beech (UK USA) Common Beech (UK) Fagus (Europe) Hêtre (France) Rotbuche (Germany) Buche (Switzerland Austria) Bok (Sweden) Faggio (Italy) Haya (Spain) Fai (Portugal) Buk (Poland) Hrab (Czech Republic)</t>
  </si>
  <si>
    <t>A.160.05.112.230701 Black poplar FSC/PEFC 440 (kg/m3)</t>
  </si>
  <si>
    <t>Alternative Names: Black Poplar (UK USA) European Black Poplar (Europe) Chopo Negro (Spain) Peuplier Noir (France) Schwarze Pappel (Germany Austria) Zwarte Populier (Netherlands Belgium) Pioppo Nero (Italy) Álamo Negro (Argentina) Topola Czarna (Poland) ?rna Topola (Slovenia) ?rna Topol (Croatia)</t>
  </si>
  <si>
    <t>A.160.05.113.230701 Blue gum FSC/PEFC 900 (kg/m3)</t>
  </si>
  <si>
    <t xml:space="preserve">Alternative Names: Blue Gum (Australia USA UK) Tasmanian Blue Gum (Australia) Southern Blue Gum (South Africa) Eucalyptus (Europe USA) Gommier Bleu (France) Goma Azul (Spain) Gomero Azul (Argentina) Eucalipto Azul (Portugal Brazil) Blauer Eukalyptus (Germany) Blå Eukalyptus (Sweden).  Botanical Name: Eucalyptus globulus </t>
  </si>
  <si>
    <t>A.160.05.114.230701 Blue gum natural forest clear cut 900 (kg/m3)</t>
  </si>
  <si>
    <t>A.160.05.115.230701 Canaria FSC/PEFC 830 (kg/m3)</t>
  </si>
  <si>
    <t xml:space="preserve">Alternative Names: Canary Island Pine (UK USA) Pino Canario (Spain) Pin des Canaries (France) Kanarische Kiefer (Germany) Pinheiro-das-Canárias (Portugal Brazil) Pi de Canàries (Catalonia) Pino delle Canarie (Italy).  Botanical Name: Pinus canariensis </t>
  </si>
  <si>
    <t>A.160.05.116.230701 Canaria natural forest clear cut 830 (kg/m3)</t>
  </si>
  <si>
    <t>A.160.05.117.230701 Cottonwood FSC/PEFC 440 (kg/m3)</t>
  </si>
  <si>
    <t xml:space="preserve">Alternative Names: Cottonwood (USA Canada) Eastern Cottonwood (USA) Black Cottonwood (Canada) Poplar (UK) Alamo (Mexico Spain) Chopo (Spain Argentina) Peuplier Noir d'Amérique (France) Schwarzpappel (Germany) Álamo Negro (Latin America) Álamo Americano (Spain) and Carolina Poplar (USA).  Botanical Name: Populus deltoides </t>
  </si>
  <si>
    <t>A.160.05.118.230701 Cottonwood natural forest clear cut 440 (kg/m3)</t>
  </si>
  <si>
    <t>A.160.05.119.230701 Hornbean FSC/PEFC 750 (kg/m3)</t>
  </si>
  <si>
    <t>Alternative Names: Hornbeam (UK USA) European Hornbeam (Europe) Common Hornbeam (UK) Charmille (France) Hainbuche (Germany Austria) Carpe (France Belgium) Hophornbeam (USA) Carpinello (Italy) Željezovina (Croatia) Grab (Poland) Hornviš?a (Slovakia)</t>
  </si>
  <si>
    <t>A.160.05.120.230701 Horse chestnut FSC/PEFC 450 (kg/m3)</t>
  </si>
  <si>
    <t xml:space="preserve">Alternative Names: Horse Chestnut (UK USA) Common Horse Chestnut (UK) Marronnier d'Inde (France) Kastanie (Germany Austria) Wilde Kastanje (Netherlands) Kasztanowiec Zwyczajny (Poland) Castaño de Indias (Spain Argentina) Ippocastano (Italy) Kastanija (Croatia) Castañeiro Bravo (Portugal) Kasztan (Hungary).  Botanical Name: Aesculus hippocastanum </t>
  </si>
  <si>
    <t>A.160.05.121.230701 Ilomba FSC/PEFC 480 (kg/m3)</t>
  </si>
  <si>
    <t xml:space="preserve">Alternative Names: Ilomba (Gabon Cameroon) African Maple (USA UK) White Ilomba (Nigeria) Akom (Gabon) and Limba Blanche (Côte d'Ivoire).  Botanical Name: Pycnanthus angolensis </t>
  </si>
  <si>
    <t>A.160.05.122.230701 Ilomba natural forest clear cut 480 (kg/m3)</t>
  </si>
  <si>
    <t>A.160.05.123.230701 Koto FSC/PEFC 560 (kg/m3)</t>
  </si>
  <si>
    <t xml:space="preserve">Alternative Names: Koto (Ghana Nigeria) Emire (Ivory Coast) Awari (Ghana) Ogea (Nigeria) Omu (Sierra Leone) and Pterygota (Cameroon).  Botanical Name: Pterygota macrocarpa </t>
  </si>
  <si>
    <t>A.160.05.124.230701 Koto natural forest clear cut 560 (kg/m3)</t>
  </si>
  <si>
    <t>A.160.05.125.230701 Linde FSC/PEFC 540 (kg/m3)</t>
  </si>
  <si>
    <t>Alternative Names: Linden (USA UK) Lime Tree (UK) Basswood (USA Canada) Tilleul (France) Linde (Germany Netherlands Austria) Tiglio (Italy) Tilia (Spain) Lind (Sweden Denmark) Lípa (Czech Republic)</t>
  </si>
  <si>
    <t>A.160.05.126.230701 Platan FSC/PEFC 620 (kg/m3)</t>
  </si>
  <si>
    <t>Alternative Names: Plane Tree (UK USA) London Plane (UK) Plátano (Spain Argentina) Platane (France) Platane d'Orient (France) Platano Orientale (Italy) Plátanos (Greece) Ahornblättrige Platane (Germany) Sycamore (USA) Oriental Plane (UK) Chinar (India Pakistan).  Botanical Name: Platanus spp.</t>
  </si>
  <si>
    <t>A.160.05.127.230701 Poplar FSC/PEFC 440 (kg/m3)</t>
  </si>
  <si>
    <t>Alternative Names: Poplar (UK USA Canada) Aspen (UK USA) Cottonwood (USA Canada) Alamo (Spain Mexico) Chopo (Spain Argentina) Peuplier (France) Pappel (Germany Austria)</t>
  </si>
  <si>
    <t>A.160.05.129.230701 Sycamore FSC/PEFC 615 (kg/m3)</t>
  </si>
  <si>
    <t xml:space="preserve">Alternative Names: Sycamore (USA, UK), American Sycamore (USA), Plane Tree (UK), Buttonwood (USA), Platan (Germany), Platane (France), Sicomoro (Italy, Spain), Sicômoro (Portugal), Plátano Occidental (Spain), Sigamoro (Greece), Oriental Plane (India, Pakistan).  Botanical Name: Platanus occidentalis (American sycamore) or Platanus orientalis (Oriental plane), though in the UK, Acer pseudoplatanus (sycamore maple) is often called "Sycamore." </t>
  </si>
  <si>
    <t>A.160.05.130.230701 Wawa FSC/PEFC 390 (kg/m3)</t>
  </si>
  <si>
    <t xml:space="preserve">Alternative Names: Wawa (Ghana) Obeche (Nigeria UK) Ayous (Cameroon France) Samba (Ivory Coast) Abachi (Germany) African Whitewood (UK USA) Obobo (Nigeria) and Abura (Sierra Leone).  Botanical Name: Triplochiton scleroxylon </t>
  </si>
  <si>
    <t>A.160.05.131.230701 Wawa natural forest clear cut 390 (kg/m3)</t>
  </si>
  <si>
    <t>A.160.05.132.230701 Willow FSC/PEFC 450 (kg/m3)</t>
  </si>
  <si>
    <t>Alternative Names: Willow (UK USA) Weeping Willow (UK USA) Saule (France) Salice (Italy) Sauce (Spain Argentina) Weide (Germany Netherlands) Pil (Sweden Denmark) Salguero (Spain) Wierzba (Poland)</t>
  </si>
  <si>
    <t>Materials, wood, unknown durability</t>
  </si>
  <si>
    <t>A.160.06.101.230701 Anzala (Mukulungu) FSC/PEFC 940 (kg/m3)</t>
  </si>
  <si>
    <t xml:space="preserve">Alternative Names: Anzala (Congo) Mukulungu (Gabon Cameroon) Lifaki (Democratic Republic of Congo) Mbeli (Republic of Congo) and Keli (Cameroon).  Botanical Name: Autranella congolensis </t>
  </si>
  <si>
    <t>A.160.06.102.230701 Anzala (Mukulungu) natural forest clear cut 940 (kg/m3)</t>
  </si>
  <si>
    <t>A.160.06.103.230701 Coromandel Ebony FSC/PEFC 1100 (kg/m3)</t>
  </si>
  <si>
    <t xml:space="preserve">Alternative Names: Coromandel Ebony (India) East Indian Ebony (India) Ceylon Ebony (Sri Lanka) Malabar Ebony (India) Blackwood (Australia UK) Calamander (Sri Lanka) and Makassar Ebony (Indonesia).  Botanical Name: Diospyros melanoxylon </t>
  </si>
  <si>
    <t>A.160.06.104.230701 Coromandel Ebony natural forest clear cut 1100 (kg/m3)</t>
  </si>
  <si>
    <t>A.160.06.105.230701 Dabema FSC/PEFC 690 (kg/m3)</t>
  </si>
  <si>
    <t xml:space="preserve">Alternative Names: Dabema (Ghana Ivory Coast) Saman (Cameroon) Ayin (Nigeria) Bosse (France) and Dahoma (Ghana).  Botanical Name: Piptadeniastrum africanum </t>
  </si>
  <si>
    <t>A.160.06.106.230701 Dabema natural forest clear cut 690 (kg/m3)</t>
  </si>
  <si>
    <t>A.160.06.107.230701 Emien FSC/PEFC 360 (kg/m3)</t>
  </si>
  <si>
    <t xml:space="preserve">Alternative Names: Emien (Ivory Coast) Aloma (Ghana) Alom (Cameroon) Emen (Nigeria) and Ilomba (France).  Botanical Name: Alstonia boonei </t>
  </si>
  <si>
    <t>A.160.06.108.230701 Emien natural forest clear cut 360 (kg/m3)</t>
  </si>
  <si>
    <t>A.160.06.109.230701 Incense cedar FSC/PEFC 385 (kg/m3)</t>
  </si>
  <si>
    <t xml:space="preserve">Alternative Names: Incense Cedar (USA) California Incense Cedar (USA) Western Incense Cedar (USA) White Cedar (Canada) Libocedro (Italy) and Cèdre à Encens (France).  Botanical Name: Calocedrus decurrens </t>
  </si>
  <si>
    <t>A.160.06.110.230701 Missanda (Tali) FSC/PEFC 900 (kg/m3)</t>
  </si>
  <si>
    <t xml:space="preserve">Alternative Names: Missanda (Gabon) Tali (Cameroon) Eba (Ivory Coast) and Siki (Democratic Republic of Congo).  Botanical Name: Erythrophleum ivorense </t>
  </si>
  <si>
    <t>A.160.06.111.230701 Missanda (Tali) natural forest clear cut 900 (kg/m3)</t>
  </si>
  <si>
    <t>A.160.06.112.230701 Mountain ash European FEC/PEFC 700 (kg/m3)</t>
  </si>
  <si>
    <t xml:space="preserve">Alternative Names: Mountain Ash (UK USA) European Rowan (UK) Rowan (UK Ireland) Sorbier des Oiseleurs (France) Eberesche (Germany) Sorbo degli Uccellatori (Italy) Serbal de Cazadores (Spain) Vogelkers (Netherlands) Jarz?b (Poland) Pihlaja (Finland) and Røn (Denmark Norway).  Botanical Name: Sorbus aucuparia </t>
  </si>
  <si>
    <t>A.160.06.113.230701 Mubura FSC/PEFC 830 (kg/m3)</t>
  </si>
  <si>
    <t xml:space="preserve">Alternative Names: Mubura (Democratic Republic of Congo) Bura (Cameroon) N'gollon (Ivory Coast) and Koto (Ghana).  Botanical Name: Milicia excelsa </t>
  </si>
  <si>
    <t>A.160.06.114.230701 Mubura natural forest clear cut 830 (kg/m3)</t>
  </si>
  <si>
    <t>A.160.06.115.230701 Niove FSC/PEFC 850 (kg/m3)</t>
  </si>
  <si>
    <t xml:space="preserve">Alternative Names: Niove (Gabon) Kanda (Cameroon) Ewuruku (Ghana) and Emien (Ivory Coast).  Botanical Name: Staudtia kamerunensis </t>
  </si>
  <si>
    <t>A.160.06.116.230701 Niove natural forest clear cut 850 (kg/m3)</t>
  </si>
  <si>
    <t>A.160.06.117.230701 Onzabili FSC/PEFCt 550 (kg/m3)</t>
  </si>
  <si>
    <t xml:space="preserve">Alternative Names: Onzabili (Gabon) Bilinga (Ivory Coast Ghana) Aloma (Cameroon) and Opepe (Nigeria).  Botanical Name: Nauclea diderrichii </t>
  </si>
  <si>
    <t>A.160.06.118.230701 Onzabili natural forest clear cut 550 (kg/m3)</t>
  </si>
  <si>
    <t>A.160.06.119.230701 Ozigo (Igaganga) FSC/PEFC 650 (kg/m3)</t>
  </si>
  <si>
    <t xml:space="preserve">Alternative Names: Ozigo (Gabon) Igaganga (Cameroon) Bodo (Ivory Coast) and Doussié Gris (France).  Botanical Name: Dacryodes buettneri </t>
  </si>
  <si>
    <t>A.160.06.120.230701 Ozigo (Igaganga) natural forest clear cut 650 (kg/m3)</t>
  </si>
  <si>
    <t>A.160.06.121.230701 Parasolier FSC/PEFC 190 (kg/m3)</t>
  </si>
  <si>
    <t xml:space="preserve">Alternative Names: Parasolier (France) Umbrella Tree (UK USA) Musanga (Ghana Nigeria) N'govoge (Cameroon) and Moutouchi (Gabon).  Botanical Name: Musanga cecropioides </t>
  </si>
  <si>
    <t>A.160.06.122.230701 Parasolier natural forest clear cut 190 (kg/m3)</t>
  </si>
  <si>
    <t>A.160.06.123.230701 Pear FSC/PEFC 680 (kg/m3)</t>
  </si>
  <si>
    <t>Alternative Names: Pear (UK USA) Pyrus (France) Peral (Spain) Pero (Italy) Birnbaum (Germany Austria) Pêra (Portugal) Perë (Albania) Hruška (Czech Republic Slovenia) Gruszka (Poland) and ? (Li) (China Japan).  Botanical Name: Pyrus communis (European pear) for cultivated pears</t>
  </si>
  <si>
    <t>A.160.06.124.230701 Pockwood FSC/PEFC1250 (kg/m3)</t>
  </si>
  <si>
    <t xml:space="preserve">Alternative Names: Pockwood (UK Caribbean) Lignum Vitae (USA UK Caribbean) Guayacan (Mexico Central America) Guaiacwood (France) Palo Santo (Argentina Paraguay) and Ironwood (Caribbean Guyana).  Botanical Name: Guaiacum officinale or Guaiacum sanctum </t>
  </si>
  <si>
    <t>A.160.06.125.230701 Pockwood natural forest clear cut 1250 (kg/m3)</t>
  </si>
  <si>
    <t>A.160.06.126.230701 Simmon (Persimmon) FSC/PEFC 835 (kg/m3)</t>
  </si>
  <si>
    <t xml:space="preserve">Alternative Names: Simmon (Southern USA) American Persimmon (USA) Possumwood (USA) Eastern Persimmon (USA) and Kaki (Japan for other persimmon species).  Botanical Name: Diospyros virginiana </t>
  </si>
  <si>
    <t>A.160.06.127.230701 Sterculia (Niangon) FSC/PEFC 700 (kg/m3)</t>
  </si>
  <si>
    <t>Alternative Names: Sterculia (General) Balsa Tree (USA for some species) Pezrah (India) Bondu (Myanmar) Kelumpang (Malaysia) Bubba (Ghana) Kola Nut Tree (West Africa for some species) and Kalumpang (Philippines).  Botanical Name: Sterculia spp. with common species including Sterculia foetida (Indian almond or wild almond) and Sterculia apetala (Panama tree).  Alternative Names: Niangon (Ivory Coast Ghana) Bété (Cameroon) M'Bété (Gabon)</t>
  </si>
  <si>
    <t>A.160.06.128.230701 Sterculia (Niangon) natural forest clear cut 700 (kg/m3)</t>
  </si>
  <si>
    <t>A.160.06.129.230701 Zebrano (Goncalo-alvez) FSC/PEFC 900 (kg/m3)</t>
  </si>
  <si>
    <t xml:space="preserve">Alternative Names: Zebrano (Germany, France), Zebrawood (USA, UK), Zingana (Cameroon, Gabon), African Zebrawood (General), Goncalo Alves (Brazil, for similar-patterned wood), and Ébène Tigré (France).  Botanical Name: Microberlinia brazzavillensis (Zebrano) for African zebrawood   however, Astronium fraxinifolium is the botanical name for Goncalo Alves, which is a different species often confused due to similar striping patterns. </t>
  </si>
  <si>
    <t>A.160.06.130.230701 Zebrano (Goncalo-alvez) natural forest clear cut 900 (kg/m3)</t>
  </si>
  <si>
    <t>Materials, wood, fot wet civil engineering</t>
  </si>
  <si>
    <t>A.160.07.101.230701 Angelim Vermelho FSC/PEFC 1430 (kg/m3) wet</t>
  </si>
  <si>
    <t>Materials, wood, for wet civil engineering</t>
  </si>
  <si>
    <t xml:space="preserve">Alternative Names: Angelim Vermelho (Brazil) Angelim Piedra (Colombia) Red Angelim (USA) Angelique (French Guiana) and Sucupira-Vermelha (Brazil).  Botanical Name: Dinizia excelsa </t>
  </si>
  <si>
    <t>A.160.07.102.230701 Angelim Vermelho natural forest clear cut 1430 (kg/m3) wet</t>
  </si>
  <si>
    <t>A.160.07.103.230701 Cumaru FSC/PEFC 1200 (kg/m3) wet</t>
  </si>
  <si>
    <t xml:space="preserve">Alternative Names: Cumaru (Brazil) Brazilian Teak (USA UK) Tonka Bean Tree (France Germany) Almendrillo (Peru) Charapilla (Ecuador) and Sarrapia (Venezuela).  Botanical Name: Dipteryx odorata </t>
  </si>
  <si>
    <t>A.160.07.104.230701 Cumaru natural forest clear cut 1200 (kg/m3) wet</t>
  </si>
  <si>
    <t>A.160.07.105.230701 Massaranduba FCS/PEFC 1200 (kg/m3) wet</t>
  </si>
  <si>
    <t xml:space="preserve">Alternative Names: Massaranduba (Brazil) Bulletwood (USA UK) Balata (Guyana Trinidad) Palo de Caucho (Colombia) Quinilla Colorada (Peru) and Muirapiranga (Brazil).  Botanical Name: Manilkara bidentata </t>
  </si>
  <si>
    <t>A.160.07.106.230701 Massaranduba natural forest clear cut 1200 (kg/m3) wet</t>
  </si>
  <si>
    <t>A.160.07.107.230701 Okan FSC/PEFC 1075 (kg/m3) wet</t>
  </si>
  <si>
    <t xml:space="preserve">Alternative Names: Okan (Gabon Ivory Coast) Denya (Ghana) African Greenheart (UK USA) Bongossi (Germany) and Adoum (Cameroon).  Botanical Name: Cylicodiscus gabunensis </t>
  </si>
  <si>
    <t>A.160.07.108.230701 Okan natural forest clear cut 1075 (kg/m3) wet</t>
  </si>
  <si>
    <t>A.160.07.109.230701 Sapupira FSC/PEFC 1075 (kg/m3) wet</t>
  </si>
  <si>
    <t xml:space="preserve">Alternative Names: Sapupira (Brazil) Brazilian Walnut (USA) Angelim Amargoso (Brazil) Cuti (Peru) and Amargo (Colombia).  Botanical Name: Diplotropis purpurea </t>
  </si>
  <si>
    <t>A.160.07.110.230701 Sapupira natural forest clear cut 1075 (kg/m3) wet</t>
  </si>
  <si>
    <t>Materials, wood, products</t>
  </si>
  <si>
    <t>A.160.09.101.240825 Acetylated Radiata pine = durable wood, s.g. 515 kg/m3 (Netherlands)</t>
  </si>
  <si>
    <t>A.160.09.102.240825 Acetylated Scots pine = durable wood, s.g. 540 kg/m3 (Netherlands)</t>
  </si>
  <si>
    <t>A.160.09.103.230701 Bamboo (local at forest road China)</t>
  </si>
  <si>
    <t>A.160.09.104.230701 CCA wood (Scots pine with Cromium Copper and Asenic) incl EoL</t>
  </si>
  <si>
    <t>A.160.09.105.230701 Cork at factory gate in Portugal 150 kg/m3</t>
  </si>
  <si>
    <t>A.160.09.106.230701 Cork at forest road 150 kg/m3</t>
  </si>
  <si>
    <t>A.160.09.107.230701 Cork granulate 150 kg/m3</t>
  </si>
  <si>
    <t>A.160.09.108.230701 Cork granulate glued = aggregate (e.g. slab for insulation) 150 kg/m3</t>
  </si>
  <si>
    <t>A.160.09.109.230701 MDF at factury gate</t>
  </si>
  <si>
    <t>A.160.09.110.230701 Particle board  standard (Rotterdam)</t>
  </si>
  <si>
    <t>A.160.09.111.230701 Particle board biodegradable at factury gate</t>
  </si>
  <si>
    <t>A.160.09.112.230701 Particle board high humidity P5 (Rotterdam)</t>
  </si>
  <si>
    <t>A.160.09.113.230701 Plato wood = thermal treated European Spruce s.g. 420 kg/m3</t>
  </si>
  <si>
    <t>A.160.09.114.230701 Plywood Bamboo (density approx 700 kg/m3)</t>
  </si>
  <si>
    <t>A.160.09.115.230701 Plywood (softwood 600 kg/m3) - indoor use</t>
  </si>
  <si>
    <t>A.160.09.116.250806 Plywood Okoumei plantation (500 kg/m3) - marine and outdoor use</t>
  </si>
  <si>
    <t>A.160.09.117.251202 Particle board Recycled from "A-wood" (Rotterdam)</t>
  </si>
  <si>
    <t>ENERGY</t>
  </si>
  <si>
    <t>Energy, electricity by fuel</t>
  </si>
  <si>
    <t>B.030.01.101.250107 Electricity coal EU - US - China 38% efficiency</t>
  </si>
  <si>
    <t>electricity</t>
  </si>
  <si>
    <t>B.030.01.102.230701 Electricity from offshore windmill (5MW  capacity factor 0.47)</t>
  </si>
  <si>
    <t>B.030.01.103.230701 Electricity gas EU - US - China 60% efficiency</t>
  </si>
  <si>
    <t>B.030.01.104.230701 Electricity nuclear (US)</t>
  </si>
  <si>
    <t>B.030.01.105.230701 Electricity oil EU - US - China  45% efficiency</t>
  </si>
  <si>
    <t>B.030.01.106.230701 Electricity from Hydropower (Norway)</t>
  </si>
  <si>
    <t>B.030.01.107.240825 Electricity from PV panel  Mono-Si (irradiation 1100 kWh per m2 ) in MJ</t>
  </si>
  <si>
    <t>B.030.01.108.241008 Electricity from sawdust (waste wood 12% MC) in power plant</t>
  </si>
  <si>
    <t>Energy, electricity general</t>
  </si>
  <si>
    <t>B.040.01.101.251007 Electricity General Industry</t>
  </si>
  <si>
    <t>electricity general industry</t>
  </si>
  <si>
    <t>B.040.01.104.251007 Electricity General domestic use Low Voltage</t>
  </si>
  <si>
    <t>Energy, electricity EU, UK, CH, Norway production</t>
  </si>
  <si>
    <t>B.042.01.101.251007 Electricity .EU-27 production</t>
  </si>
  <si>
    <t xml:space="preserve">electricity EU </t>
  </si>
  <si>
    <t>B.042.01.102.251007 Electricity Austria production</t>
  </si>
  <si>
    <t>B.042.01.103.251007 Electricity Belgium production</t>
  </si>
  <si>
    <t>B.042.01.104.251007 Electricity Bulgaria production</t>
  </si>
  <si>
    <t>B.042.01.105.251007 Electricity Croatia production</t>
  </si>
  <si>
    <t>B.042.01.106.251007 Electricity Cyprus production</t>
  </si>
  <si>
    <t>B.042.01.107.251007 Electricity Czechia production</t>
  </si>
  <si>
    <t>B.042.01.108.251007 Electricity Denmark production</t>
  </si>
  <si>
    <t>B.042.01.109.251007 Electricity Estonia production</t>
  </si>
  <si>
    <t>B.042.01.110.251007 Electricity Finland production</t>
  </si>
  <si>
    <t>B.042.01.111.251007 Electricity France production</t>
  </si>
  <si>
    <t>B.042.01.112.251007 Electricity Germany production</t>
  </si>
  <si>
    <t>B.042.01.113.251007 Electricity Greece production</t>
  </si>
  <si>
    <t>B.042.01.114.251007 Electricity Hungary production</t>
  </si>
  <si>
    <t>B.042.01.115.251007 Electricity Ireland production</t>
  </si>
  <si>
    <t>B.042.01.116.251007 Electricity Italy production</t>
  </si>
  <si>
    <t>B.042.01.117.251007 Electricity Latvia production</t>
  </si>
  <si>
    <t>B.042.01.118.251007 Electricity Lithuania production</t>
  </si>
  <si>
    <t>B.042.01.119.251007 Electricity Luxembourg production</t>
  </si>
  <si>
    <t>B.042.01.120.251007 Electricity Malta production</t>
  </si>
  <si>
    <t>B.042.01.121.251007 Electricity Netherlands production</t>
  </si>
  <si>
    <t>B.042.01.122.251007 Electricity Norway production</t>
  </si>
  <si>
    <t>B.042.01.123.251007 Electricity Poland production</t>
  </si>
  <si>
    <t>B.042.01.124.251007 Electricity Portugal production</t>
  </si>
  <si>
    <t>B.042.01.125.251007 Electricity Romania production</t>
  </si>
  <si>
    <t>B.042.01.126.251007 Electricity Slovakia production</t>
  </si>
  <si>
    <t>B.042.01.127.251007 Electricity Slovenia production</t>
  </si>
  <si>
    <t>B.042.01.128.251007 Electricity Spain production</t>
  </si>
  <si>
    <t>B.042.01.129.251007 Electricity Sweden production</t>
  </si>
  <si>
    <t>B.042.01.131.251007 Electricity Switzerland production</t>
  </si>
  <si>
    <t>B.042.01.132.251007 Electricity United Kingdom production</t>
  </si>
  <si>
    <t>Energy, electricity EU and CH consumption</t>
  </si>
  <si>
    <t>B.042.02.101.251007 Electricity .EU-27 consumption</t>
  </si>
  <si>
    <t>B.042.02.102.251007 Electricity Austria consumption</t>
  </si>
  <si>
    <t>B.042.02.103.251007 Electricity Belgium consumption</t>
  </si>
  <si>
    <t>B.042.02.104.251007 Electricity Bulgaria consumption</t>
  </si>
  <si>
    <t>B.042.02.105.251007 Electricity Croatia consumption</t>
  </si>
  <si>
    <t>B.042.02.106.251007 Electricity Cyprus consumption</t>
  </si>
  <si>
    <t>B.042.02.107.251007 Electricity Czechia consumption</t>
  </si>
  <si>
    <t>B.042.02.108.251007 Electricity Denmark consumption</t>
  </si>
  <si>
    <t>B.042.02.109.251007 Electricity Estonia consumption</t>
  </si>
  <si>
    <t>B.042.02.110.251007 Electricity Finland consumption</t>
  </si>
  <si>
    <t>B.042.02.111.251007 Electricity France consumption</t>
  </si>
  <si>
    <t>B.042.02.112.251007 Electricity Germany consumption</t>
  </si>
  <si>
    <t>B.042.02.113.251007 Electricity Greece consumption</t>
  </si>
  <si>
    <t>B.042.02.114.251007 Electricity Hungary consumption</t>
  </si>
  <si>
    <t>B.042.02.115.251007 Electricity Ireland consumption</t>
  </si>
  <si>
    <t>B.042.02.116.251007 Electricity Italy consumption</t>
  </si>
  <si>
    <t>B.042.02.117.251007 Electricity Latvia consumption</t>
  </si>
  <si>
    <t>B.042.02.118.251007 Electricity Lithuania consumption</t>
  </si>
  <si>
    <t>B.042.02.119.251007 Electricity Luxembourg consumption</t>
  </si>
  <si>
    <t>B.042.02.120.251007 Electricity Malta consumption</t>
  </si>
  <si>
    <t>B.042.02.121.251007 Electricity Netherlands consumption</t>
  </si>
  <si>
    <t>B.042.02.123.251007 Electricity Poland consumption</t>
  </si>
  <si>
    <t>B.042.02.124.251007 Electricity Portugal consumption</t>
  </si>
  <si>
    <t>B.042.02.125.251007 Electricity Romania consumption</t>
  </si>
  <si>
    <t>B.042.02.126.251007 Electricity Slovakia consumption</t>
  </si>
  <si>
    <t>B.042.02.127.251007 Electricity Slovenia consumption</t>
  </si>
  <si>
    <t>B.042.02.128.251007 Electricity Spain consumption</t>
  </si>
  <si>
    <t>B.042.02.129.251007 Electricity Sweden consumption</t>
  </si>
  <si>
    <t>B.042.02.131.251007 Electricity Switzerland consumption</t>
  </si>
  <si>
    <t>Energy, electricity Rest of the World</t>
  </si>
  <si>
    <t>B.044.01.101.251007 Electricity .Middle Africa production</t>
  </si>
  <si>
    <t>electricity Rest of the World</t>
  </si>
  <si>
    <t>B.044.01.102.251007 Electricity .Middle East production</t>
  </si>
  <si>
    <t>B.044.01.103.251007 Electricity .North America production</t>
  </si>
  <si>
    <t>B.044.01.104.251007 Electricity .South America production</t>
  </si>
  <si>
    <t>B.044.01.105.251007 Electricity Afghanistan production</t>
  </si>
  <si>
    <t>B.044.01.106.251007 Electricity Africa production</t>
  </si>
  <si>
    <t>B.044.01.107.251007 Electricity Albania production</t>
  </si>
  <si>
    <t>B.044.01.108.251007 Electricity Algeria production</t>
  </si>
  <si>
    <t>B.044.01.109.251007 Electricity American Samoa production</t>
  </si>
  <si>
    <t>B.044.01.110.251007 Electricity Angola production</t>
  </si>
  <si>
    <t>B.044.01.111.251007 Electricity Antigua and Barbuda production</t>
  </si>
  <si>
    <t>B.044.01.112.251007 Electricity Argentina production</t>
  </si>
  <si>
    <t>B.044.01.113.251007 Electricity Armenia production</t>
  </si>
  <si>
    <t>B.044.01.114.251007 Electricity Aruba production</t>
  </si>
  <si>
    <t>B.044.01.115.251007 Electricity Asia Pacific production</t>
  </si>
  <si>
    <t>B.044.01.116.251007 Electricity Australia production</t>
  </si>
  <si>
    <t>B.044.01.117.251007 Electricity Azerbaijan production</t>
  </si>
  <si>
    <t>B.044.01.118.251007 Electricity Bahamas production</t>
  </si>
  <si>
    <t>B.044.01.119.251007 Electricity Bahrain production</t>
  </si>
  <si>
    <t>B.044.01.120.251007 Electricity Bangladesh production</t>
  </si>
  <si>
    <t>B.044.01.121.251007 Electricity Barbados production</t>
  </si>
  <si>
    <t>B.044.01.122.251007 Electricity Belarus production</t>
  </si>
  <si>
    <t>B.044.01.123.251007 Electricity Belize production</t>
  </si>
  <si>
    <t>B.044.01.124.251007 Electricity Benin production</t>
  </si>
  <si>
    <t>B.044.01.125.251007 Electricity Bermuda production</t>
  </si>
  <si>
    <t>B.044.01.126.251007 Electricity Bhutan production</t>
  </si>
  <si>
    <t>B.044.01.127.251007 Electricity Bolivia production</t>
  </si>
  <si>
    <t>B.044.01.128.251007 Electricity Bosnia and Herzegovina production</t>
  </si>
  <si>
    <t>B.044.01.129.251007 Electricity Botswana production</t>
  </si>
  <si>
    <t>B.044.01.130.251007 Electricity Brazil production</t>
  </si>
  <si>
    <t>B.044.01.131.251007 Electricity Brunei production</t>
  </si>
  <si>
    <t>B.044.01.132.251007 Electricity Burkina Faso production</t>
  </si>
  <si>
    <t>B.044.01.133.251007 Electricity Burundi production</t>
  </si>
  <si>
    <t>B.044.01.134.251007 Electricity Cambodia production</t>
  </si>
  <si>
    <t>B.044.01.135.251007 Electricity Cameroon production</t>
  </si>
  <si>
    <t>B.044.01.136.251007 Electricity Canada production</t>
  </si>
  <si>
    <t>B.044.01.137.251007 Electricity Cape Verde production</t>
  </si>
  <si>
    <t>B.044.01.138.251007 Electricity Cayman Islands production</t>
  </si>
  <si>
    <t>B.044.01.139.251007 Electricity Central African Republic production</t>
  </si>
  <si>
    <t>B.044.01.140.251007 Electricity Central America production</t>
  </si>
  <si>
    <t>B.044.01.141.251007 Electricity Chad production</t>
  </si>
  <si>
    <t>B.044.01.142.251007 Electricity Chile production</t>
  </si>
  <si>
    <t>B.044.01.143.251007 Electricity China production</t>
  </si>
  <si>
    <t>B.044.01.144.251007 Electricity CIS production</t>
  </si>
  <si>
    <t>B.044.01.145.251007 Electricity Colombia production</t>
  </si>
  <si>
    <t>B.044.01.146.251007 Electricity Comoros production</t>
  </si>
  <si>
    <t>B.044.01.147.251007 Electricity Congo production</t>
  </si>
  <si>
    <t>B.044.01.148.251007 Electricity Cook Islands production</t>
  </si>
  <si>
    <t>B.044.01.149.251007 Electricity Costa Rica production</t>
  </si>
  <si>
    <t>B.044.01.150.251007 Electricity Cote d'Ivoire production</t>
  </si>
  <si>
    <t>B.044.01.151.251007 Electricity Cuba production</t>
  </si>
  <si>
    <t>B.044.01.152.251007 Electricity Democratic Republic of Congo production</t>
  </si>
  <si>
    <t>B.044.01.153.251007 Electricity Djibouti production</t>
  </si>
  <si>
    <t>B.044.01.154.251007 Electricity Dominica production</t>
  </si>
  <si>
    <t>B.044.01.155.251007 Electricity Dominican Republic production</t>
  </si>
  <si>
    <t>B.044.01.156.251007 Electricity Eastern Africa production</t>
  </si>
  <si>
    <t>B.044.01.157.251007 Electricity Ecuador production</t>
  </si>
  <si>
    <t>B.044.01.158.251007 Electricity Egypt production</t>
  </si>
  <si>
    <t>B.044.01.159.251007 Electricity El Salvador production</t>
  </si>
  <si>
    <t>B.044.01.160.251007 Electricity Equatorial Guinea production</t>
  </si>
  <si>
    <t>B.044.01.161.251007 Electricity Eritrea production</t>
  </si>
  <si>
    <t>B.044.01.162.251007 Electricity Eswatini production</t>
  </si>
  <si>
    <t>B.044.01.163.251007 Electricity Ethiopia production</t>
  </si>
  <si>
    <t>B.044.01.164.251007 Electricity Falkland Islands production</t>
  </si>
  <si>
    <t>B.044.01.165.251007 Electricity Faroe Islands production</t>
  </si>
  <si>
    <t>B.044.01.166.251007 Electricity Fiji production</t>
  </si>
  <si>
    <t>B.044.01.167.251007 Electricity French Guiana production</t>
  </si>
  <si>
    <t>B.044.01.168.251007 Electricity French Polynesia production</t>
  </si>
  <si>
    <t>B.044.01.169.251007 Electricity Gabon production</t>
  </si>
  <si>
    <t>B.044.01.170.251007 Electricity Gambia production</t>
  </si>
  <si>
    <t>B.044.01.171.251007 Electricity Georgia production</t>
  </si>
  <si>
    <t>B.044.01.172.251007 Electricity Ghana production</t>
  </si>
  <si>
    <t>B.044.01.173.251007 Electricity Greenland production</t>
  </si>
  <si>
    <t>B.044.01.174.251007 Electricity Grenada production</t>
  </si>
  <si>
    <t>B.044.01.175.251007 Electricity Guam production</t>
  </si>
  <si>
    <t>B.044.01.176.251007 Electricity Guatemala production</t>
  </si>
  <si>
    <t>B.044.01.177.251007 Electricity Guinea production</t>
  </si>
  <si>
    <t>B.044.01.178.251007 Electricity Guinea-Bissau production</t>
  </si>
  <si>
    <t>B.044.01.179.251007 Electricity Guyana production</t>
  </si>
  <si>
    <t>B.044.01.180.251007 Electricity Haiti production</t>
  </si>
  <si>
    <t>B.044.01.181.251007 Electricity Honduras production</t>
  </si>
  <si>
    <t>B.044.01.182.251007 Electricity Hong Kong production</t>
  </si>
  <si>
    <t>B.044.01.183.251007 Electricity Iceland production</t>
  </si>
  <si>
    <t>B.044.01.184.251007 Electricity India  production</t>
  </si>
  <si>
    <t>B.044.01.185.251007 Electricity Indonesia production</t>
  </si>
  <si>
    <t>B.044.01.186.251007 Electricity Iran production</t>
  </si>
  <si>
    <t>B.044.01.187.251007 Electricity Iraq production</t>
  </si>
  <si>
    <t>B.044.01.188.251007 Electricity Israel production</t>
  </si>
  <si>
    <t>B.044.01.189.251007 Electricity Jamaica production</t>
  </si>
  <si>
    <t>B.044.01.190.251007 Electricity Japan production</t>
  </si>
  <si>
    <t>B.044.01.191.251007 Electricity Jordan production</t>
  </si>
  <si>
    <t>B.044.01.192.251007 Electricity Kazakhstan production</t>
  </si>
  <si>
    <t>B.044.01.193.251007 Electricity Kenya production</t>
  </si>
  <si>
    <t>B.044.01.194.251007 Electricity Kiribati production</t>
  </si>
  <si>
    <t>B.044.01.195.251007 Electricity Kosovo production</t>
  </si>
  <si>
    <t>B.044.01.196.251007 Electricity Kuwait production</t>
  </si>
  <si>
    <t>B.044.01.197.251007 Electricity Kyrgyzstan production</t>
  </si>
  <si>
    <t>B.044.01.198.251007 Electricity Laos production</t>
  </si>
  <si>
    <t>B.044.01.199.251007 Electricity Lebanon production</t>
  </si>
  <si>
    <t>B.044.01.200.251007 Electricity Lesotho production</t>
  </si>
  <si>
    <t>B.044.01.201.251007 Electricity Liberia production</t>
  </si>
  <si>
    <t>B.044.01.202.251007 Electricity Libya production</t>
  </si>
  <si>
    <t>B.044.01.203.251007 Electricity Macau production</t>
  </si>
  <si>
    <t>B.044.01.204.251007 Electricity Madagascar production</t>
  </si>
  <si>
    <t>B.044.01.205.251007 Electricity Malawi production</t>
  </si>
  <si>
    <t>B.044.01.206.251007 Electricity Malaysia production</t>
  </si>
  <si>
    <t>B.044.01.207.251007 Electricity Maldives production</t>
  </si>
  <si>
    <t>B.044.01.208.251007 Electricity Mali production</t>
  </si>
  <si>
    <t>B.044.01.209.251007 Electricity Mauritania production</t>
  </si>
  <si>
    <t>B.044.01.210.251007 Electricity Mauritius production</t>
  </si>
  <si>
    <t>B.044.01.211.251007 Electricity Mexico production</t>
  </si>
  <si>
    <t>B.044.01.212.251007 Electricity Moldova production</t>
  </si>
  <si>
    <t>B.044.01.213.251007 Electricity Mongolia production</t>
  </si>
  <si>
    <t>B.044.01.214.251007 Electricity Montenegro production</t>
  </si>
  <si>
    <t>B.044.01.215.251007 Electricity Montserrat production</t>
  </si>
  <si>
    <t>B.044.01.216.251007 Electricity Morocco production</t>
  </si>
  <si>
    <t>B.044.01.217.251007 Electricity Mozambique production</t>
  </si>
  <si>
    <t>B.044.01.218.251007 Electricity Myanmar production</t>
  </si>
  <si>
    <t>B.044.01.219.251007 Electricity Namibia production</t>
  </si>
  <si>
    <t>B.044.01.220.251007 Electricity Nauru production</t>
  </si>
  <si>
    <t>B.044.01.221.251007 Electricity Nepal production</t>
  </si>
  <si>
    <t>B.044.01.222.251007 Electricity New Caledonia production</t>
  </si>
  <si>
    <t>B.044.01.223.251007 Electricity New Zealand production</t>
  </si>
  <si>
    <t>B.044.01.224.251007 Electricity Nicaragua production</t>
  </si>
  <si>
    <t>B.044.01.225.251007 Electricity Niger production</t>
  </si>
  <si>
    <t>B.044.01.226.251007 Electricity Nigeria production</t>
  </si>
  <si>
    <t>B.044.01.227.251007 Electricity North Korea production</t>
  </si>
  <si>
    <t>B.044.01.228.251007 Electricity North Macedonia production</t>
  </si>
  <si>
    <t>B.044.01.229.251007 Electricity Oman production</t>
  </si>
  <si>
    <t>B.044.01.230.251007 Electricity Pakistan production</t>
  </si>
  <si>
    <t>B.044.01.231.251007 Electricity Palestine production</t>
  </si>
  <si>
    <t>B.044.01.232.251007 Electricity Panama production</t>
  </si>
  <si>
    <t>B.044.01.233.251007 Electricity Papua New Guinea production</t>
  </si>
  <si>
    <t>B.044.01.234.251007 Electricity Paraguay production</t>
  </si>
  <si>
    <t>B.044.01.235.251007 Electricity Peru production</t>
  </si>
  <si>
    <t>B.044.01.236.251007 Electricity Philippines production</t>
  </si>
  <si>
    <t>B.044.01.237.251007 Electricity Puerto Rico production</t>
  </si>
  <si>
    <t>B.044.01.238.251007 Electricity Qatar production</t>
  </si>
  <si>
    <t>B.044.01.239.251007 Electricity Russia production</t>
  </si>
  <si>
    <t>B.044.01.240.251007 Electricity Rwanda production</t>
  </si>
  <si>
    <t>B.044.01.241.251007 Electricity Saint Helena production</t>
  </si>
  <si>
    <t>B.044.01.242.251007 Electricity Saint Kitts and Nevis production</t>
  </si>
  <si>
    <t>B.044.01.243.251007 Electricity Saint Lucia production</t>
  </si>
  <si>
    <t>B.044.01.244.251007 Electricity Saint Pierre and Miquelon production</t>
  </si>
  <si>
    <t>B.044.01.245.251007 Electricity Saint Vincent and the Grenadines production</t>
  </si>
  <si>
    <t>B.044.01.246.251007 Electricity Samoa production</t>
  </si>
  <si>
    <t>B.044.01.247.251007 Electricity Sao Tome and Principe production</t>
  </si>
  <si>
    <t>B.044.01.248.251007 Electricity Saudi Arabia production</t>
  </si>
  <si>
    <t>B.044.01.249.251007 Electricity Senegal production</t>
  </si>
  <si>
    <t>B.044.01.250.251007 Electricity Serbia production</t>
  </si>
  <si>
    <t>B.044.01.251.251007 Electricity Seychelles production</t>
  </si>
  <si>
    <t>B.044.01.252.251007 Electricity Sierra Leone production</t>
  </si>
  <si>
    <t>B.044.01.253.251007 Electricity Singapore production</t>
  </si>
  <si>
    <t>B.044.01.254.251007 Electricity Solomon Islands production</t>
  </si>
  <si>
    <t>B.044.01.255.251007 Electricity Somalia production</t>
  </si>
  <si>
    <t>B.044.01.256.251007 Electricity South Africa production</t>
  </si>
  <si>
    <t>B.044.01.257.251007 Electricity South Korea production</t>
  </si>
  <si>
    <t>B.044.01.258.251007 Electricity South Sudan production</t>
  </si>
  <si>
    <t>B.044.01.259.251007 Electricity Sri Lanka production</t>
  </si>
  <si>
    <t>B.044.01.260.251007 Electricity Sudan production</t>
  </si>
  <si>
    <t>B.044.01.261.251007 Electricity Suriname production</t>
  </si>
  <si>
    <t>B.044.01.262.251007 Electricity Syria production</t>
  </si>
  <si>
    <t>B.044.01.263.251007 Electricity Taiwan production</t>
  </si>
  <si>
    <t>B.044.01.264.251007 Electricity Tajikistan production</t>
  </si>
  <si>
    <t>B.044.01.265.251007 Electricity Tanzania production</t>
  </si>
  <si>
    <t>B.044.01.266.251007 Electricity Thailand production</t>
  </si>
  <si>
    <t>B.044.01.267.251007 Electricity Togo production</t>
  </si>
  <si>
    <t>B.044.01.268.251007 Electricity Tonga production</t>
  </si>
  <si>
    <t>B.044.01.269.251007 Electricity Trinidad and Tobago production</t>
  </si>
  <si>
    <t>B.044.01.270.251007 Electricity Tunisia production</t>
  </si>
  <si>
    <t>B.044.01.271.251007 Electricity Turkey production</t>
  </si>
  <si>
    <t>B.044.01.272.251007 Electricity Turkmenistan production</t>
  </si>
  <si>
    <t>B.044.01.273.251007 Electricity Turks and Caicos Islands production</t>
  </si>
  <si>
    <t>B.044.01.274.251007 Electricity Uganda production</t>
  </si>
  <si>
    <t>B.044.01.275.251007 Electricity Ukraine production</t>
  </si>
  <si>
    <t>B.044.01.276.251007 Electricity United Arab Emirates production</t>
  </si>
  <si>
    <t>B.044.01.277.251007 Electricity United States production</t>
  </si>
  <si>
    <t>B.044.01.278.251007 Electricity United States Virgin Islands production</t>
  </si>
  <si>
    <t>B.044.01.279.251007 Electricity Uruguay production</t>
  </si>
  <si>
    <t>B.044.01.280.251007 Electricity Uzbekistan production</t>
  </si>
  <si>
    <t>B.044.01.281.251007 Electricity Vanuatu production</t>
  </si>
  <si>
    <t>B.044.01.282.251007 Electricity Venezuela production</t>
  </si>
  <si>
    <t>B.044.01.283.251007 Electricity Vietnam production</t>
  </si>
  <si>
    <t>B.044.01.284.251007 Electricity Western Africa production</t>
  </si>
  <si>
    <t>B.044.01.285.251007 Electricity World production</t>
  </si>
  <si>
    <t>B.044.01.286.251007 Electricity Yemen production</t>
  </si>
  <si>
    <t>B.044.01.287.251007 Electricity Zambia production</t>
  </si>
  <si>
    <t>B.044.01.288.251007 Electricity Zimbabwe production</t>
  </si>
  <si>
    <t>B.044.01.289.251007 Electricity Asia production</t>
  </si>
  <si>
    <t>B.044.01.290.251007 Electricity British Virgin Islands production</t>
  </si>
  <si>
    <t>B.044.01.291.251007 Electricity East Timor production</t>
  </si>
  <si>
    <t>B.044.01.292.251007 Electricity Oceania production</t>
  </si>
  <si>
    <t>Energy, electricity Canada</t>
  </si>
  <si>
    <t>B.046.02.101.251007 Electricity Alberta production</t>
  </si>
  <si>
    <t>electricity Canada</t>
  </si>
  <si>
    <t>B.046.02.102.251007 Electricity British Columbia production</t>
  </si>
  <si>
    <t>B.046.02.103.251007 Electricity Manitoba production</t>
  </si>
  <si>
    <t>B.046.02.104.251007 Electricity New Brunswick production</t>
  </si>
  <si>
    <t>B.046.02.105.251007 Electricity Newfoundland and Labrador production</t>
  </si>
  <si>
    <t>B.046.02.106.251007 Electricity Northwest Territories production</t>
  </si>
  <si>
    <t>B.046.02.107.251007 Electricity Nova Scotia production</t>
  </si>
  <si>
    <t>B.046.02.108.251007 Electricity Nunavut production</t>
  </si>
  <si>
    <t>B.046.02.109.251007 Electricity Ontario production</t>
  </si>
  <si>
    <t>B.046.02.110.251007 Electricity New Brunswick production</t>
  </si>
  <si>
    <t>B.046.02.111.251007 Electricity Quebec production</t>
  </si>
  <si>
    <t>B.046.02.112.251007 Electricity Saskatchewan production</t>
  </si>
  <si>
    <t>B.046.02.113.251007 Electricity Yukon production</t>
  </si>
  <si>
    <t>Energy, electricity China</t>
  </si>
  <si>
    <t>B.046.04.101.251007 Electricity Beijing production</t>
  </si>
  <si>
    <t>electricity China</t>
  </si>
  <si>
    <t>B.046.04.102.251007 Electricity Tianjin production</t>
  </si>
  <si>
    <t>B.046.04.103.251007 Electricity Hebei production</t>
  </si>
  <si>
    <t>B.046.04.104.251007 Electricity Shanxi production</t>
  </si>
  <si>
    <t>B.046.04.105.251007 Electricity Inner Mongolia production</t>
  </si>
  <si>
    <t>B.046.04.106.251007 Electricity Liaoning production</t>
  </si>
  <si>
    <t>B.046.04.107.251007 Electricity Jilin production</t>
  </si>
  <si>
    <t>B.046.04.108.251007 Electricity Heilongjiang production</t>
  </si>
  <si>
    <t>B.046.04.109.251007 Electricity Shanghai production</t>
  </si>
  <si>
    <t>B.046.04.110.251007 Electricity Jiangsu production</t>
  </si>
  <si>
    <t>B.046.04.111.251007 Electricity Zhejiang production</t>
  </si>
  <si>
    <t>B.046.04.112.251007 Electricity Anhui production</t>
  </si>
  <si>
    <t>B.046.04.113.251007 Electricity Fujian production</t>
  </si>
  <si>
    <t>B.046.04.114.251007 Electricity Jiangxi production</t>
  </si>
  <si>
    <t>B.046.04.115.251007 Electricity Shandong production</t>
  </si>
  <si>
    <t>B.046.04.116.251007 Electricity Henan production</t>
  </si>
  <si>
    <t>B.046.04.117.251007 Electricity Hubei production</t>
  </si>
  <si>
    <t>B.046.04.118.251007 Electricity Hunan production</t>
  </si>
  <si>
    <t>B.046.04.119.251007 Electricity Guangdong production</t>
  </si>
  <si>
    <t>B.046.04.120.251007 Electricity Guangxi production</t>
  </si>
  <si>
    <t>B.046.04.121.251007 Electricity Hainan production</t>
  </si>
  <si>
    <t>B.046.04.122.251007 Electricity Chongqing production</t>
  </si>
  <si>
    <t>B.046.04.123.251007 Electricity Sichuan production</t>
  </si>
  <si>
    <t>B.046.04.124.251007 Electricity Guizhou production</t>
  </si>
  <si>
    <t>B.046.04.125.251007 Electricity Yunnan production</t>
  </si>
  <si>
    <t>B.046.04.126.251007 Electricity Tibet production</t>
  </si>
  <si>
    <t>B.046.04.127.251007 Electricity Shaanxi production</t>
  </si>
  <si>
    <t>B.046.04.128.251007 Electricity Gansu production</t>
  </si>
  <si>
    <t>B.046.04.129.251007 Electricity Qinghai production</t>
  </si>
  <si>
    <t>B.046.04.130.251007 Electricity Ningxia production</t>
  </si>
  <si>
    <t>B.046.04.131.251007 Electricity Xinjiang production</t>
  </si>
  <si>
    <t>Energy, electricity India</t>
  </si>
  <si>
    <t>B.046.06.101.251007 Electricity Andaman  &amp; Nicobar production</t>
  </si>
  <si>
    <t>electricity India</t>
  </si>
  <si>
    <t>B.046.06.102.251007 Electricity Andhra Pradesh production</t>
  </si>
  <si>
    <t>B.046.06.103.251007 Electricity Arunachal Pradesh production</t>
  </si>
  <si>
    <t>B.046.06.104.251007 Electricity Assam production</t>
  </si>
  <si>
    <t>B.046.06.105.251007 Electricity Bihar production</t>
  </si>
  <si>
    <t>B.046.06.106.251007 Electricity Chandigarh production</t>
  </si>
  <si>
    <t>B.046.06.107.251007 Electricity Chhattisgarh production</t>
  </si>
  <si>
    <t>B.046.06.108.251007 Electricity Dadra &amp; Nagar Naveli production</t>
  </si>
  <si>
    <t>B.046.06.109.251007 Electricity Delhi production</t>
  </si>
  <si>
    <t>B.046.06.110.251007 Electricity Goa production</t>
  </si>
  <si>
    <t>B.046.06.111.251007 Electricity Gujarat production</t>
  </si>
  <si>
    <t>B.046.06.112.251007 Electricity Haryana production</t>
  </si>
  <si>
    <t>B.046.06.113.251007 Electricity Himachal Pradesh production</t>
  </si>
  <si>
    <t>B.046.06.114.251007 Electricity Jammu &amp; Kashmir and Ladajh production</t>
  </si>
  <si>
    <t>B.046.06.115.251007 Electricity Jharkhand production</t>
  </si>
  <si>
    <t>B.046.06.116.251007 Electricity Karnataka production</t>
  </si>
  <si>
    <t>B.046.06.117.251007 Electricity Kerala production</t>
  </si>
  <si>
    <t>B.046.06.118.251007 Electricity Lakshadweep production</t>
  </si>
  <si>
    <t>B.046.06.119.251007 Electricity Madhya Pradesh production</t>
  </si>
  <si>
    <t>B.046.06.120.251007 Electricity Maharashtra production</t>
  </si>
  <si>
    <t>B.046.06.121.251007 Electricity Manipur production</t>
  </si>
  <si>
    <t>B.046.06.122.251007 Electricity Meghalaya production</t>
  </si>
  <si>
    <t>B.046.06.123.251007 Electricity Mizoram production</t>
  </si>
  <si>
    <t>B.046.06.124.251007 Electricity Nagaland production</t>
  </si>
  <si>
    <t>B.046.06.125.251007 Electricity Odisha production</t>
  </si>
  <si>
    <t>B.046.06.126.251007 Electricity Puducherry production</t>
  </si>
  <si>
    <t>B.046.06.127.251007 Electricity Punjab production</t>
  </si>
  <si>
    <t>B.046.06.128.251007 Electricity Rajasthan production</t>
  </si>
  <si>
    <t>B.046.06.129.251007 Electricity Sikkim production</t>
  </si>
  <si>
    <t>B.046.06.130.251007 Electricity Tamil Nadu production</t>
  </si>
  <si>
    <t>Energy, electricity USA</t>
  </si>
  <si>
    <t>B.046.08.101.251007 Electricity Alabama production</t>
  </si>
  <si>
    <t>electricity USA</t>
  </si>
  <si>
    <t>B.046.08.102.251007 Electricity Alaska production</t>
  </si>
  <si>
    <t>B.046.08.103.251007 Electricity Arizona production</t>
  </si>
  <si>
    <t>B.046.08.104.251007 Electricity Arkansas production</t>
  </si>
  <si>
    <t>B.046.08.105.251007 Electricity California production</t>
  </si>
  <si>
    <t>B.046.08.106.251007 Electricity Colorado production</t>
  </si>
  <si>
    <t>B.046.08.107.251007 Electricity Connecticut production</t>
  </si>
  <si>
    <t>B.046.08.108.251007 Electricity Delaware production</t>
  </si>
  <si>
    <t>B.046.08.109.251007 Electricity District of Columbia production</t>
  </si>
  <si>
    <t>B.046.08.110.251007 Electricity Florida production</t>
  </si>
  <si>
    <t>B.046.08.111.251007 Electricity Georgia production</t>
  </si>
  <si>
    <t>B.046.08.112.251007 Electricity Hawaii production</t>
  </si>
  <si>
    <t>B.046.08.113.251007 Electricity Idaho production</t>
  </si>
  <si>
    <t>B.046.08.114.251007 Electricity Illinois production</t>
  </si>
  <si>
    <t>B.046.08.115.251007 Electricity Indiana production</t>
  </si>
  <si>
    <t>B.046.08.116.251007 Electricity Iowa production</t>
  </si>
  <si>
    <t>B.046.08.117.251007 Electricity Kansas production</t>
  </si>
  <si>
    <t>B.046.08.118.251007 Electricity Kentucky production</t>
  </si>
  <si>
    <t>B.046.08.119.251007 Electricity Louisiana production</t>
  </si>
  <si>
    <t>B.046.08.120.251007 Electricity Maine production</t>
  </si>
  <si>
    <t>B.046.08.121.251007 Electricity Maryland production</t>
  </si>
  <si>
    <t>B.046.08.122.251007 Electricity Massachusetts production</t>
  </si>
  <si>
    <t>B.046.08.123.251007 Electricity Michigan1 production</t>
  </si>
  <si>
    <t>B.046.08.124.251007 Electricity Minnesota production</t>
  </si>
  <si>
    <t>B.046.08.125.251007 Electricity Mississippi production</t>
  </si>
  <si>
    <t>B.046.08.126.251007 Electricity Missouri production</t>
  </si>
  <si>
    <t>B.046.08.127.251007 Electricity Montana production</t>
  </si>
  <si>
    <t>B.046.08.128.251007 Electricity Nebraska production</t>
  </si>
  <si>
    <t>B.046.08.129.251007 Electricity Nevada production</t>
  </si>
  <si>
    <t>B.046.08.130.251007 Electricity New Hampshire production</t>
  </si>
  <si>
    <t>B.046.08.131.251007 Electricity New Jersey production</t>
  </si>
  <si>
    <t>B.046.08.132.251007 Electricity New Mexico production</t>
  </si>
  <si>
    <t>B.046.08.133.251007 Electricity New York2 production</t>
  </si>
  <si>
    <t>B.046.08.134.251007 Electricity North Carolina production</t>
  </si>
  <si>
    <t>B.046.08.135.251007 Electricity North Dakota production</t>
  </si>
  <si>
    <t>B.046.08.136.251007 Electricity Ohio production</t>
  </si>
  <si>
    <t>B.046.08.137.251007 Electricity Oklahoma production</t>
  </si>
  <si>
    <t>B.046.08.138.251007 Electricity Oregon production</t>
  </si>
  <si>
    <t>B.046.08.139.251007 Electricity Pennsylvania production</t>
  </si>
  <si>
    <t>B.046.08.140.251007 Electricity Rhode Island production</t>
  </si>
  <si>
    <t>B.046.08.141.251007 Electricity South Carolina production</t>
  </si>
  <si>
    <t>B.046.08.142.251007 Electricity South Dakota production</t>
  </si>
  <si>
    <t>B.046.08.143.251007 Electricity Tennessee production</t>
  </si>
  <si>
    <t>B.046.08.144.251007 Electricity Texas production</t>
  </si>
  <si>
    <t>B.046.08.145.251007 Electricity Utah production</t>
  </si>
  <si>
    <t>B.046.08.146.251007 Electricity Vermont production</t>
  </si>
  <si>
    <t>B.046.08.147.251007 Electricity Virginia production</t>
  </si>
  <si>
    <t>B.046.08.148.251007 Electricity Washington production</t>
  </si>
  <si>
    <t>B.046.08.149.251007 Electricity West Virginia production</t>
  </si>
  <si>
    <t>B.046.08.150.251007 Electricity Wisconsin production</t>
  </si>
  <si>
    <t>B.046.08.151.251007 Electricity Wyoming production</t>
  </si>
  <si>
    <t>Energy, heat</t>
  </si>
  <si>
    <t>B.050.01.101.230701 Heat - General Industry</t>
  </si>
  <si>
    <t>heat</t>
  </si>
  <si>
    <t>B.050.01.102.230701 Heat - Domestic from heat pump</t>
  </si>
  <si>
    <t>B.050.01.103.230701 Heat from natural gas - condensing low NOx - incl. combustion CO2</t>
  </si>
  <si>
    <t>B.050.01.104.230701 Heat from anthracite coal 30.7 MJ/kg - incl. combustion CO2</t>
  </si>
  <si>
    <t>B.050.01.105.230701 Heat from coal bituminous 26.4 MJ/kg  - incl. combustion CO2</t>
  </si>
  <si>
    <t>B.050.01.106.230701 Heat from heavy oil for chemical processes - incl. combustion CO2</t>
  </si>
  <si>
    <t>B.050.01.107.230701 Heat from natural gas for chemical processes - incl. combustion CO2</t>
  </si>
  <si>
    <t>TRANSPORT</t>
  </si>
  <si>
    <t xml:space="preserve">Transport, air                                                                   </t>
  </si>
  <si>
    <t>C.010.01.101.230701 Air traffic continental (min weight/volume ratio 0.167 ton/m3) (tkm)</t>
  </si>
  <si>
    <t>transport</t>
  </si>
  <si>
    <t>tkm</t>
  </si>
  <si>
    <t>C.010.01.102.230701 Air traffic intercontinental (min weight/volume ratio 0.167 ton/m3) (tkm)</t>
  </si>
  <si>
    <t>C.010.01.103.230701 Air traffic continental (max weight/volume ratio 0.167 ton/m3) (m3km)*</t>
  </si>
  <si>
    <t>m3km</t>
  </si>
  <si>
    <t>C.010.01.104.230701 Air traffic intercontinental (max weight/volume ratio 0.167 ton/m3) (m3km)*</t>
  </si>
  <si>
    <t>C.010.01.105.240712 Air passenger continental</t>
  </si>
  <si>
    <t>paskm</t>
  </si>
  <si>
    <t>C.010.01.106.240712 Air passenger intercontinental</t>
  </si>
  <si>
    <t xml:space="preserve">Transport, pipeline                                                        </t>
  </si>
  <si>
    <t>C.030.01.101.230701 Transport pipeline natural gas</t>
  </si>
  <si>
    <t>C.030.01.102.230701 Transport pipeline petroleum</t>
  </si>
  <si>
    <t xml:space="preserve">Transport, rail                                         </t>
  </si>
  <si>
    <t>C.050.01.101.230701 Train freight diesel (tkm)</t>
  </si>
  <si>
    <t>C.050.01.102.230701 Train freight electric (tkm)</t>
  </si>
  <si>
    <t>C.050.01.103.240712 Passenger-kilometer per train</t>
  </si>
  <si>
    <t xml:space="preserve">Transport, road, truck diesel B7                                     </t>
  </si>
  <si>
    <t>C.060.01.103.230701 Tractor (240 pk) - B7 diesel</t>
  </si>
  <si>
    <t>C.060.01.104.230701 Truck +trailer  Euro 6 - B7 diesel (output per meter)</t>
  </si>
  <si>
    <t>C.060.01.105.230701 Truck+container 28 tonne net B7(min weight/volume ratio 0.41 t/m3) (tkm)</t>
  </si>
  <si>
    <t>C.060.01.106.230701 Truck+trailer 24 tonne net B7 (min weight/volume ratio 0.32 t/m3) (tkm)</t>
  </si>
  <si>
    <t>C.060.01.107.230701 Truck+container 28 tonne net B7 (max weight/volume ratio 0.41 t/m3) (m3km)</t>
  </si>
  <si>
    <t>C.060.01.108.230701 Truck+trailer 24 tonne net B7 (max weight/volume ratio 0.32 t/m3) (m3km)</t>
  </si>
  <si>
    <t xml:space="preserve">Transport, road, truck diesel HVO                                     </t>
  </si>
  <si>
    <t>C.060.03.104.241006 Truck +trailer  Euro 6 - HVO diesel from tallow waste (output per meter)</t>
  </si>
  <si>
    <t>C.060.03.105.241006 Truck+container 28 tonne net HVO (min weight/volume ratio 0.41 t/m3) (tkm)</t>
  </si>
  <si>
    <t>C.060.03.106.241006 Truck+trailer 24 tonne net HVO (min weight/volume ratio 0.32 t/m3) (tkm)</t>
  </si>
  <si>
    <t>C.060.03.107.241006 Truck+container 28 tonne net HVO (max weight/volume ratio 0.41 t/m3) (m3km)</t>
  </si>
  <si>
    <t>C.060.03.108.241006 Truck+trailer 24 tonne net HVO (max weight/volume ratio 0.32 t/m3) (m3km)</t>
  </si>
  <si>
    <t xml:space="preserve">Transport, road, truck electric EU                                </t>
  </si>
  <si>
    <t>C.060.05.104.250601 Truck +trailer Electric EU (output per meter)</t>
  </si>
  <si>
    <t>C.060.05.105.250601 Truck+container 28 tonne net Electric EU (min weight/volume ratio 0.41 t/m3) (tkm)</t>
  </si>
  <si>
    <t>C.060.05.106.250601 Truck+trailer 24 tonne net Electric EU (min weight/volume ratio 0.32 t/m3) (tkm)</t>
  </si>
  <si>
    <t>C.060.05.107.250601 Truck+container 28 tonne net Electric EU (max weight/volume ratio 0.41 t/m3) (m3km)</t>
  </si>
  <si>
    <t>C.060.05.108.250601 Truck+trailer 24 tonne net Electric EU (max weight/volume ratio 0.32 t/m3) (m3km)</t>
  </si>
  <si>
    <t xml:space="preserve">Transport, road, truck electric Norway                               </t>
  </si>
  <si>
    <t>C.060.07.104.250601 Truck +trailer Electric Norway (output per meter)</t>
  </si>
  <si>
    <t>C.060.07.105.250601 Truck+container 28 tonne net Electric Norway (min weight/volume ratio 0.41 t/m3) (tkm)</t>
  </si>
  <si>
    <t>C.060.07.106.250601 Truck+trailer 24 tonne net Electric Norway (min weight/volume ratio 0.32 t/m3) (tkm)</t>
  </si>
  <si>
    <t>C.060.07.107.250601 Truck+container 28 tonne net Electric Norway (max weight/volume ratio 0.41 t/m3) (m3km)</t>
  </si>
  <si>
    <t>C.060.07.108.250601 Truck+trailer 24 tonne net Electric Norway (max weight/volume ratio 0.32 t/m3) (m3km)</t>
  </si>
  <si>
    <t xml:space="preserve">Transport, road, delivery van                                     </t>
  </si>
  <si>
    <t>C.060.10.101.250315 Delivery Van petrol in city (per km) max. 3.1-3.9 m3 660-1000 kg WTW</t>
  </si>
  <si>
    <t>C.060.10.102.250315 Delivery Van diesel in city (per km) max. 6.6-9.3 m3 800-1400 kg WTW</t>
  </si>
  <si>
    <t>C.060.10.103.250315 Delivery Van diesel in city (per km) max. 13-18.5 m3 1350-2550 kg WTW</t>
  </si>
  <si>
    <t>C.060.10.201.250315 Delivery Van petrol on road (per km) max. 3.1-3.9 m3 660-1000 kg WTW</t>
  </si>
  <si>
    <t>C.060.10.202.250315 Delivery Van diesel on road (per km) max 6.6-9.3 m3 800-1400 kg WTW</t>
  </si>
  <si>
    <t>C.060.10.203.250315 Delivery Van diesel on road (per km) max. 13-18.5 m3 1350-2550 kg WTW</t>
  </si>
  <si>
    <t>C.060.10.301.250315 Delivery Van Electric in city (per km) max. 3.1-3.9 m3 660-1000 kg ex batteries</t>
  </si>
  <si>
    <t>C.060.10.302.250315 Delivery Van Electric in city (per km) max. 6.6-9.3 m3 800-1400 kg ex batteries</t>
  </si>
  <si>
    <t>C.060.10.303.250315 Delivery Van Electric in city (per km) max. 13-18.5 m3 1350-2550 kg ex batteries</t>
  </si>
  <si>
    <t>C.060.10.401.250315 Delivery Van Electric on road (per km) max. 3.1-3.9 m3 660-1000 kg ex batteries</t>
  </si>
  <si>
    <t>C.060.10.402.250315 Delivery Van Electric on road (per km) max 6.6-9.3 m3 800-1400 kg ex batteries</t>
  </si>
  <si>
    <t>C.060.10.403.250315 Delivery Van Electric on road (per km) max. 13-18.5 m3 1350-2550 kg ex batteries</t>
  </si>
  <si>
    <t xml:space="preserve">Transport, water                                     </t>
  </si>
  <si>
    <t>C.070.01.101.230701 Barge 1475 dwt</t>
  </si>
  <si>
    <t>C.070.01.102.230701 Bulk carrier Handysize dwt 16.383   12.5 knots</t>
  </si>
  <si>
    <t>C.070.01.103.230701 Bulk carrier Panamax</t>
  </si>
  <si>
    <t>C.070.01.104.230701 Coaster Class A (coast US and North and Baltic sea)</t>
  </si>
  <si>
    <t>C.070.01.105.230701 Container feeder Handysize 1577 TEU 13  knots</t>
  </si>
  <si>
    <t>C.070.01.106.230701 Container ship (min weight/volume ratio 0.41 ton/m3)</t>
  </si>
  <si>
    <t>C.070.01.107.230701 Oil Supertanker</t>
  </si>
  <si>
    <t>C.070.01.108.230701 Container ship (max weight/volume ratio 0.41 ton/m3) (m3km)*</t>
  </si>
  <si>
    <t>PROCESSING</t>
  </si>
  <si>
    <t>Processing, metals, chipless shaping and laser cutting</t>
  </si>
  <si>
    <t>D.050.01.101.230701 Deep drawing steel</t>
  </si>
  <si>
    <t>processing metals</t>
  </si>
  <si>
    <t>D.050.01.102.250105 Rolling steel</t>
  </si>
  <si>
    <t>D.050.01.103.240310 Fiber Laser cutting 1000 W  Steel 1mm thick  1 meter</t>
  </si>
  <si>
    <t xml:space="preserve">m </t>
  </si>
  <si>
    <t>D.050.01.104.240310 Fiber Laser cutting 6000 W  Steel 10mm thick per 1 meter</t>
  </si>
  <si>
    <t>Processing, metals, chipping per kg removed, the ecoburden of the removed materials in Idemat not included, in Ecoinvent included</t>
  </si>
  <si>
    <t>D.060.01.101.230701 Drilling steel (per kg removed - the removed steel not counted)</t>
  </si>
  <si>
    <t>D.060.01.102.230701 Milling steel (per kg removed - revomed steel not counted)</t>
  </si>
  <si>
    <t>D.060.01.103.230701 Turrning steel (per kg removed - steel removed not counted)</t>
  </si>
  <si>
    <t xml:space="preserve">Processing, metals, coating </t>
  </si>
  <si>
    <t>D.070.01.101.230701 Electroplating Chrome (single side)</t>
  </si>
  <si>
    <t>D.070.01.102.230701 Electroplating Nickel (single side)</t>
  </si>
  <si>
    <t>D.070.01.103.230701 Electroplating Zinc incl. outside use per 10 years (10  micron single side)</t>
  </si>
  <si>
    <t>D.070.01.104.230701 Electroplating Zinc inside use or painted (5 micron)</t>
  </si>
  <si>
    <t>D.070.01.105.230701 Hot-dip Zinc plating pieces outside use single side</t>
  </si>
  <si>
    <t>D.070.01.106.230701 Phosphating (Fe s)</t>
  </si>
  <si>
    <t>D.070.01.107.230701 Phosphating (Zn i)</t>
  </si>
  <si>
    <t>D.070.01.108.230701 Phosphating (Zn s)</t>
  </si>
  <si>
    <t>D.070.01.109.230701 Powder coating aluminium</t>
  </si>
  <si>
    <t>D.070.01.110.230701 Powder coating steel</t>
  </si>
  <si>
    <t>D.070.01.111.230701 Electroplating Zinc (10  micron single side) excl emissions use phase</t>
  </si>
  <si>
    <t>D.070.01.111</t>
  </si>
  <si>
    <t>Processing, metals, welding steel</t>
  </si>
  <si>
    <t>D.090.01.101.230701 Electric MIG welding 4mm steel   0.125 kg electrode</t>
  </si>
  <si>
    <t>D.090.01.102.230701 welding shipbuilding (FCAW) per kg electrode</t>
  </si>
  <si>
    <t>D.090.01.103.230701 welding steel arc (MAG) 0.0536 kg electrode</t>
  </si>
  <si>
    <t>D.090.01.104.230701 welding steel autogenious 0.0536 kg electrode</t>
  </si>
  <si>
    <t>Processing, non-ferro</t>
  </si>
  <si>
    <t>D.100.01.101.230701 Anodising</t>
  </si>
  <si>
    <t>D.100.01.102.230701 Autogenuous welding Al 1</t>
  </si>
  <si>
    <t>D.100.01.103.230701 Autogenuous welding Al 2</t>
  </si>
  <si>
    <t>D.100.01.104.230701 Autogenuous welding Al 3</t>
  </si>
  <si>
    <t>D.100.01.105.230701 Cold transforming Al</t>
  </si>
  <si>
    <t>D.100.01.106.240310 Fiber Laser cutting 1000 W  Aluminium 1mm thick, 1 meter</t>
  </si>
  <si>
    <t>D.100.01.107.240310 Fiber Laser cutting 6000 W  Aluminium 10mm thick, 1 meter</t>
  </si>
  <si>
    <t>D.100.01.108.230701 Drilling Al (per kg removed, removed Al not counted)</t>
  </si>
  <si>
    <t>D.100.01.109.230701 Extruding alum</t>
  </si>
  <si>
    <t>D.100.01.110.230701 Forging aluminium</t>
  </si>
  <si>
    <t>D.100.01.111.230701 Machining aluminium</t>
  </si>
  <si>
    <t>D.100.01.112.230701 MIG-arc welding Al 10</t>
  </si>
  <si>
    <t>D.100.01.113.230701 MIG-arc welding Al 12</t>
  </si>
  <si>
    <t>D.100.01.114.230701 MIG-arc welding Al 4</t>
  </si>
  <si>
    <t>D.100.01.115.230701 MIG-arc welding Al 5 I-jnt</t>
  </si>
  <si>
    <t>D.100.01.116.230701 MIG-arc welding Al 5 V-jnt</t>
  </si>
  <si>
    <t>D.100.01.117.230701 MIG-arc welding Al 6 V-jnt</t>
  </si>
  <si>
    <t>D.100.01.118.230701 MIG-arc welding Al 8</t>
  </si>
  <si>
    <t>D.100.01.119.230701 Milling Al (per kg removed, removed Al not counted)</t>
  </si>
  <si>
    <t xml:space="preserve">D.100.01.120.250808 Rolling aluminium foil </t>
  </si>
  <si>
    <t>D.100.01.121.250808 Rolling aluminium sheet</t>
  </si>
  <si>
    <t>D.100.01.122.230701 Rolling brass</t>
  </si>
  <si>
    <t>D.100.01.123.230701 Sawing Al band saw</t>
  </si>
  <si>
    <t>D.100.01.124.230701 Sawing Al circular saw</t>
  </si>
  <si>
    <t>D.100.01.125.230701 Scouring aluminium</t>
  </si>
  <si>
    <t>D.100.01.126.230701 Seam welding Al. 0.25</t>
  </si>
  <si>
    <t>D.100.01.127.230701 Seam welding Al. 1.5</t>
  </si>
  <si>
    <t>D.100.01.128.230701 Seam welding Al. 2.5</t>
  </si>
  <si>
    <t>D.100.01.129.230701 Spot welding Al. 0.5</t>
  </si>
  <si>
    <t>D.100.01.130.230701 Spot welding Al. 1</t>
  </si>
  <si>
    <t>D.100.01.131.230701 Spot welding Al. 1.5</t>
  </si>
  <si>
    <t>D.100.01.132.230701 Spot welding Al. 3</t>
  </si>
  <si>
    <t>D.100.01.133.230701 Turning Al (per kg removed  removed Al not counted)</t>
  </si>
  <si>
    <t>D.100.01.134.230701 Welding aluminium arc (0.0183 kg electrode)</t>
  </si>
  <si>
    <t>Processing, Paper and packaging</t>
  </si>
  <si>
    <t>D.110.01.101.230701 Corrugated board making  (excl the paper)</t>
  </si>
  <si>
    <t>D.110.01.102.230701 Printing per m2  100%  offset conventional (incl ink)</t>
  </si>
  <si>
    <t>D.110.01.103.230701 Printing per m2  100%  UV inkjet  (incl ink)</t>
  </si>
  <si>
    <t>D.110.01.106.230701 Printing per m2  100% extra paint varnish layer (incl paint)</t>
  </si>
  <si>
    <t>D.110.01.107.250809 Printing per m2  100% flexographic print (incl ink)</t>
  </si>
  <si>
    <t>D.110.01.108.250809 Printing per m2  100% rotogravure print (incl ink)</t>
  </si>
  <si>
    <t>D.110.01.202.230701 Printing per m2  offset  conventional  electricity only</t>
  </si>
  <si>
    <t>D.110.01.203.230701 Printing per m2  UV inkjet  electricity only</t>
  </si>
  <si>
    <t>D.110.01.204.250808 Printing per m2  flexographic print  electricity only</t>
  </si>
  <si>
    <t>D.110.01.205.250808 Printing per m2  rotogravure print  electricity only</t>
  </si>
  <si>
    <t>D.110.01.301.250809 printing plate offset</t>
  </si>
  <si>
    <t>D.110.01.302.250809 printing plate flexo</t>
  </si>
  <si>
    <t>D.110.01.303.250809 printing plate rotogravure</t>
  </si>
  <si>
    <t>D.110.01.400.241214 negligible extra converting (e.g. a bag from paper - etc)</t>
  </si>
  <si>
    <t>Processing, plastics</t>
  </si>
  <si>
    <t>D.120.01.101.230701 blow moulding - machine only</t>
  </si>
  <si>
    <t>D.120.01.102.230701 blow moulding - production site</t>
  </si>
  <si>
    <t>D.120.01.103.230701 extrusion - machine only</t>
  </si>
  <si>
    <t>D.120.01.104.230701 extrusion - production site</t>
  </si>
  <si>
    <t>D.120.01.105.230701 injection moulding - machine only</t>
  </si>
  <si>
    <t>D.120.01.106.230701 injection moulding - production site</t>
  </si>
  <si>
    <t>D.120.01.107.230701 Recycling mixed polymer</t>
  </si>
  <si>
    <t>D.120.01.108.230701 thermo forming - machine only</t>
  </si>
  <si>
    <t>D.120.01.109.230701 thermo forming - production site</t>
  </si>
  <si>
    <t>Processing, wood</t>
  </si>
  <si>
    <t>D.140.01.101.230701 Chain sawing</t>
  </si>
  <si>
    <t xml:space="preserve">s </t>
  </si>
  <si>
    <t>D.140.01.102.230701 Power sawing (petrol)</t>
  </si>
  <si>
    <t>D.140.01.103.230701 Shaving hardwood per kg dry mass removed</t>
  </si>
  <si>
    <t>D.140.01.104.230701 Shaving softwood per kg dry mass removed</t>
  </si>
  <si>
    <t>END_OF_LIFE</t>
  </si>
  <si>
    <t xml:space="preserve">waste treatment, co-firing power plant elastomers </t>
  </si>
  <si>
    <t>F.010.01.101.230701 BR and IIR (Butyl rubber) co-firing in electrical power plant</t>
  </si>
  <si>
    <t>end-of-life</t>
  </si>
  <si>
    <t>F.010.01.102.230701 EVA (Ethylene vinyl acetate) co-firing in electrical power plant</t>
  </si>
  <si>
    <t>F.010.01.103.230701 IR (Polyisoprene rubber) co-firing in electrical power plant</t>
  </si>
  <si>
    <t>F.010.01.104.230701 Natural rubber co-firing in electrical power plant</t>
  </si>
  <si>
    <t>F.010.01.105.230701 Polychloroprene (Neoprene, CR) co-firing in electrical power plant</t>
  </si>
  <si>
    <t>F.010.01.106.230701 PU (Polyurethane) co-firing in electrical power plant</t>
  </si>
  <si>
    <t>F.010.01.107.230701 SBR (Styrene butadiene rubber) co-firing in electrical power plant</t>
  </si>
  <si>
    <t>F.010.01.108.230701 Silicone rubber co-firing in electrical power plant</t>
  </si>
  <si>
    <t xml:space="preserve">waste treatment, co-firing power plant others </t>
  </si>
  <si>
    <t>F.020.01.101.230701 CFRP (50%) co-firing in electrical power plant</t>
  </si>
  <si>
    <t>F.020.01.102.230701 DMC (50%) co-firing in electrical power plant</t>
  </si>
  <si>
    <t>F.020.01.103.241207 Flexible Polymer Foam co-firing in electrical power plant</t>
  </si>
  <si>
    <t>F.020.01.104.230701 GFRP (50%) co-firing in electrical power plant</t>
  </si>
  <si>
    <t>F.020.01.105.230701 Hardwood 0% MC  Bamboo &amp; Cork  co-firing in electrical power plant</t>
  </si>
  <si>
    <t>F.020.01.106.230701 Hardwood 12% MC  Bamboo &amp; Cork  co-firing in electrical power plant</t>
  </si>
  <si>
    <t>F.020.01.107.230701 Hardwood fresh 50% MC  Bamboo &amp; Cork,  co-firing in electrical power plant</t>
  </si>
  <si>
    <t>F.020.01.108.230701 Paper Cardboard Leather Cotton Wool co-firing in electrical power plant</t>
  </si>
  <si>
    <t>F.020.01.109.241207 Rigid Polymer Foam co-firing in electrical power plant</t>
  </si>
  <si>
    <t>F.020.01.110.230701 SMC (50%) co-firing in electrical power plant</t>
  </si>
  <si>
    <t>F.020.01.111.230701 Softwood 0% MC co-firing in electrical power plant</t>
  </si>
  <si>
    <t>F.020.01.112.230701 Softwood 12% MC co-firing in electrical power plant</t>
  </si>
  <si>
    <t>F.020.01.113.230701 Softwood fresh 50% MC co-firing in electrical power plant</t>
  </si>
  <si>
    <t xml:space="preserve">waste treatment, co-firing power plant thermoplastics </t>
  </si>
  <si>
    <t>F.030.01.101.230701 ABS (Acrylonitrile butadiene styrene) co-firing in electrical power plant</t>
  </si>
  <si>
    <t>F.030.01.102.230701 bio-PE (Polyethylene) co-firing in electrical power plant</t>
  </si>
  <si>
    <t>F.030.01.103.230701 CA (Cellulose polymers) co-firing in electrical power plant</t>
  </si>
  <si>
    <t>F.030.01.104.230701 Ionomer co-firing in electrical power plant</t>
  </si>
  <si>
    <t>F.030.01.105.250708 PA-11 (Nylon-11) co-firing in electrical power plant</t>
  </si>
  <si>
    <t>F.030.01.106.230701 PA (Nylons, Polyamides) co-firing in electrical power plant</t>
  </si>
  <si>
    <t>F.030.01.107.230701 PC (Polycarbonate) co-firing in electrical power plant</t>
  </si>
  <si>
    <t>F.030.01.108.230701 PE (Polyethylene) co-firing in electrical power plant</t>
  </si>
  <si>
    <t>F.030.01.111.230701 PET (Polyethylene terephthalate) co-firing in electrical power plant</t>
  </si>
  <si>
    <t>F.030.01.112.230701 PHA (Polyhydroxyalkanoates) co-firing in electrical power plant</t>
  </si>
  <si>
    <t>F.030.01.113.230701 PLA (Polylactide) co-firing in electrical power plant</t>
  </si>
  <si>
    <t>F.030.01.114.230701 PMMA (Polymethyl methacrylate) co-firing in electrical power plant</t>
  </si>
  <si>
    <t>F.030.01.115.230701 POM (Polyoxymethylene, polyacetaal) co-firing in electrical power plant</t>
  </si>
  <si>
    <t>F.030.01.116.230701 PP (Polypropylene) co-firing in electrical power plant</t>
  </si>
  <si>
    <t>F.030.01.117.230701 PS (Polystyrene) co-firing in electrical power plant</t>
  </si>
  <si>
    <t>F.030.01.118.230701 PTFE (Teflon  Polytetrafluoroethylene) co-firing in electrical power plant</t>
  </si>
  <si>
    <t>F.030.01.119.230701 PTT (Polyltrimethylene terephthalate) co-firing in electrical power plant</t>
  </si>
  <si>
    <t>F.030.01.120.230701 PUR (Polyurethane) co-firing in electrical power plant</t>
  </si>
  <si>
    <t>F.030.01.121.230701 PVC (Polyvinylchloride) co-firing in electrical power plant</t>
  </si>
  <si>
    <t>F.030.01.122.230701 PVDC (Polyvinyliden chloride) co-firing in electrical power plant</t>
  </si>
  <si>
    <t>F.030.01.123.230701 Starch PBS 50%-50% (Polybutylene succinate) co-firing in electrical power plant</t>
  </si>
  <si>
    <t>F.030.01.124.231020 PBS (Polybutylene succinate) co-firing in electrical power plant</t>
  </si>
  <si>
    <t>F.030.01.125.231020 PBAT (Polybutylene adipate terephthalate) co-firing in electrical power plant</t>
  </si>
  <si>
    <t>F.030.01.126.231020 PHB (Polyhydroxybutyrate) co-firing in electrical power plant</t>
  </si>
  <si>
    <t>F.030.01.127.240817 PAN (Polyacrylonitrile fibres) co-firing in electrical power plant</t>
  </si>
  <si>
    <t>F.030.01.128.240817 bio-PP (Polypropylene) co-firing in electrical power plant</t>
  </si>
  <si>
    <t>F.030.01.129.240817 bio-PET (Polyethylene terephthalate) co-firing in electrical power plant</t>
  </si>
  <si>
    <t>F.030.01.130.240817 PEF (Polyethylene furan-2.5-dicarboxylate) co-firing in electrical power plant</t>
  </si>
  <si>
    <t xml:space="preserve">waste treatment, co-firing power plant thermosets </t>
  </si>
  <si>
    <t>F.040.01.101.230701 Epoxies co-firing in electrical power plant</t>
  </si>
  <si>
    <t>F.040.01.102.230701 Phenolics (Bakelite) co-firing in electrical power plant</t>
  </si>
  <si>
    <t>F.040.01.103.230701 Polyester co-firing in electrical power plant</t>
  </si>
  <si>
    <t>waste treatment, co-firing power plant  Other plastics</t>
  </si>
  <si>
    <t>F.044.01.101.230701 Bisphenol A  co-firing in electrical power plant</t>
  </si>
  <si>
    <t>F.044.01.102.230701 DEHP co-firing in electrical power plant</t>
  </si>
  <si>
    <t>F.044.01.103.230701 DINP co-firing in electrical power plant</t>
  </si>
  <si>
    <t>F.044.01.104.230701 Epichlorohydrin  co-firing in electrical power plant</t>
  </si>
  <si>
    <t>F.044.01.105.230701 EVOH  co-firing in electrical power plant</t>
  </si>
  <si>
    <t>F.044.01.106.230701 Formaldehyde  co-firing in electrical power plant</t>
  </si>
  <si>
    <t>F.044.01.107.230701 MDI  co-firing in electrical power plant</t>
  </si>
  <si>
    <t>F.044.01.108.230701 MMA monomer  co-firing in electrical power plant</t>
  </si>
  <si>
    <t>F.044.01.109.230701 Nafion co-firing in electrical power plant</t>
  </si>
  <si>
    <t>F.044.01.110.230701 Paperfoam  co-firing in electrical power plant</t>
  </si>
  <si>
    <t>F.044.01.111.230701 PEEK (Polyetheretherketone)  co-firing in electrical power plant</t>
  </si>
  <si>
    <t>F.044.01.112.230701 PEI (Polyether Imide) co-firing in electrical power plant</t>
  </si>
  <si>
    <t>F.044.01.113.230701 Phthalic anhydride co-firing in electrical power plant</t>
  </si>
  <si>
    <t>F.044.01.114.230701 Polyether-polyols co-firing in electrical power plant</t>
  </si>
  <si>
    <t>F.044.01.115.230701 PPS  co-firing in electrical power plant</t>
  </si>
  <si>
    <t>F.044.01.116.230701 PVOH (PVA) co-firing in electrical power plant</t>
  </si>
  <si>
    <t>F.044.01.117.230701 TDI co-firing in electrical power plant</t>
  </si>
  <si>
    <t>waste treatment, combustion in small elec. power plant</t>
  </si>
  <si>
    <t>F.050.01.101.230701 Hardwood 0% MC  Bamboo and Cork  combustion in small elec. power plant</t>
  </si>
  <si>
    <t>F.050.01.102.230701 Hardwood 12% MC  Bamboo and Cork  combustion in small elec. power plant</t>
  </si>
  <si>
    <t>F.050.01.103.230701 Hardwood fresh 50% MC  Bamboo and Cork  combustion in small elec. power plant</t>
  </si>
  <si>
    <t>F.050.01.104.230701 Paper Cardboard Leather Cotton Wool  combustion in small elec. power plant</t>
  </si>
  <si>
    <t>F.050.01.105.230701 Softwood 0% MC  combustion in small elec. power plant</t>
  </si>
  <si>
    <t>F.050.01.106.230701 Softwood 12% MC  combustion in small elec. power plant</t>
  </si>
  <si>
    <t>F.050.01.107.230701 Softwood fresh  50% MC  combustion in small elec. power plant</t>
  </si>
  <si>
    <t xml:space="preserve">waste treatment,  municipal waste incineration with electricity, elastomers </t>
  </si>
  <si>
    <t>F.070.01.101.230701 BR and IIR (Butyl rubber) waste incineration with electricity</t>
  </si>
  <si>
    <t>F.070.01.102.230701 EVA (Ethylene vinyl acetate) waste incineration with electricity</t>
  </si>
  <si>
    <t>F.070.01.103.230701 IR (Polyisoprene rubber) waste incineration with electricity</t>
  </si>
  <si>
    <t>F.070.01.104.230701 Natural rubber waste incineration with electricity</t>
  </si>
  <si>
    <t>F.070.01.105.230701 Polychloroprene (Neoprene  CR) waste incineration with electricity</t>
  </si>
  <si>
    <t>F.070.01.106.230701 PU (Polyurethane) waste incineration with electricity</t>
  </si>
  <si>
    <t>F.070.01.107.230701 SBR (Styrene butadiene rubber) waste incineration with electricity</t>
  </si>
  <si>
    <t>F.070.01.108.230701 Silicone rubbers waste incineration with electricity</t>
  </si>
  <si>
    <t xml:space="preserve">waste treatment,  municipal waste incineration with electricity, others </t>
  </si>
  <si>
    <t>F.080.01.101.230701 CFRP (50%) waste incineration with electricity</t>
  </si>
  <si>
    <t>F.080.01.102.230701 DMC (50%) waste incineration with electricity</t>
  </si>
  <si>
    <t>F.080.01.103.241207 Flexible Polymer Foam waste incineration with electricity</t>
  </si>
  <si>
    <t>F.080.01.104.230701 GFRP (50%) waste incineration with electricity</t>
  </si>
  <si>
    <t>F.080.01.105.230701 Hardwood 0%MC  Bamboo and Cork  waste incineration with electricity</t>
  </si>
  <si>
    <t>F.080.01.106.230701 Hardwood 12%MC  Bamboo and Cork  waste incineration with electricity</t>
  </si>
  <si>
    <t>F.080.01.107.230701 Hardwood fresh  50%MC  Bamboo and Cork  waste incineration with electricity</t>
  </si>
  <si>
    <t>F.080.01.108.230701 Paper Cardboard Leather Cotton Wool waste incineration with electricity</t>
  </si>
  <si>
    <t>F.080.01.109.241207 Rigid Polymer Foam waste incineration with electricity</t>
  </si>
  <si>
    <t>F.080.01.110.230701 SMC (50%) waste incineration with electricity</t>
  </si>
  <si>
    <t>F.080.01.111.230701 Softwood 0%MC  waste incineration with electricity</t>
  </si>
  <si>
    <t>F.080.01.112.230701 Softwood 12%MC  waste incineration with electricity</t>
  </si>
  <si>
    <t>F.080.01.113.230701 Softwood fresh  50%MC  waste incineration with electricity</t>
  </si>
  <si>
    <t>F.080.01.114.240823 Paper and Cardboard, as wet household waste   waste incineration with electricity</t>
  </si>
  <si>
    <t xml:space="preserve">waste treatment,  municipal waste incineration with electricity, thermoplastics </t>
  </si>
  <si>
    <t>F.090.01.101.230701 ABS (Acrylonitrile butadiene styrene) waste incineration with electricity</t>
  </si>
  <si>
    <t>F.090.01.102.230701 bio-PE (Polyethylene) waste incineration with electricity</t>
  </si>
  <si>
    <t>F.090.01.103.230701 CA (Cellulose polymers) waste incineration with electricity</t>
  </si>
  <si>
    <t>F.090.01.104.230701 Ionomer waste incineration with electricity</t>
  </si>
  <si>
    <t>F.090.01.105.250708 PA-11 (Nylon-11) waste incineration with electricity</t>
  </si>
  <si>
    <t>F.090.01.106.230701 PA (Nylons, Polyamides) waste incineration with electricity</t>
  </si>
  <si>
    <t>F.090.01.107.230701 PC (Polycarbonate) waste incineration with electricity</t>
  </si>
  <si>
    <t>F.090.01.108.230701 PE (Polyethylene HDPE LDPE LLDPE) waste incineration with electricity</t>
  </si>
  <si>
    <t>F.090.01.111.230701 PET (Polyethylene terephthalate) waste incineration with electricity</t>
  </si>
  <si>
    <t>F.090.01.112.230701 PHA (Polyhydroxyalkanoates) waste incineration with electricity</t>
  </si>
  <si>
    <t>F.090.01.113.230701 PLA (Polylactide) waste incineration with electricity</t>
  </si>
  <si>
    <t>F.090.01.114.230701 PMMA (Polymethyl methacrylate) waste incineration with electricity</t>
  </si>
  <si>
    <t>F.090.01.115.230701 POM (Polyoxymethylene, Polyacetaal) waste incineration with electricity</t>
  </si>
  <si>
    <t>F.090.01.116.230701 PP (Polypropylene) waste incineration with electricity</t>
  </si>
  <si>
    <t>F.090.01.117.230701 PS (Polystyrene) waste incineration with electricity</t>
  </si>
  <si>
    <t>F.090.01.118.230701 PTFE (Teflon, Polytetrafluoroethylene) waste incineration with electricity</t>
  </si>
  <si>
    <t>F.090.01.119.230701 PTT (Polyltrimethylene terephthalate) waste incineration with electricity</t>
  </si>
  <si>
    <t>F.090.01.120.230701 PUR (Polyurethane) waste incineration with electricity</t>
  </si>
  <si>
    <t>F.090.01.121.230701 PVC (Polyvinylchloride) waste incineration with electricity</t>
  </si>
  <si>
    <t>F.090.01.122.230701 PVDC (Polyvinyliden chloride) waste incineration with electricity</t>
  </si>
  <si>
    <t>F.090.01.123.230701 Starch PBS 50%-50% (Polybutylene succinate) waste incineration with electricity</t>
  </si>
  <si>
    <t>F.090.01.124.231020 PBS (Polybutylene succinate)  incineration with electricity</t>
  </si>
  <si>
    <t>F.090.01.125.231020 PBAT (Polybutylene adipate terephthalate) waste incineration with electricity</t>
  </si>
  <si>
    <t>F.090.01.126.231020 PHB (Polyhydroxybutyrate) waste incineration with electricity</t>
  </si>
  <si>
    <t>F.090.01.127.240817 PAN (Polyacrylonitrile fibres) waste incineration with electricity</t>
  </si>
  <si>
    <t>F.090.01.128.240817 bio-PP (Polypropylene) waste incineration with electricity</t>
  </si>
  <si>
    <t>F.090.01.129.240817 bio-PET (Polyethylene terephthalate) waste incineration with electricity</t>
  </si>
  <si>
    <t>F.090.01.130.240817 PEF (Polyethylene furan-2.5-dicarboxylate) waste incineration with electricity</t>
  </si>
  <si>
    <t xml:space="preserve">waste treatment,  municipal waste incineration with electricity, thermosets </t>
  </si>
  <si>
    <t>F.100.01.101.230701 Epoxies waste incineration with electricity</t>
  </si>
  <si>
    <t>F.100.01.102.230701 Phenolics (Bakelite) waste incineration with electricity</t>
  </si>
  <si>
    <t>F.100.01.103.230701 Polyester waste incineration with electricity</t>
  </si>
  <si>
    <t>waste treatment,  municipal waste incineration with electricity, Other plastics</t>
  </si>
  <si>
    <t>F.104.01.101.230701 Bisphenol A  waste incineration with electricity</t>
  </si>
  <si>
    <t>F.104.01.102.230701 DEHP  waste incineration with electricity</t>
  </si>
  <si>
    <t>F.104.01.103.230701 DINP  waste incineration with electricity</t>
  </si>
  <si>
    <t>F.104.01.104.230701 Epichlorohydrin  waste incineration with electricity</t>
  </si>
  <si>
    <t>F.104.01.105.230701 EVOH  waste incineration with electricity</t>
  </si>
  <si>
    <t>F.104.01.106.230701 Formaldehyde  waste incineration with electricity</t>
  </si>
  <si>
    <t>F.104.01.107.230701 MDI  waste incineration with electricity</t>
  </si>
  <si>
    <t>F.104.01.108.230701 MMA monomer  waste incineration with electricity</t>
  </si>
  <si>
    <t>F.104.01.109.230701 Nafion  waste incineration with electricity</t>
  </si>
  <si>
    <t>F.104.01.110.230701 Paperfoam  waste incineration with electricity</t>
  </si>
  <si>
    <t>F.104.01.111.230701 PEEK (Polyetheretherketone)  waste incineration with electricity</t>
  </si>
  <si>
    <t>F.104.01.112.230701 PEI (Polyether Imide) waste incineration with electricity</t>
  </si>
  <si>
    <t>F.104.01.113.230701 Phthalic anhydride waste incineration with electricity</t>
  </si>
  <si>
    <t>F.104.01.114.230701 Polyether-polyols waste incineration with electricity</t>
  </si>
  <si>
    <t>F.104.01.115.230701 PPS  waste incineration with electricity</t>
  </si>
  <si>
    <t>F.104.01.116.230701 PVOH (PVA) waste incineration with electricity</t>
  </si>
  <si>
    <t>F.104.01.117.230701 TDI waste incineration with electricity</t>
  </si>
  <si>
    <t>waste treatment,  municipal waste incineration with electricity, Additives</t>
  </si>
  <si>
    <t>F.105.01.101.230701 AKD (Alkyl ketene dimers) waste incineration with electricity</t>
  </si>
  <si>
    <t>F.105.01.102.230701 ASA (Acrylonitrile styrene acrylate) waste incineration with electricity</t>
  </si>
  <si>
    <t>F.105.01.103.230701 Rosin (from wood, pine) waste incineration with electricity</t>
  </si>
  <si>
    <t>no heat recovery, waste combustion, elastomeres</t>
  </si>
  <si>
    <t>F.106.01.101.230701 BR and IIR (Butyl rubber) waste combustion - clean tech without heat recovery</t>
  </si>
  <si>
    <t>F.106.01.102.230701 EVA (Ethylene vinyl acetate) waste combustion - clean tech without heat recovery</t>
  </si>
  <si>
    <t>F.106.01.103.230701 IR (Polyisoprene rubber) waste combustion - clean tech without heat recovery</t>
  </si>
  <si>
    <t>F.106.01.104.230701 Natural rubber waste combustion - clean tech without heat recovery</t>
  </si>
  <si>
    <t>F.106.01.105.230701 Polychloroprene (Neoprene, CR) waste combustion - clean tech without heat recovery</t>
  </si>
  <si>
    <t>F.106.01.106.230701 PU (Polyurethane) waste combustion - clean tech without heat recovery</t>
  </si>
  <si>
    <t>F.106.01.107.230701 SBR (Styrene butadiene rubber) waste combustion - clean tech without heat recovery</t>
  </si>
  <si>
    <t>F.106.01.108.230701 Silicone rubbers combustion - clean tech without heat recovery</t>
  </si>
  <si>
    <t>no heat recovery, waste combustion, others</t>
  </si>
  <si>
    <t>F.106.02.101.230701 CFRP (50%) waste combustion - clean tech without heat recovery</t>
  </si>
  <si>
    <t>F.106.02.102.230701 DMC (50%) waste combustion - clean tech without heat recovery</t>
  </si>
  <si>
    <t>F.106.02.103.230701 Flexible Polymer Foam, waste combustion - clean tech without heat recovery</t>
  </si>
  <si>
    <t>F.106.02.104.230701 GFRP (50%) waste combustion - clean tech without heat recovery</t>
  </si>
  <si>
    <t>F.106.02.110.230701 SMC waste combustion - clean tech without heat recovery</t>
  </si>
  <si>
    <t>no heat recovery, waste combustion, thermoplasts</t>
  </si>
  <si>
    <t>F.106.03.101.230701 ABS (Acrylonitrile butadiene styrene) waste combustion - clean tech without heat recovery</t>
  </si>
  <si>
    <t>F.106.03.102.230701 bio-PE (Polyethylene) waste combustion - clean tech without heat recovery</t>
  </si>
  <si>
    <t>F.106.03.103.230701 CA (Cellulose polymers) waste combustion - clean tech without heat recovery</t>
  </si>
  <si>
    <t>F.106.03.104.230701 Ionomer waste combustion - clean tech without heat recovery</t>
  </si>
  <si>
    <t>F.106.03.105.230701 PA-11 (Nylon-11) waste combustion - clean tech without heat recovery</t>
  </si>
  <si>
    <t>F.106.03.106.230701 PA (Nylons  Polyamides) waste combustion - clean tech without heat recovery</t>
  </si>
  <si>
    <t>F.106.03.107.230701 PC (Polycarbonate) waste combustion - clean tech without heat recovery</t>
  </si>
  <si>
    <t>F.106.03.108.230701 PE (Polyethylene) waste combustion - clean tech without heat recovery</t>
  </si>
  <si>
    <t>F.106.03.111.230701 PET (Polyethylene terephthalate) waste combustion - clean tech without heat recovery</t>
  </si>
  <si>
    <t>F.106.03.112.230701 PHA (Polyhydroxyalkanoates) waste combustion - clean tech without heat recovery</t>
  </si>
  <si>
    <t>F.106.03.113.230701 PLA (Polylactide) waste combustion - clean tech without heat recovery</t>
  </si>
  <si>
    <t>F.106.03.114.230701 PMMA (Polymethyl methacrylate) waste combustion - clean tech without heat recovery</t>
  </si>
  <si>
    <t>F.106.03.115.230701 POM (Polyoxymethylene  Polyacetaal) waste combustion - clean tech without heat recovery</t>
  </si>
  <si>
    <t>F.106.03.116.230701 PP (Polypropylene) waste combustion - clean tech without heat recovery</t>
  </si>
  <si>
    <t>F.106.03.117.230701 PS (Polystyrene) waste combustion - clean tech without heat recovery</t>
  </si>
  <si>
    <t>F.106.03.118.230701 PTFE (Teflon, Polytetrafluoroethylene) waste combustion - clean tech without heat recovery</t>
  </si>
  <si>
    <t>F.106.03.119.230701 PTT (Polyltrimethylene terephthalate) waste combustion - clean tech without heat recovery</t>
  </si>
  <si>
    <t>F.106.03.120.230701 PUR (Polyurethane) waste combustion - clean tech without heat recovery</t>
  </si>
  <si>
    <t>F.106.03.122.230701 PVDC (Polyvinyliden chloride) waste combustion - clean tech without heat recovery</t>
  </si>
  <si>
    <t>F.106.03.123.230701 Starch PBS 50%-50% (Polybutylene succinate) waste combustion - clean tech without heat recovery</t>
  </si>
  <si>
    <t>F.106.03.124.231020 PBS (Polybutylene succinate) waste combustion - clean tech without heat recovery</t>
  </si>
  <si>
    <t>F.106.03.125.231020 PBAT (Polybutylene adipate terepht) waste combustion - clean tech without heat recovery</t>
  </si>
  <si>
    <t>F.106.03.126.231020 PHB (Polyhydroxybutyrate) waste combustion - clean tech without heat recovery</t>
  </si>
  <si>
    <t>F.106.03.127.240817 PAN (Polyacrylonitrile fibres) waste combustion - clean tech without heat recovery</t>
  </si>
  <si>
    <t>F.106.03.128.240817 bio-PP (Polypropylene) waste combustion - clean tech without heat recovery</t>
  </si>
  <si>
    <t>F.106.03.129.240817 bio-PET (Polyethylene terephthalate)waste combustion - clean tech without heat recovery</t>
  </si>
  <si>
    <t>F.106.03.130.240817 PEF (Polyethylene terephthalate) waste combustion - clean tech without heat recovery</t>
  </si>
  <si>
    <t>no heat recovery, waste combustion, thermosets</t>
  </si>
  <si>
    <t>F.106.04.101.230701 Epoxies waste combustion - clean tech without heat recovery</t>
  </si>
  <si>
    <t>F.106.04.102.230701 Phenolics (Bakelite) waste combustion - clean tech without heat recovery</t>
  </si>
  <si>
    <t>F.106.04.103.230701 Polyester waste combustion - clean tech without heat recovery</t>
  </si>
  <si>
    <t>no heat recovery, waste combustion, Other plastics</t>
  </si>
  <si>
    <t>F.106.05.101.230701 Bisphenol A  waste combustion - clean tech without heat recovery</t>
  </si>
  <si>
    <t>F.106.05.102.230701 DEHP  waste combustion - clean tech without heat recovery</t>
  </si>
  <si>
    <t>F.106.05.103.230701 DINP  waste combustion - clean tech without heat recovery</t>
  </si>
  <si>
    <t>F.106.05.104.230701 Epichlorohydrin waste combustion - clean tech without heat recovery</t>
  </si>
  <si>
    <t>F.106.05.105.230701 EVOH  waste combustion - clean tech without heat recovery</t>
  </si>
  <si>
    <t>F.106.05.106.230701 Formaldehyde  waste combustion - clean tech without heat recovery</t>
  </si>
  <si>
    <t>F.106.05.107.230701 MDI  waste combustion - clean tech without heat recovery</t>
  </si>
  <si>
    <t>F.106.05.108.230701 MMA monomer  waste combustion - clean tech without heat recovery</t>
  </si>
  <si>
    <t>F.106.05.109.230701 Nafion  waste combustion - clean tech without heat recovery</t>
  </si>
  <si>
    <t>F.106.05.110.230701 Paperfoam  waste combustion - clean tech without heat recovery</t>
  </si>
  <si>
    <t>F.106.05.111.230701 PEEK (Polyetheretherketone)  waste combustion - clean tech without heat recovery</t>
  </si>
  <si>
    <t>F.106.05.112.230701 PEI (Polyether Imide) waste combustion - clean tech without heat recovery</t>
  </si>
  <si>
    <t>F.106.05.113.230701 Phthalic anhydride  waste combustion - clean tech without heat recovery</t>
  </si>
  <si>
    <t>F.106.05.114.230701 Polyether-polyols  waste combustion - clean tech without heat recovery</t>
  </si>
  <si>
    <t>F.106.05.115.230701 PPS  waste combustion - clean tech without heat recovery</t>
  </si>
  <si>
    <t>F.106.05.116.230701 PVOH (PVA)  waste combustion - clean tech without heat recovery</t>
  </si>
  <si>
    <t>F.106.05.117.230701 TDI  waste combustion - clean tech without heat recovery</t>
  </si>
  <si>
    <t>F.106.06.101.230701 AKD (Alkyl ketene dimers)  waste combustion - clean tech without heat recovery</t>
  </si>
  <si>
    <t>no heat recovery, waste combustion, Additives</t>
  </si>
  <si>
    <t>F.106.06.102.230701 ASA (Acrylonitrile styrene acrylate)  waste combustion - clean tech without heat recovery</t>
  </si>
  <si>
    <t>F.106.06.103.230701 Rosin (from wood, pine)  waste combustion - clean tech without heat recovery</t>
  </si>
  <si>
    <t>waste treatment, packaging end-of-life (municipal waste incineration)</t>
  </si>
  <si>
    <t>F.108.01.101.230701 film HDPE 50 mu in mun waste inc</t>
  </si>
  <si>
    <t>F.108.01.102.230701 film LDPE 50 mu in mun waste inc</t>
  </si>
  <si>
    <t>F.108.01.103.230701 film PC 50 mu in mun waste inc</t>
  </si>
  <si>
    <t>F.108.01.104.230701 film PET / PE+EVOH+PE 62 mu in mun waste inc</t>
  </si>
  <si>
    <t>F.108.01.105.230701 film PET 50 mu in mun waste inc</t>
  </si>
  <si>
    <t>F.108.01.106.230701 film PET+ALOx / LDPE 62 mu in mun waste inc</t>
  </si>
  <si>
    <t>F.108.01.107.230701 film PET+PVOH / LDPE 62 mu in mun waste inc</t>
  </si>
  <si>
    <t>F.108.01.108.230701 film PLA (biobased) 50 mu in mun waste inc</t>
  </si>
  <si>
    <t>F.108.01.109.230701 film PP 50 mu in mun waste inc</t>
  </si>
  <si>
    <t>F.108.01.110.230701 film PP+PVDC 62 mu in mun waste inc</t>
  </si>
  <si>
    <t>F.108.01.111.230701 film PS (shrink) 50 mu in mun waste inc</t>
  </si>
  <si>
    <t>F.108.01.112.230701 film PVC (stiff shrink) 50 mu in mun waste inc</t>
  </si>
  <si>
    <t>waste treatment, recycling credit metals (note: can only be applied when the a market mix is used at the input, not for secondary metals at the input, since that would cause double counting)</t>
  </si>
  <si>
    <t>F.110.01.100.230701 Metals open loop recycling credit</t>
  </si>
  <si>
    <r>
      <rPr>
        <rFont val="Arial"/>
        <color theme="1"/>
        <sz val="10.0"/>
      </rPr>
      <t xml:space="preserve">waste treatment, recycling credit metals </t>
    </r>
    <r>
      <rPr>
        <rFont val="Arial"/>
        <color rgb="FFFF0000"/>
        <sz val="10.0"/>
      </rPr>
      <t>(note: can only be applied when the a market mix is used at the input, not for secondary metals at the input, since that would cause double counting)</t>
    </r>
  </si>
  <si>
    <t>F.110.01.101.230701 Aluminium  recycling credit closed loop (79% virgin part trade mix)</t>
  </si>
  <si>
    <r>
      <rPr>
        <rFont val="Arial"/>
        <color theme="1"/>
        <sz val="10.0"/>
      </rPr>
      <t xml:space="preserve">waste treatment, recycling credit metals </t>
    </r>
    <r>
      <rPr>
        <rFont val="Arial"/>
        <color rgb="FFFF0000"/>
        <sz val="10.0"/>
      </rPr>
      <t>(note: can only be applied when the a market mix is used at the input, not for secondary metals at the input, since that would cause double counting)</t>
    </r>
  </si>
  <si>
    <t>F.110.01.102.230701 Copper  recycling credit closed loop (45% virgin part in trade mix)</t>
  </si>
  <si>
    <r>
      <rPr>
        <rFont val="Arial"/>
        <color theme="1"/>
        <sz val="10.0"/>
      </rPr>
      <t xml:space="preserve">waste treatment, recycling credit metals </t>
    </r>
    <r>
      <rPr>
        <rFont val="Arial"/>
        <color rgb="FFFF0000"/>
        <sz val="10.0"/>
      </rPr>
      <t>(note: can only be applied when the a market mix is used at the input, not for secondary metals at the input, since that would cause double counting)</t>
    </r>
  </si>
  <si>
    <t>F.110.01.103.230701 Gold  recycling credit closed loop (80% virgin part trade mix)</t>
  </si>
  <si>
    <r>
      <rPr>
        <rFont val="Arial"/>
        <color theme="1"/>
        <sz val="10.0"/>
      </rPr>
      <t xml:space="preserve">waste treatment, recycling credit metals </t>
    </r>
    <r>
      <rPr>
        <rFont val="Arial"/>
        <color rgb="FFFF0000"/>
        <sz val="10.0"/>
      </rPr>
      <t>(note: can only be applied when the a market mix is used at the input, not for secondary metals at the input, since that would cause double counting)</t>
    </r>
  </si>
  <si>
    <t>F.110.01.104.230701 Lead  recycling credit  closed loop (25% virgin part in trade mix)</t>
  </si>
  <si>
    <r>
      <rPr>
        <rFont val="Arial"/>
        <color theme="1"/>
        <sz val="10.0"/>
      </rPr>
      <t xml:space="preserve">waste treatment, recycling credit metals </t>
    </r>
    <r>
      <rPr>
        <rFont val="Arial"/>
        <color rgb="FFFF0000"/>
        <sz val="10.0"/>
      </rPr>
      <t>(note: can only be applied when the a market mix is used at the input, not for secondary metals at the input, since that would cause double counting)</t>
    </r>
  </si>
  <si>
    <t>F.110.01.105.230701 Magnesium  recycling credit closed loop (90% virgin part in trade mix)</t>
  </si>
  <si>
    <r>
      <rPr>
        <rFont val="Arial"/>
        <color theme="1"/>
        <sz val="10.0"/>
      </rPr>
      <t xml:space="preserve">waste treatment, recycling credit metals </t>
    </r>
    <r>
      <rPr>
        <rFont val="Arial"/>
        <color rgb="FFFF0000"/>
        <sz val="10.0"/>
      </rPr>
      <t>(note: can only be applied when the a market mix is used at the input, not for secondary metals at the input, since that would cause double counting)</t>
    </r>
  </si>
  <si>
    <t>F.110.01.106.230701 Nickel  recycling credit closed loop (66% virgin part in trade mix)</t>
  </si>
  <si>
    <r>
      <rPr>
        <rFont val="Arial"/>
        <color theme="1"/>
        <sz val="10.0"/>
      </rPr>
      <t xml:space="preserve">waste treatment, recycling credit metals </t>
    </r>
    <r>
      <rPr>
        <rFont val="Arial"/>
        <color rgb="FFFF0000"/>
        <sz val="10.0"/>
      </rPr>
      <t>(note: can only be applied when the a market mix is used at the input, not for secondary metals at the input, since that would cause double counting)</t>
    </r>
  </si>
  <si>
    <t>F.110.01.107.230701 Palladium  recycling credit  closed loop (91% virgin part in trade mix)</t>
  </si>
  <si>
    <r>
      <rPr>
        <rFont val="Arial"/>
        <color theme="1"/>
        <sz val="10.0"/>
      </rPr>
      <t xml:space="preserve">waste treatment, recycling credit metals </t>
    </r>
    <r>
      <rPr>
        <rFont val="Arial"/>
        <color rgb="FFFF0000"/>
        <sz val="10.0"/>
      </rPr>
      <t>(note: can only be applied when the a market mix is used at the input, not for secondary metals at the input, since that would cause double counting)</t>
    </r>
  </si>
  <si>
    <t>F.110.01.108.230701 Platinum  recycling credit  closed loop (88.5% virgin part in trade mix)</t>
  </si>
  <si>
    <r>
      <rPr>
        <rFont val="Arial"/>
        <color theme="1"/>
        <sz val="10.0"/>
      </rPr>
      <t xml:space="preserve">waste treatment, recycling credit metals </t>
    </r>
    <r>
      <rPr>
        <rFont val="Arial"/>
        <color rgb="FFFF0000"/>
        <sz val="10.0"/>
      </rPr>
      <t>(note: can only be applied when the a market mix is used at the input, not for secondary metals at the input, since that would cause double counting)</t>
    </r>
  </si>
  <si>
    <t>F.110.01.109.230701 Rhodium  recycling credit  closed loop (91% virgin part in trade mix)</t>
  </si>
  <si>
    <r>
      <rPr>
        <rFont val="Arial"/>
        <color theme="1"/>
        <sz val="10.0"/>
      </rPr>
      <t xml:space="preserve">waste treatment, recycling credit metals </t>
    </r>
    <r>
      <rPr>
        <rFont val="Arial"/>
        <color rgb="FFFF0000"/>
        <sz val="10.0"/>
      </rPr>
      <t>(note: can only be applied when the a market mix is used at the input, not for secondary metals at the input, since that would cause double counting)</t>
    </r>
  </si>
  <si>
    <t>F.110.01.110.230701 Silver  recycling credit closed loop (45% virgin part trade mix)</t>
  </si>
  <si>
    <r>
      <rPr>
        <rFont val="Arial"/>
        <color theme="1"/>
        <sz val="10.0"/>
      </rPr>
      <t xml:space="preserve">waste treatment, recycling credit metals </t>
    </r>
    <r>
      <rPr>
        <rFont val="Arial"/>
        <color rgb="FFFF0000"/>
        <sz val="10.0"/>
      </rPr>
      <t>(note: can only be applied when the a market mix is used at the input, not for secondary metals at the input, since that would cause double counting)</t>
    </r>
  </si>
  <si>
    <t>F.110.01.111.250105 Steel  recycling credit closed loop (50.2% virgin part in trade mix)</t>
  </si>
  <si>
    <r>
      <rPr>
        <rFont val="Arial"/>
        <color theme="1"/>
        <sz val="10.0"/>
      </rPr>
      <t xml:space="preserve">waste treatment, recycling credit metals </t>
    </r>
    <r>
      <rPr>
        <rFont val="Arial"/>
        <color rgb="FFFF0000"/>
        <sz val="10.0"/>
      </rPr>
      <t>(note: can only be applied when the a market mix is used at the input, not for secondary metals at the input, since that would cause double counting)</t>
    </r>
  </si>
  <si>
    <t>F.110.01.112.230701 Titanium  recycling credit  closed loop (81% virgin part in trade mix)</t>
  </si>
  <si>
    <r>
      <rPr>
        <rFont val="Arial"/>
        <color theme="1"/>
        <sz val="10.0"/>
      </rPr>
      <t xml:space="preserve">waste treatment, recycling credit metals </t>
    </r>
    <r>
      <rPr>
        <rFont val="Arial"/>
        <color rgb="FFFF0000"/>
        <sz val="10.0"/>
      </rPr>
      <t>(note: can only be applied when the a market mix is used at the input, not for secondary metals at the input, since that would cause double counting)</t>
    </r>
  </si>
  <si>
    <t>F.110.01.113.230701 Zinc  recycling credit closed loop (69% virgin part in trade mix)</t>
  </si>
  <si>
    <r>
      <rPr>
        <rFont val="Arial"/>
        <color theme="1"/>
        <sz val="10.0"/>
      </rPr>
      <t xml:space="preserve">waste treatment, recycling credit metals </t>
    </r>
    <r>
      <rPr>
        <rFont val="Arial"/>
        <color rgb="FFFF0000"/>
        <sz val="10.0"/>
      </rPr>
      <t>(note: can only be applied when the a market mix is used at the input, not for secondary metals at the input, since that would cause double counting)</t>
    </r>
  </si>
  <si>
    <t xml:space="preserve">waste treatment, upcycling credit plastics </t>
  </si>
  <si>
    <t>F.120.01.100.230701 Plastics open loop recycling credit</t>
  </si>
  <si>
    <r>
      <rPr>
        <rFont val="Arial"/>
        <color theme="1"/>
        <sz val="10.0"/>
      </rPr>
      <t>waste treatment, upcycling credit plastics</t>
    </r>
    <r>
      <rPr>
        <rFont val="Arial"/>
        <color rgb="FFFF0000"/>
        <sz val="10.0"/>
      </rPr>
      <t xml:space="preserve"> </t>
    </r>
  </si>
  <si>
    <t>F.120.01.101.230701 ABS closed loop chemical upcycling credit</t>
  </si>
  <si>
    <r>
      <rPr>
        <rFont val="Arial"/>
        <color theme="1"/>
        <sz val="10.0"/>
      </rPr>
      <t>waste treatment, upcycling credit plastics</t>
    </r>
    <r>
      <rPr>
        <rFont val="Arial"/>
        <color rgb="FFFF0000"/>
        <sz val="10.0"/>
      </rPr>
      <t xml:space="preserve"> </t>
    </r>
  </si>
  <si>
    <t>F.120.01.102.230701 bio-PE (Polyethylene) closed loop chemical upcycling credit</t>
  </si>
  <si>
    <r>
      <rPr>
        <rFont val="Arial"/>
        <color theme="1"/>
        <sz val="10.0"/>
      </rPr>
      <t>waste treatment, upcycling credit plastics</t>
    </r>
    <r>
      <rPr>
        <rFont val="Arial"/>
        <color rgb="FFFF0000"/>
        <sz val="10.0"/>
      </rPr>
      <t xml:space="preserve"> </t>
    </r>
  </si>
  <si>
    <t>F.120.01.103.230701 CA (Cellulose polymers) closed loop chemical upcycling credit</t>
  </si>
  <si>
    <r>
      <rPr>
        <rFont val="Arial"/>
        <color theme="1"/>
        <sz val="10.0"/>
      </rPr>
      <t>waste treatment, upcycling credit plastics</t>
    </r>
    <r>
      <rPr>
        <rFont val="Arial"/>
        <color rgb="FFFF0000"/>
        <sz val="10.0"/>
      </rPr>
      <t xml:space="preserve"> </t>
    </r>
  </si>
  <si>
    <t>F.120.01.104.230701 EVA (Ethylene vinyl acetate) closed loop chemical upcycling credit</t>
  </si>
  <si>
    <r>
      <rPr>
        <rFont val="Arial"/>
        <color theme="1"/>
        <sz val="10.0"/>
      </rPr>
      <t>waste treatment, upcycling credit plastics</t>
    </r>
    <r>
      <rPr>
        <rFont val="Arial"/>
        <color rgb="FFFF0000"/>
        <sz val="10.0"/>
      </rPr>
      <t xml:space="preserve"> </t>
    </r>
  </si>
  <si>
    <t>F.120.01.105.230701 Ionomer closed loop chemical upcycling credit</t>
  </si>
  <si>
    <r>
      <rPr>
        <rFont val="Arial"/>
        <color theme="1"/>
        <sz val="10.0"/>
      </rPr>
      <t>waste treatment, upcycling credit plastics</t>
    </r>
    <r>
      <rPr>
        <rFont val="Arial"/>
        <color rgb="FFFF0000"/>
        <sz val="10.0"/>
      </rPr>
      <t xml:space="preserve"> </t>
    </r>
  </si>
  <si>
    <t>F.120.01.106.230701 PA-11 (nylon-11) closed loop chemical upcycling credit</t>
  </si>
  <si>
    <r>
      <rPr>
        <rFont val="Arial"/>
        <color theme="1"/>
        <sz val="10.0"/>
      </rPr>
      <t>waste treatment, upcycling credit plastics</t>
    </r>
    <r>
      <rPr>
        <rFont val="Arial"/>
        <color rgb="FFFF0000"/>
        <sz val="10.0"/>
      </rPr>
      <t xml:space="preserve"> </t>
    </r>
  </si>
  <si>
    <t>F.120.01.107.230701 PA (nylons, polyamides) closed loop chemical upcycling credit</t>
  </si>
  <si>
    <r>
      <rPr>
        <rFont val="Arial"/>
        <color theme="1"/>
        <sz val="10.0"/>
      </rPr>
      <t>waste treatment, upcycling credit plastics</t>
    </r>
    <r>
      <rPr>
        <rFont val="Arial"/>
        <color rgb="FFFF0000"/>
        <sz val="10.0"/>
      </rPr>
      <t xml:space="preserve"> </t>
    </r>
  </si>
  <si>
    <t>F.120.01.108.230701 PC (Polycarbonate) closed loop chemical upcycling credit</t>
  </si>
  <si>
    <r>
      <rPr>
        <rFont val="Arial"/>
        <color theme="1"/>
        <sz val="10.0"/>
      </rPr>
      <t>waste treatment, upcycling credit plastics</t>
    </r>
    <r>
      <rPr>
        <rFont val="Arial"/>
        <color rgb="FFFF0000"/>
        <sz val="10.0"/>
      </rPr>
      <t xml:space="preserve"> </t>
    </r>
  </si>
  <si>
    <t>F.120.01.109.230701 PE (Polyethylene) closed loop chemical upcycling credit</t>
  </si>
  <si>
    <r>
      <rPr>
        <rFont val="Arial"/>
        <color theme="1"/>
        <sz val="10.0"/>
      </rPr>
      <t>waste treatment, upcycling credit plastics</t>
    </r>
    <r>
      <rPr>
        <rFont val="Arial"/>
        <color rgb="FFFF0000"/>
        <sz val="10.0"/>
      </rPr>
      <t xml:space="preserve"> </t>
    </r>
  </si>
  <si>
    <t>F.120.01.111.230701 PET (Polyethylene terephthalate) closed loop chemical upcycling credit</t>
  </si>
  <si>
    <r>
      <rPr>
        <rFont val="Arial"/>
        <color theme="1"/>
        <sz val="10.0"/>
      </rPr>
      <t>waste treatment, upcycling credit plastics</t>
    </r>
    <r>
      <rPr>
        <rFont val="Arial"/>
        <color rgb="FFFF0000"/>
        <sz val="10.0"/>
      </rPr>
      <t xml:space="preserve"> </t>
    </r>
  </si>
  <si>
    <t>F.120.01.112.230701 PHA and PHB (Polyhydroxyalkanoates)  closed loop chemical upcycling credit</t>
  </si>
  <si>
    <r>
      <rPr>
        <rFont val="Arial"/>
        <color theme="1"/>
        <sz val="10.0"/>
      </rPr>
      <t>waste treatment, upcycling credit plastics</t>
    </r>
    <r>
      <rPr>
        <rFont val="Arial"/>
        <color rgb="FFFF0000"/>
        <sz val="10.0"/>
      </rPr>
      <t xml:space="preserve"> </t>
    </r>
  </si>
  <si>
    <t>F.120.01.113.230701 PLA (Polylactide) closed loop chemical upcycling credit</t>
  </si>
  <si>
    <r>
      <rPr>
        <rFont val="Arial"/>
        <color theme="1"/>
        <sz val="10.0"/>
      </rPr>
      <t>waste treatment, upcycling credit plastics</t>
    </r>
    <r>
      <rPr>
        <rFont val="Arial"/>
        <color rgb="FFFF0000"/>
        <sz val="10.0"/>
      </rPr>
      <t xml:space="preserve"> </t>
    </r>
  </si>
  <si>
    <t>F.120.01.114.230701 PMMA (Acrilylic Polymethyl Methacrylate) closed loop chemical upcycling credit</t>
  </si>
  <si>
    <r>
      <rPr>
        <rFont val="Arial"/>
        <color theme="1"/>
        <sz val="10.0"/>
      </rPr>
      <t>waste treatment, upcycling credit plastics</t>
    </r>
    <r>
      <rPr>
        <rFont val="Arial"/>
        <color rgb="FFFF0000"/>
        <sz val="10.0"/>
      </rPr>
      <t xml:space="preserve"> </t>
    </r>
  </si>
  <si>
    <t>F.120.01.115.230701 POM and Acetal (Polyoxymethylene) closed loop chemical upcycling credit</t>
  </si>
  <si>
    <r>
      <rPr>
        <rFont val="Arial"/>
        <color theme="1"/>
        <sz val="10.0"/>
      </rPr>
      <t>waste treatment, upcycling credit plastics</t>
    </r>
    <r>
      <rPr>
        <rFont val="Arial"/>
        <color rgb="FFFF0000"/>
        <sz val="10.0"/>
      </rPr>
      <t xml:space="preserve"> </t>
    </r>
  </si>
  <si>
    <t>F.120.01.116.230701 PP (Polypropylene) closed loop chemical upcycling credit</t>
  </si>
  <si>
    <r>
      <rPr>
        <rFont val="Arial"/>
        <color theme="1"/>
        <sz val="10.0"/>
      </rPr>
      <t>waste treatment, upcycling credit plastics</t>
    </r>
    <r>
      <rPr>
        <rFont val="Arial"/>
        <color rgb="FFFF0000"/>
        <sz val="10.0"/>
      </rPr>
      <t xml:space="preserve"> </t>
    </r>
  </si>
  <si>
    <t>F.120.01.117.230701 PS (Polystyrene) closed loop chemical upcycle credit</t>
  </si>
  <si>
    <r>
      <rPr>
        <rFont val="Arial"/>
        <color theme="1"/>
        <sz val="10.0"/>
      </rPr>
      <t>waste treatment, upcycling credit plastics</t>
    </r>
    <r>
      <rPr>
        <rFont val="Arial"/>
        <color rgb="FFFF0000"/>
        <sz val="10.0"/>
      </rPr>
      <t xml:space="preserve"> </t>
    </r>
  </si>
  <si>
    <t>F.120.01.118.230701 PTFE  Teflon (Polytetrafluoroethylene) closed loop chemical upcycling credit</t>
  </si>
  <si>
    <r>
      <rPr>
        <rFont val="Arial"/>
        <color theme="1"/>
        <sz val="10.0"/>
      </rPr>
      <t>waste treatment, upcycling credit plastics</t>
    </r>
    <r>
      <rPr>
        <rFont val="Arial"/>
        <color rgb="FFFF0000"/>
        <sz val="10.0"/>
      </rPr>
      <t xml:space="preserve"> </t>
    </r>
  </si>
  <si>
    <t>F.120.01.119.230701 PTT (Polyltrimethylene terephthalate) closed loop chemical upcycling credit</t>
  </si>
  <si>
    <r>
      <rPr>
        <rFont val="Arial"/>
        <color theme="1"/>
        <sz val="10.0"/>
      </rPr>
      <t>waste treatment, upcycling credit plastics</t>
    </r>
    <r>
      <rPr>
        <rFont val="Arial"/>
        <color rgb="FFFF0000"/>
        <sz val="10.0"/>
      </rPr>
      <t xml:space="preserve"> </t>
    </r>
  </si>
  <si>
    <t>F.120.01.120.230701 PUR (Polyethane) closed loop chemical upcycling credit</t>
  </si>
  <si>
    <r>
      <rPr>
        <rFont val="Arial"/>
        <color theme="1"/>
        <sz val="10.0"/>
      </rPr>
      <t>waste treatment, upcycling credit plastics</t>
    </r>
    <r>
      <rPr>
        <rFont val="Arial"/>
        <color rgb="FFFF0000"/>
        <sz val="10.0"/>
      </rPr>
      <t xml:space="preserve"> </t>
    </r>
  </si>
  <si>
    <t>F.120.01.121.230701 PVC (Polyvinylchloride) closed loop chemical upcycling credit</t>
  </si>
  <si>
    <r>
      <rPr>
        <rFont val="Arial"/>
        <color theme="1"/>
        <sz val="10.0"/>
      </rPr>
      <t>waste treatment, upcycling credit plastics</t>
    </r>
    <r>
      <rPr>
        <rFont val="Arial"/>
        <color rgb="FFFF0000"/>
        <sz val="10.0"/>
      </rPr>
      <t xml:space="preserve"> </t>
    </r>
  </si>
  <si>
    <t>F.120.01.122.230701 Starch-PBS 50%-50% blend biodegradeble plastic closed loop chemical upcycling credit</t>
  </si>
  <si>
    <r>
      <rPr>
        <rFont val="Arial"/>
        <color theme="1"/>
        <sz val="10.0"/>
      </rPr>
      <t>waste treatment, upcycling credit plastics</t>
    </r>
    <r>
      <rPr>
        <rFont val="Arial"/>
        <color rgb="FFFF0000"/>
        <sz val="10.0"/>
      </rPr>
      <t xml:space="preserve"> </t>
    </r>
  </si>
  <si>
    <t>F.120.01.123.240817 PBS (Polybutylene succinate) closed loop chemical upcycling credit</t>
  </si>
  <si>
    <r>
      <rPr>
        <rFont val="Arial"/>
        <color theme="1"/>
        <sz val="10.0"/>
      </rPr>
      <t>waste treatment, upcycling credit plastics</t>
    </r>
    <r>
      <rPr>
        <rFont val="Arial"/>
        <color rgb="FFFF0000"/>
        <sz val="10.0"/>
      </rPr>
      <t xml:space="preserve"> </t>
    </r>
  </si>
  <si>
    <t>F.120.01.124.240817 PBAT (polybutylene adipate-co-terephthalate) closed loop chemical upcycling credit</t>
  </si>
  <si>
    <r>
      <rPr>
        <rFont val="Arial"/>
        <color theme="1"/>
        <sz val="10.0"/>
      </rPr>
      <t>waste treatment, upcycling credit plastics</t>
    </r>
    <r>
      <rPr>
        <rFont val="Arial"/>
        <color rgb="FFFF0000"/>
        <sz val="10.0"/>
      </rPr>
      <t xml:space="preserve"> </t>
    </r>
  </si>
  <si>
    <t>F.120.01.125.240817 PAN (Polyacrylonitrile fibres) closed loop chemical upcycling credit</t>
  </si>
  <si>
    <r>
      <rPr>
        <rFont val="Arial"/>
        <color theme="1"/>
        <sz val="10.0"/>
      </rPr>
      <t>waste treatment, upcycling credit plastics</t>
    </r>
    <r>
      <rPr>
        <rFont val="Arial"/>
        <color rgb="FFFF0000"/>
        <sz val="10.0"/>
      </rPr>
      <t xml:space="preserve"> </t>
    </r>
  </si>
  <si>
    <t>F.120.01.126.240817 Bio-PP (Polypropylene) closed loop chemical upcycling credit</t>
  </si>
  <si>
    <r>
      <rPr>
        <rFont val="Arial"/>
        <color theme="1"/>
        <sz val="10.0"/>
      </rPr>
      <t>waste treatment, upcycling credit plastics</t>
    </r>
    <r>
      <rPr>
        <rFont val="Arial"/>
        <color rgb="FFFF0000"/>
        <sz val="10.0"/>
      </rPr>
      <t xml:space="preserve"> </t>
    </r>
  </si>
  <si>
    <t>F.120.01.127.240817 Bio-PET (Polyethylene terephthalate) closed loop chemical upcycling credit</t>
  </si>
  <si>
    <r>
      <rPr>
        <rFont val="Arial"/>
        <color theme="1"/>
        <sz val="10.0"/>
      </rPr>
      <t>waste treatment, upcycling credit plastics</t>
    </r>
    <r>
      <rPr>
        <rFont val="Arial"/>
        <color rgb="FFFF0000"/>
        <sz val="10.0"/>
      </rPr>
      <t xml:space="preserve"> </t>
    </r>
  </si>
  <si>
    <t>F.120.01.128.240817 PEF (Polyethylene furan-2.5-dicarboxylate) closed loop chemical upcycling credit</t>
  </si>
  <si>
    <r>
      <rPr>
        <rFont val="Arial"/>
        <color theme="1"/>
        <sz val="10.0"/>
      </rPr>
      <t>waste treatment, upcycling credit plastics</t>
    </r>
    <r>
      <rPr>
        <rFont val="Arial"/>
        <color rgb="FFFF0000"/>
        <sz val="10.0"/>
      </rPr>
      <t xml:space="preserve"> </t>
    </r>
  </si>
  <si>
    <t>waste handling, general processing</t>
  </si>
  <si>
    <t>F.130.01.101.230701 anaerobic digestion (fermentation, methane production) cow dung</t>
  </si>
  <si>
    <t>F.130.01.102.230701 anaerobic digestion (fermentation, methane production) food waste</t>
  </si>
  <si>
    <t>F.130.01.103.230701 anaerobic digestion (fermentation, methane production) garden waste</t>
  </si>
  <si>
    <t>F.130.01.104.230701 composting biodegradable plastics (aerobic, without transport)</t>
  </si>
  <si>
    <t>F.130.01.105.230701 composting organic waste (aerobic, without transport)</t>
  </si>
  <si>
    <t>F.130.01.106.230701 landfill (inert waste)</t>
  </si>
  <si>
    <t>F.130.01.107.230701 landfill organic waste without CH4 emission prevention</t>
  </si>
  <si>
    <t>F.130.01.108.240116 Torrefied wood excl EoL credit</t>
  </si>
  <si>
    <t>F.130.01.109.240116 Torrefied wood incl EoL credit</t>
  </si>
  <si>
    <t>F.130.01.110.230701 Waste to recycling prosesses</t>
  </si>
  <si>
    <t>waste handling, scrap collection &amp; processing</t>
  </si>
  <si>
    <t>F.130.03.101.230701 plastic waste collection&amp;sorting</t>
  </si>
  <si>
    <t>waste handling, scrap handling &amp; processing</t>
  </si>
  <si>
    <t>F.130.03.102.230701 Scrap separation Mn  Fe  Cu  Ni and Zn</t>
  </si>
  <si>
    <t>F.130.03.103.230701 Scrap collection&amp;sorting (alum.)</t>
  </si>
  <si>
    <t>F.130.03.104.230701 Scrap collection&amp;sorting (copper)</t>
  </si>
  <si>
    <t>F.130.03.105.230701 Scrap collection&amp;sorting (iron and glass)</t>
  </si>
  <si>
    <t>F.130.03.106.230701 Scrap collection&amp;sorting (other non-ferro metals)</t>
  </si>
  <si>
    <t>F.130.03.107.230701 Scrap collection&amp;sorting (Pb)</t>
  </si>
  <si>
    <t>F.130.03.108.230701 Scrap collection&amp;sorting (Stainless st)</t>
  </si>
  <si>
    <t>waste handling, sequestration of carbon</t>
  </si>
  <si>
    <t>F.130.05.101.240116 Carbon storage in wood &gt;100 years (per kg wood 12%MC)</t>
  </si>
  <si>
    <t>F.130.05.102.240818 landfill of bio-PE (incl carbon sequestration)</t>
  </si>
  <si>
    <t>F.130.05.103.240818 landfill of bio-PP (incl carbon sequestration)</t>
  </si>
  <si>
    <t>F.130.05.104.240818 landfill of bio-PET (incl carbon sequestration)</t>
  </si>
  <si>
    <t>F.130.05.105.240818 landfill of PEF (incl carbon sequestration)</t>
  </si>
  <si>
    <t>F.130.05.106.240818 landfill of PA-11 (Nylon-11) (incl carbon sequestration)</t>
  </si>
  <si>
    <t>F.130.05.110.240818 landfill of biodegradable bioplastics with CH4 emission prevention</t>
  </si>
  <si>
    <t>F.130.05.111.240818 Carbon uptake per kg Cement &lt; 100 years</t>
  </si>
  <si>
    <t>F.130.05.112.240818 Carbon uptake per kg Cement &gt; 100 years</t>
  </si>
  <si>
    <t>FOOD</t>
  </si>
  <si>
    <t>Material, Food, Potatoes and root vegetables</t>
  </si>
  <si>
    <t>M.020.01.101.250516 Chips, frozen preperfried in plastic foil (LDPE) per 500 gram NL</t>
  </si>
  <si>
    <t>food</t>
  </si>
  <si>
    <t>M.020.01.102.250516 Potatoes wo skins in plastic foil (LDPE) per 500 gram NL</t>
  </si>
  <si>
    <t>Material, Food, Alcoholic beverages</t>
  </si>
  <si>
    <t>M.020.02.101.250516 Beer, pilsner in glass bottle, non returnable NL</t>
  </si>
  <si>
    <t>M.020.02.102.250516 Gin, young Dutch still wine bottle per 750 ml NL</t>
  </si>
  <si>
    <t>M.020.02.103.250516 Red wine still wine bottle per 750 ml NL</t>
  </si>
  <si>
    <t>M.020.02.104.250516 Rose wine still wine bottle per 750 ml NL</t>
  </si>
  <si>
    <t>M.020.02.105.250516 White wine, dry still wine bottle per 750 ml NL</t>
  </si>
  <si>
    <t>Material, Food, Bread</t>
  </si>
  <si>
    <t>M.020.03.101.250516 Baguette, white in plastic foil per 500 gram NL</t>
  </si>
  <si>
    <t>M.020.03.102.250516 Bread, multigrain w seeds plastic foil (LDPE) per 500 gram NL</t>
  </si>
  <si>
    <t>M.020.03.103.250516 Bread rye in plastic foil per 500 gram NL</t>
  </si>
  <si>
    <t>M.020.03.104.250516 Bread, white water based in plastic foil per 500 gram NL</t>
  </si>
  <si>
    <t>M.020.03.105.250516 Bread, wholemeal in plastic foil per 500 gram NL</t>
  </si>
  <si>
    <t>M.020.03.106.250516 Bun, currant/raisin plastic foil (LDPE) per 500 gram</t>
  </si>
  <si>
    <t>M.020.03.107.250516 Crispbread, in paper foil per 250 gram NL</t>
  </si>
  <si>
    <t>M.020.03.108.250516 Croissant, w margarine in plastic foil per 500 gram NL</t>
  </si>
  <si>
    <t>M.020.03.109.250516 Roll, white hard in plastic foil per 500 gram NL</t>
  </si>
  <si>
    <t>M.020.03.110.250516 Roll, white soft in plastic foil per 500 gram NL</t>
  </si>
  <si>
    <t>Material, Food, Miscellaneous</t>
  </si>
  <si>
    <t>M.020.04.101.250516 Insects, meat packaging per 1 kg NL</t>
  </si>
  <si>
    <t>M.020.04.102.250516 Kelp, seaweed in fruit bucket per 1 kg NL</t>
  </si>
  <si>
    <t>Material, Food, Eggs</t>
  </si>
  <si>
    <t>M.020.05.101.250516 Eggs, chicken, in cardboard box NL</t>
  </si>
  <si>
    <t>Material, Food, Fruit</t>
  </si>
  <si>
    <t>M.020.06.101.250516 Apple sauce in food can NL</t>
  </si>
  <si>
    <t>M.020.06.102.250516 Apple sauce in glass jarper 720 ml NL</t>
  </si>
  <si>
    <t>M.020.06.103.250516 Apple, w skin in fruit bag per 1 kg NL</t>
  </si>
  <si>
    <t>M.020.06.104.250516 Apricot, w skin in fruit bucket per 1 kg NL</t>
  </si>
  <si>
    <t>M.020.06.105.250516 Avocado, not packed NL</t>
  </si>
  <si>
    <t>M.020.06.106.250516 Banana, not packed NL</t>
  </si>
  <si>
    <t>M.020.06.107.250516 Coconut, milk in metal can (in aluminium) NL</t>
  </si>
  <si>
    <t>M.020.06.108.250516 Coconut, milk in multilayer carton per 1000 ml NL</t>
  </si>
  <si>
    <t>M.020.06.109.250516 Dates, dried in fruit bucket per 1 kg NL</t>
  </si>
  <si>
    <t>M.020.06.110.250516 Figs, dried in fruit bucket per 1 kg NL</t>
  </si>
  <si>
    <t>M.020.06.111.250516 Figs, fresh in fruit bucket per 1 kg NL</t>
  </si>
  <si>
    <t>M.020.06.112.250516 Fruit snack Knijpfruit/Slurpfruit, in aluminium foil laminated paper per 250 gram NL</t>
  </si>
  <si>
    <t>M.020.06.113.250516 Grapes w skin, in fruit bucket per 1 kg NL</t>
  </si>
  <si>
    <t>M.020.06.114.250516 Kiwi, in fruit bucket per 1 kg NL</t>
  </si>
  <si>
    <t>M.020.06.115.250516 Lemon, in plastic net per 1 kg NL</t>
  </si>
  <si>
    <t>M.020.06.116.250516 Manderins, in plastic net per 1 kg NL</t>
  </si>
  <si>
    <t>M.020.06.117.250516 Mango, not packed NL</t>
  </si>
  <si>
    <t>M.020.06.118.250516 Melon, honeydew, not packed NL</t>
  </si>
  <si>
    <t>M.020.06.119.250516 Olives, in brine in food can NL</t>
  </si>
  <si>
    <t>M.020.06.120.250516 Olives, in brine in glass jarper 720 ml NL</t>
  </si>
  <si>
    <t>M.020.06.121.250516 Orange, in plastic net per 1 kg NL</t>
  </si>
  <si>
    <t>M.020.06.122.250516 Peach, w skin in fruit bucket per 1 kg NL</t>
  </si>
  <si>
    <t>M.020.06.123.250516 Pineapple in fruit bucket per 1 kg NL</t>
  </si>
  <si>
    <t>M.020.06.124.250516 Strawberries in fruit bucket per 1 kg NL</t>
  </si>
  <si>
    <t>Material, Food, Pastries and cookies</t>
  </si>
  <si>
    <t>M.020.07.101.250516 Biscuit, sweet in plastic foil per 500 gram NL</t>
  </si>
  <si>
    <t>M.020.07.102.250516 Appel pie Dutch w shortbread w butter, in cardboard box NL</t>
  </si>
  <si>
    <t>M.020.07.103.250516 Apple pie Dutch w shortbread w margarine, in cardboard box NL</t>
  </si>
  <si>
    <t>M.020.07.104.250516 Biscuit, brown/wholemeal in plastic foil per 500 gram NL</t>
  </si>
  <si>
    <t>M.020.07.105.250516 Biscuit, fruit in plastic foil per 500 gram NL</t>
  </si>
  <si>
    <t>M.020.07.106.250516 Biscuits, in plastic foil per 500 gram NL</t>
  </si>
  <si>
    <t>M.020.07.107.250516 Biscuit spiced Speculaas, in plastic foil per 500 gram NL</t>
  </si>
  <si>
    <t>M.020.07.108.250516 Cake, w butter in plastic foil per 500 gram NL</t>
  </si>
  <si>
    <t>M.020.07.109.250516 Cake, wo butter in plastic foil per 500 gram NL</t>
  </si>
  <si>
    <t>M.020.07.110.250516 Waffle, syrup in plastic foil per 500 gram NL</t>
  </si>
  <si>
    <t>Material, Food, Grain products and binders</t>
  </si>
  <si>
    <t>M.020.08.101.250516 Dough for pizza and savoury pie, in plastic foil per 500 gram NL</t>
  </si>
  <si>
    <t>M.020.08.102.250516 Flour wheat, white Sugar packaging per 1 kg NL</t>
  </si>
  <si>
    <t>M.020.08.103.250516 Muesli, crunchy plain/w fruit in cardboard box NL</t>
  </si>
  <si>
    <t>M.020.08.104.250516 Oatmeal, in cardboard box NL</t>
  </si>
  <si>
    <t>M.020.08.105.250516 Pasta, white Pasta packaging per 1 kg NL</t>
  </si>
  <si>
    <t>M.020.08.106.250516 Rice, brown in cardboard box NL</t>
  </si>
  <si>
    <t>M.020.08.107.250516 Rice, white in cardboard box NL</t>
  </si>
  <si>
    <t>Material, Food, Vegetable</t>
  </si>
  <si>
    <t>M.020.09.101.250516 Bean sprouts in fruit bucket per 1 kg NL</t>
  </si>
  <si>
    <t>M.020.09.103.250516 Beans, green in food can NL</t>
  </si>
  <si>
    <t>M.020.09.104.250516 Beans, green in glass jarper 720 ml NL</t>
  </si>
  <si>
    <t>M.020.09.105.250516 Beans, green in plastic foil per 500 gram NL</t>
  </si>
  <si>
    <t>M.020.09.106.250516 Broccoli in plastic foil per 500 gram NL</t>
  </si>
  <si>
    <t>M.020.09.107.250516 Carrots in plastic foil per 500 gram NL</t>
  </si>
  <si>
    <t>M.020.09.108.250516 Cauliflower in plastic foil per 500 gram NL</t>
  </si>
  <si>
    <t>M.020.09.109.250516 Chicory in plastic foil per 500 gram NL</t>
  </si>
  <si>
    <t>M.020.09.110.250516 Courgettes, not packed NL</t>
  </si>
  <si>
    <t>M.020.09.111.250516 Cucumber w skin, not packed NL</t>
  </si>
  <si>
    <t>M.020.09.112.250516 Kale curly in plastic foil per 500 gram NL</t>
  </si>
  <si>
    <t>M.020.09.113.250516 Lettuce head, not packed NL</t>
  </si>
  <si>
    <t>M.020.09.114.250516 Lettuce, not packed NL</t>
  </si>
  <si>
    <t>M.020.09.115.250516 Mushrooms in fruit bucket per 1 kg NL</t>
  </si>
  <si>
    <t>M.020.09.116.250516 Onions in plastic net per 1 kg NL</t>
  </si>
  <si>
    <t>M.020.09.117.250516 Peas and carrots in food can NL</t>
  </si>
  <si>
    <t>M.020.09.118.250516 Peas and carrots in glass jarper 720 ml NL</t>
  </si>
  <si>
    <t>M.020.09.119.250516 Peas frozen frozen in cardboard box NL</t>
  </si>
  <si>
    <t>M.020.09.120.250516 Spinach frozen frozen in cardboard box NL</t>
  </si>
  <si>
    <t>M.020.09.121.250516 Sweet pepper in plastic foil per 500 gram NL</t>
  </si>
  <si>
    <t>M.020.09.122.250516 Sweetcorn in food can NL</t>
  </si>
  <si>
    <t>M.020.09.123.250516 Sweetcorn in glass jarper 720 ml NL</t>
  </si>
  <si>
    <t>M.020.09.124.250516 Tomato, not packed NL</t>
  </si>
  <si>
    <t>Material, Food, Savory sandwich filling</t>
  </si>
  <si>
    <t>M.020.10.101.250516 Fish salad meat packaging per 1 kg NL</t>
  </si>
  <si>
    <t>M.020.10.102.250516 Hummus, natural in plastic boxper 250 gram NL</t>
  </si>
  <si>
    <t>M.020.10.103.250516 Peanut butter in glass jarper 720 ml NL</t>
  </si>
  <si>
    <t>Material, Food, Savory sauces</t>
  </si>
  <si>
    <t>M.020.11.101.250516 Gravy 25% fat clear prep w gravypowder in plastic cupper 250 gram NL</t>
  </si>
  <si>
    <t>M.020.11.102.250516 Mayonaise, 25% fat in PET bottle NL</t>
  </si>
  <si>
    <t>M.020.11.103.250516 Mayonnaise in PET bottle NL</t>
  </si>
  <si>
    <t>M.020.11.104.250516 Oriental sauce, ready-made in glass jarper 125 gram NL</t>
  </si>
  <si>
    <t>M.020.11.105.250516 Tomato sauce, ready-made in glass jarper 125 gram NL</t>
  </si>
  <si>
    <t>Material, Food, Savory snacks and pretzels</t>
  </si>
  <si>
    <t>M.020.12.101.250516 Crisps potato in plastic foil per 500 gram NL</t>
  </si>
  <si>
    <t>M.020.12.102.250516 Croquette meat ragout frozen in cardboard box NL</t>
  </si>
  <si>
    <t>M.020.12.103.250516 Popcorn puffed, natural in plastic foil per 500 gram NL</t>
  </si>
  <si>
    <t>M.020.12.104.250516 Sausage roll, puff pastry in plastic foil per 500 gram NL</t>
  </si>
  <si>
    <t>M.020.12.105.250516 Sausage, dutch Frikandel frozen in cardboard box NL</t>
  </si>
  <si>
    <t>Material, Food, Cheese</t>
  </si>
  <si>
    <t>M.020.13.101.250516 Cheese 20+ in plastic boxper 250 gram NL</t>
  </si>
  <si>
    <t>M.020.13.102.250516 Cheese Edam 40+ in plastic boxper 250 gram NL</t>
  </si>
  <si>
    <t>M.020.13.103.250516 Cheese goat fresh in plastic boxper 250 gram NL</t>
  </si>
  <si>
    <t>M.020.13.104.250516 Cheese Gouda 48+ in plastic boxper 250 gram NL</t>
  </si>
  <si>
    <t>M.020.13.105.250516 Cheese Mozzarella in plastic boxper 250 gram NL</t>
  </si>
  <si>
    <t>M.020.13.106.250516 Cheese old 48+ in plastic boxper 250 gram NL</t>
  </si>
  <si>
    <t>M.020.13.107.250516 Cheese spread 48+ in plastic boxper 250 gram NL</t>
  </si>
  <si>
    <t>Material, Food, Herbs and spices</t>
  </si>
  <si>
    <t>M.020.14.101.250516 Stock cubes in cardboard box NL</t>
  </si>
  <si>
    <t>Material, Food, Milk and milk products</t>
  </si>
  <si>
    <t>M.020.15.102.250516 Cream, whipped in multilayer carton per 1000 ml NL</t>
  </si>
  <si>
    <t>M.020.15.103.250516 Custard several flavours, full fat in multilayer carton per 1000 ml NL</t>
  </si>
  <si>
    <t>M.020.15.104.250516 Custard vanilla, full fat in multilayer carton per 1000 ml NL</t>
  </si>
  <si>
    <t>M.020.15.105.250516 Fromage frais, full fat in plastic boxper 250 gram NL</t>
  </si>
  <si>
    <t>M.020.15.106.250516 Ice cream, dairy cream based frozen in cardboard box NL</t>
  </si>
  <si>
    <t>M.020.15.107.250516 Milk chocolate-, flavoured full fat in multilayer carton per 1000 ml NL</t>
  </si>
  <si>
    <t>M.020.15.108.250516 Milk chocolate-, flavoured semi-skimmed in multilayer carton per 1000 ml NL</t>
  </si>
  <si>
    <t>M.020.15.109.250516 Milk, semi-skimmed in multilayer carton per 1000 ml NL</t>
  </si>
  <si>
    <t>M.020.15.110.250516 Milk, skimmed in multilayer carton per 1000 ml NL</t>
  </si>
  <si>
    <t>M.020.15.111.250516 Milk, whole in multilayer carton per 1000 ml NL</t>
  </si>
  <si>
    <t>M.020.15.112.250516 Yoghurt, drink w sweeteners  in multilayer carton per 1000 ml NL</t>
  </si>
  <si>
    <t>M.020.15.113.250516 Yoghurt, full fat in multilayer carton per 1000 ml NL</t>
  </si>
  <si>
    <t>M.020.15.114.250516 Yoghurt, half fat in multilayer carton per 1000 ml NL</t>
  </si>
  <si>
    <t>M.020.15.115.250516 Yoghurt, low fat w fruit in multilayer carton per 1000 ml NL</t>
  </si>
  <si>
    <t>M.020.15.116.250516 Yoghurt, low fat in multilayer carton per 1000 ml NL</t>
  </si>
  <si>
    <t>Material, Food, Non-alcoholic drinks</t>
  </si>
  <si>
    <t>M.020.16.101.250516 Coffee, coffee packaging per 500 gram NL</t>
  </si>
  <si>
    <t>M.020.16.102.250516 Cola light soft drink w caffeine in PET bottle, returnable NL</t>
  </si>
  <si>
    <t>M.020.16.103.250516 Ice tea in PET bottle, returnable NL</t>
  </si>
  <si>
    <t>M.020.16.104.250516 Juice drink, 12% in multilayer carton per 1000 ml NL</t>
  </si>
  <si>
    <t>M.020.16.105.250516 Juice drink, 8% in multilayer carton per 1000 ml NL</t>
  </si>
  <si>
    <t>M.020.16.106.250516 Juice, apple in multilayer carton per 1000 ml NL</t>
  </si>
  <si>
    <t>M.020.16.107.250516 Juice, orange pasteurized in PET bottle NL</t>
  </si>
  <si>
    <t>M.020.16.108.250516 Lemonade, light in PET bottle NL</t>
  </si>
  <si>
    <t>M.020.16.109.250516 Lemonade in PET bottle NL</t>
  </si>
  <si>
    <t>M.020.16.110.250516 Lemonade, w sugar and sweetners in PET bottle NL</t>
  </si>
  <si>
    <t>M.020.16.111.250516 Mineral water in PET bottle, returnable NL</t>
  </si>
  <si>
    <t>M.020.16.112.250516 Soft drink, cola w caffeine in PET bottle, returnable NL</t>
  </si>
  <si>
    <t>M.020.16.113.250516 Soft drink, light wo caffeine in PET bottle, returnable NL</t>
  </si>
  <si>
    <t>M.020.16.114.250516 Soft drink, w sugar, sw&amp;caffeine in PET bottle, returnable NL</t>
  </si>
  <si>
    <t>M.020.16.115.250516 Tea in cardboard box NL</t>
  </si>
  <si>
    <t>Material, Food, Nuts and seeds</t>
  </si>
  <si>
    <t>M.020.17.101.250516 Almonds, blanced unsalted in plastic foil per 500 gram NL</t>
  </si>
  <si>
    <t>M.020.17.102.250516 Cashew nuts, unsalted in plastic foil per 500 gram NL</t>
  </si>
  <si>
    <t>M.020.17.103.250516 Hazelnuts, unsalted in plastic foil per 500 gram NL</t>
  </si>
  <si>
    <t>M.020.17.104.250516 Linseeds in plastic foil per 500 gram NL</t>
  </si>
  <si>
    <t>M.020.17.105.250516 Peanuts, unsalted in plastic foil per 500 gram NL</t>
  </si>
  <si>
    <t>M.020.17.106.250516 Pistachio nuts, salted in plastic foil per 500 gram NL</t>
  </si>
  <si>
    <t>M.020.17.107.250516 Pistachio nuts, unsalted in plastic foil per 500 gram NL</t>
  </si>
  <si>
    <t>M.020.17.108.250516 Walnuts, unsalted in plastic foil per 500 gram NL</t>
  </si>
  <si>
    <t>Material, Food, Legumes</t>
  </si>
  <si>
    <t>M.020.18.101.250516 Brown beans, in food can NL</t>
  </si>
  <si>
    <t>M.020.18.102.250516 Brown beans, in glass jarper 720 ml NL</t>
  </si>
  <si>
    <t>M.020.18.103.250516 Chickpeas, in plastic foil per 500 gram NL</t>
  </si>
  <si>
    <t>Material, Food, Baby food</t>
  </si>
  <si>
    <t>M.020.19.101.250516 Baby/toddler milkpowder, in cardboard box NL</t>
  </si>
  <si>
    <t>Material, Food, Sugar, candy, sweet toppings and sweet sauces</t>
  </si>
  <si>
    <t>M.020.20.101.250516 Chocolate, confetti, milk in cardboard box NL</t>
  </si>
  <si>
    <t>M.020.20.102.250516 Chocolate, confetti, plain in cardboard box NL</t>
  </si>
  <si>
    <t>M.020.20.103.250516 Chocolat, milk in aluminium foil laminated paperper 250 gram NL</t>
  </si>
  <si>
    <t>M.020.20.104.250516 Chocolate spread, duo in glass jarper 125 gram NL</t>
  </si>
  <si>
    <t>M.020.20.105.250516 Chocolate spread, hazelnut in glass jarper 125 gram NL</t>
  </si>
  <si>
    <t>M.020.20.106.250516 Honey, in glass jarper 125 gram NL</t>
  </si>
  <si>
    <t>M.020.20.107.250516 Honey, in PET bottle NL</t>
  </si>
  <si>
    <t>M.020.20.108.250516 Ice lolly/Sorbet, frozen in cardboard box NL</t>
  </si>
  <si>
    <t>M.020.20.109.250516 Jam, in glass jarper 125 gram NL</t>
  </si>
  <si>
    <t>M.020.20.110.240319 Granulated sugar</t>
  </si>
  <si>
    <t>M.020.20.110.250516 Sugar, granulated Sugar packaging per 1 kg NL</t>
  </si>
  <si>
    <t>M.020.20.111.250516 Syrup, apple in glass jarper 125 gram NL</t>
  </si>
  <si>
    <t>Material, Food, Fats and oils</t>
  </si>
  <si>
    <t>M.020.21.101.250516 Butter, salted in plastic cupper 250 gram NL</t>
  </si>
  <si>
    <t>M.020.21.102.250516 Butter, unsalted in plastic cupper 250 gram NL</t>
  </si>
  <si>
    <t>M.020.21.103.250516 Frying fat horeca, in PET bottle NL</t>
  </si>
  <si>
    <t>M.020.21.104.250516 Low fat w margarine, 40% fat &lt;17 g sat in plastic cupper 250 gram NL</t>
  </si>
  <si>
    <t>M.020.21.105.250516 Margarine, 80% fat 17-24 g saturates in plastic cupper 250 gram NL</t>
  </si>
  <si>
    <t>M.020.21.106.250516 Olive oil, in PET bottle NL</t>
  </si>
  <si>
    <t>M.020.21.107.250516 Sunflower oil, in PET bottle NL</t>
  </si>
  <si>
    <t>Material, Food, Fish</t>
  </si>
  <si>
    <t>M.020.22.101.250516 Claresse (catfish) fillet, meat packaging per 1 kg NL</t>
  </si>
  <si>
    <t>M.020.22.102.250516 Cod, in batter (kibbeling) meat packaging per 1 kg NL</t>
  </si>
  <si>
    <t>M.020.22.103.250516 Cod meat, packaging per 1 kg NL</t>
  </si>
  <si>
    <t>M.020.22.104.250516 Fish fingers, frozen in cardboard box NL</t>
  </si>
  <si>
    <t>M.020.22.105.250516 Herring, fillet in tomato sauce in food can NL</t>
  </si>
  <si>
    <t>M.020.22.106.250516 Herring, pickled (sweet)sour in glass jarper 720 ml NL</t>
  </si>
  <si>
    <t>M.020.22.107.250516 Herring, salted meat packaging per 1 kg NL</t>
  </si>
  <si>
    <t>M.020.22.108.250516 Lemon sole, meat packaging per 1 kg NL</t>
  </si>
  <si>
    <t>M.020.22.109.250516 Mackerel fillet, smoked meat packaging per 1 kg NL</t>
  </si>
  <si>
    <t>M.020.22.110.250516 Pangasius, meat packaging per 1 kg NL</t>
  </si>
  <si>
    <t>M.020.22.111.250516 Plaice fillet, meat packaging per 1 kg NL</t>
  </si>
  <si>
    <t>M.020.22.112.250516 Pollack, fillet meat packaging per 1 kg NL</t>
  </si>
  <si>
    <t>M.020.22.113.250516 Salmon, (aquaculture) meat packaging per 1 kg NL</t>
  </si>
  <si>
    <t>M.020.22.114.250516 Salmon, (wild caught) meat packaging per 1 kg NL</t>
  </si>
  <si>
    <t>M.020.22.115.250516 Salmon, fillet (aquaculture) meat packaging per 1 kg NL</t>
  </si>
  <si>
    <t>M.020.22.116.250516 Salmon, fillet (wild caught) meat packaging per 1 kg NL</t>
  </si>
  <si>
    <t>M.020.22.117.250516 Salmon, smoked (aquaculture) meat packaging per 1 kg NL</t>
  </si>
  <si>
    <t>M.020.22.118.250516 Salmon, smoked (wild caught) meat packaging per 1 kg NL</t>
  </si>
  <si>
    <t>M.020.22.119.250516 Shrimps, Dutch peeled meat packaging per 1 kg NL</t>
  </si>
  <si>
    <t>M.020.22.120.250516 Tilapia, meat packaging per 1 kg NL</t>
  </si>
  <si>
    <t>M.020.22.121.250516 Trout meat packaging, per 1 kg NL</t>
  </si>
  <si>
    <t>M.020.22.122.250516 Tuna in oil, in food can NL</t>
  </si>
  <si>
    <t>M.020.22.123.250516 Gourmet fish Obsolete</t>
  </si>
  <si>
    <t>Material, Food, Meat and poultry</t>
  </si>
  <si>
    <t>M.020.23.101.250516 Minced beef shallow fried, meat packaging per 1 kg NL</t>
  </si>
  <si>
    <t>M.020.23.102.250516 Beef roast, meat packaging per 1 kg NL</t>
  </si>
  <si>
    <t>M.020.23.103.250516 Beef frying steak, meat packaging per 1 kg NL</t>
  </si>
  <si>
    <t>M.020.23.104.250516 Chicken fillet, meat packaging per 1 kg NL</t>
  </si>
  <si>
    <t>M.020.23.105.250516 Chicken, w skin meat packaging per 1 kg NL</t>
  </si>
  <si>
    <t>M.020.23.106.250516 Hamburger, meat packaging per 1 kg NL</t>
  </si>
  <si>
    <t>M.020.23.108.250516 Minced beef, meat packaging per 1 kg NL</t>
  </si>
  <si>
    <t>M.020.23.109.250516 Minced beef/pork, meat packaging per 1 kg NL</t>
  </si>
  <si>
    <t>M.020.23.110.250516 Pork &lt;5% fat, meat packaging per 1 kg NL</t>
  </si>
  <si>
    <t>M.020.23.111.250516 Pork 5-14% fat, meat packaging per 1 kg NL</t>
  </si>
  <si>
    <t>M.020.23.112.250516 Pork shoulder chop, meat packaging per 1 kg NL</t>
  </si>
  <si>
    <t>M.020.23.113.250516 Sausage, frankfurter in food can NL</t>
  </si>
  <si>
    <t>M.020.23.114.250516 Sausage, frankfurter in glass jarper 720 ml NL</t>
  </si>
  <si>
    <t>M.020.23.115.250516 Sausage, pork (braadworst), meat packaging per 1 kg NL</t>
  </si>
  <si>
    <t>M.020.23.116.250516 Sausage, smoke-cooked beef meat packaging per 1 kg NL</t>
  </si>
  <si>
    <t>M.020.23.117.250516 Veal &lt;5% fat, meat packaging per 1 kg NL</t>
  </si>
  <si>
    <t>Material, Food, Meat substitutes and dairy substitutes</t>
  </si>
  <si>
    <t>M.020.24.101.250516 Mincemeat, vegetarian unprepared, meat packaging per 1 kg NL</t>
  </si>
  <si>
    <t>M.020.24.102.250516 Sausage, luncheon vegetarian, sandwich meat, meat packaging per 1 kg NL</t>
  </si>
  <si>
    <t>M.020.24.103.250516 Drink soya, natural in multilayer carton per 1000 ml NL</t>
  </si>
  <si>
    <t>M.020.24.104.250516 Tahoe soya curd, meat packaging per 1 kg NL</t>
  </si>
  <si>
    <t>M.020.24.105.250516 Vegetable burger vegetarian, meat packaging per 1 kg NL</t>
  </si>
  <si>
    <t>M.020.24.106.250516 Vegetarian hamburger, meat packaging per 1 kg NL</t>
  </si>
  <si>
    <t>M.020.24.107.250516 Vegetarian schnitzel Valles, meat packaging per 1 kg NL</t>
  </si>
  <si>
    <t>Material, Food, Meats</t>
  </si>
  <si>
    <t>M.020.25.101.240319 Breakfast bacon</t>
  </si>
  <si>
    <t>M.020.25.102.240319 Beef smoked meat</t>
  </si>
  <si>
    <t>M.020.25.103.240319 Chicken breast</t>
  </si>
  <si>
    <t>M.020.25.104.240319 Filet Americain</t>
  </si>
  <si>
    <t>M.020.25.105.240319 Gammon</t>
  </si>
  <si>
    <t>M.020.25.106.240319 Shoulder ham</t>
  </si>
  <si>
    <t>M.020.25.107.240319 Spread liver sausage</t>
  </si>
  <si>
    <t>M.020.25.108.240319 Roast minced meat</t>
  </si>
  <si>
    <t>M.020.25.109.240319 Cooked sausage</t>
  </si>
  <si>
    <t>M.020.25.110.240319 Sandwich sausage</t>
  </si>
  <si>
    <t>M.020.25.111.240319 Beef sausage</t>
  </si>
  <si>
    <t>M.020.25.112.240319 Saveloy</t>
  </si>
  <si>
    <t>Material, Food, Processing in kitchen</t>
  </si>
  <si>
    <t>N.010.10.101.240319 Baking (1.5 MJe per kg product)</t>
  </si>
  <si>
    <t>N.010.10.102.240319 Boiling (1.1 MJe per kg product)</t>
  </si>
  <si>
    <t>N.010.10.103.240319 Roasting chicken (3 MJe per kg product)</t>
  </si>
  <si>
    <t>PROXI data of chemicals via Classyfire</t>
  </si>
  <si>
    <t>Material, proxi data, chemicals</t>
  </si>
  <si>
    <t>P.030.00.100.230709 1,4-dioxanes (n=1, std= -)</t>
  </si>
  <si>
    <t>chem proxi</t>
  </si>
  <si>
    <t>P.030.00.200.230709 1-hydroxy-4-unsubstituted benzenoids (n=1, std=-)</t>
  </si>
  <si>
    <t>P.030.00.300.250916 2-benzimidazolylcarbamic acid esters (n=1, std=-)</t>
  </si>
  <si>
    <t>P.030.00.400.250916 2-phenoxypropionic acids (n=1, std=-)</t>
  </si>
  <si>
    <t>P.030.11.100.230709 Acetylides (n=1, std=-)</t>
  </si>
  <si>
    <t>P.030.11.200.250916 Alcohols and polyols (n=11, std=0.24)</t>
  </si>
  <si>
    <t>P.030.11.300.230709 Alkali metal chlorides (n=3, std=0.006)</t>
  </si>
  <si>
    <t>P.030.11.400.250916 Alkali metal hydroxides (n=4, std=0.1)</t>
  </si>
  <si>
    <t>P.030.11.500.230709 Alkali metal hypochlorites (n=2, std=0.015)</t>
  </si>
  <si>
    <t>P.030.11.600.230709 Alkali metal silicates (n=2, std=0.22)</t>
  </si>
  <si>
    <t>P.030.11.700.230709 Alkaline earth metal oxides (n=2, std=0.23)</t>
  </si>
  <si>
    <t>P.030.11.800.250916 Alkanes (n=7, std=0.22)</t>
  </si>
  <si>
    <t>P.030.11.900.230709 Alpha-halocarboxylic acids and derivatives (n=2, std=0.12)</t>
  </si>
  <si>
    <t>P.030.11.910.250916 Amines (n=6, std=0.13)</t>
  </si>
  <si>
    <t>P.030.11.920.250916 Amino acids, peptides, and analogues (n=1, std=-)</t>
  </si>
  <si>
    <t>P.030.11.930.250916 Aminotriazines (n=1, std=-)</t>
  </si>
  <si>
    <t>P.030.11.940.250916 Aminoxides (n=1, std=-)</t>
  </si>
  <si>
    <t>P.030.11.950.250916 Anilides (n=4, std=0.24)</t>
  </si>
  <si>
    <t>P.030.11.960.250916 Aniline and substituted anilines (n=1, std=-)</t>
  </si>
  <si>
    <t>P.030.12.080.250916 Benzenoids (n=1, std=-)</t>
  </si>
  <si>
    <t>P.030.12.090.250916 Benzofuranones (n=1, std=-)</t>
  </si>
  <si>
    <t>P.030.12.100.230709 Benzene and substituted derivatives (n=3, std=0.38)</t>
  </si>
  <si>
    <t>P.030.12.200.250916 Benzenesulfonic acids and derivatives (n=2, std=0.21)</t>
  </si>
  <si>
    <t>P.030.12.300.230709 Benzoyl derivatives (n=1, std=-)</t>
  </si>
  <si>
    <t>P.030.12.400.230709 Benzyl alcohols (n=1, std=-)</t>
  </si>
  <si>
    <t>P.030.12.500.230709 Benzyl halides (n=1, std=-)</t>
  </si>
  <si>
    <t>P.030.12.600.250916 Bipyridines and oligopyridines (n=1, std=-)</t>
  </si>
  <si>
    <t>P.030.13.100.250916 Carbonyl compounds (n=7, std=0.28)</t>
  </si>
  <si>
    <t>P.030.13.200.250916 Carboxylic acid derivatives (n=11, std=0.24)</t>
  </si>
  <si>
    <t>P.030.13.300.250916 Carboxylic acids (n=2, std=1.25)</t>
  </si>
  <si>
    <t>P.030.13.400.250916 Cumenes (n=1, std=-)</t>
  </si>
  <si>
    <t>P.030.13.500.230709 Cycloalkanes (n=2, std=0.12)</t>
  </si>
  <si>
    <t>P.030.14.100.230709 Dicarboxylic acids and derivatives (n=4, std=0.056)</t>
  </si>
  <si>
    <t>P.030.14.200.250916 Diphenylmethanes (n=3, std=0.17)</t>
  </si>
  <si>
    <t>P.030.14.300.250916 Dithiocarbamic acid esters (n=1, std=-)</t>
  </si>
  <si>
    <t>P.030.14.400.250916 Dithiophosphate O-esters (n=1, std=-)</t>
  </si>
  <si>
    <t>P.030.15.100.250916 Epoxides (n=3, std=0.59)</t>
  </si>
  <si>
    <t>P.030.15.200.250916 Ethers (n=6, std=0.18)</t>
  </si>
  <si>
    <t>P.030.16.100.250916 Fatty acid esters (n=2, std=0.2.51)</t>
  </si>
  <si>
    <t>P.030.16.100.250916 Fatty acids and conjugates (n=1, std=-)</t>
  </si>
  <si>
    <t>P.030.17.100.230709 Gamma butyrolactones (n=1, std=-)</t>
  </si>
  <si>
    <t>P.030.18.100.250916 Halobenzenes (n=3, std=1.21)</t>
  </si>
  <si>
    <t>P.030.18.200.250916 Halogen hydrides (n=2, std=1.77 )</t>
  </si>
  <si>
    <t>P.030.18.300.230709 Homogeneous halogens (n=3, std=0.03)</t>
  </si>
  <si>
    <t>P.030.18.500.230709 Homogeneous noble gases (n=1, std=-)</t>
  </si>
  <si>
    <t>P.030.18.600.250916 Homogeneous other non-metal compounds (n=2, std=0.19)</t>
  </si>
  <si>
    <t>P.030.18.700.230709 Homogeneous transition metal compounds (n=2, std=12.98)</t>
  </si>
  <si>
    <t>P.030.19.100.250916 Isoindolines (n=1, std=-)</t>
  </si>
  <si>
    <t>P.030.23.100.230709 Metalloid oxides (n=1, std=-)</t>
  </si>
  <si>
    <t>P.030.23.200.230709 Miscellaneous metallic oxoanionic compounds (n=3, std=9.89)</t>
  </si>
  <si>
    <t>P.030.23.200.250916 Miscellaneous mixed metal/non-metals (n=1, std=-)</t>
  </si>
  <si>
    <t>P.030.24.100.230709 N-alkylpyrrolidines (n=1, std=-)</t>
  </si>
  <si>
    <t>P.030.24.200.230709 N-phenylureas (n=2, std=0.42)</t>
  </si>
  <si>
    <t>P.030.24.300.230709 Non-metal nitrates (n=1, std=-)</t>
  </si>
  <si>
    <t>P.030.24.400.230709 Non-metal phosphates (n=1, std=-)</t>
  </si>
  <si>
    <t>P.030.24.500.230709 Non-metal sulfates (n=1, std=-)</t>
  </si>
  <si>
    <t>P.030.25.200.230709 Organic carbonic acids (n=1, std=-)</t>
  </si>
  <si>
    <t>P.030.25.300.250916 Organic cyanides (n=3, std=0.10)</t>
  </si>
  <si>
    <t>P.030.25.400.230709 Organochlorides (n=1, std=-)</t>
  </si>
  <si>
    <t>P.030.25.500.230709 Organofluorides (n=1, std=-)</t>
  </si>
  <si>
    <t>P.030.25.600.230709 Other non-metal nitrides (n=1, std=-)</t>
  </si>
  <si>
    <t>P.030.25.700.250916 Other non-metal oxides (n=2, std=0.01)</t>
  </si>
  <si>
    <t>P.030.25.800.230709 Other non-metal sulfides (n=2, std=0.08)</t>
  </si>
  <si>
    <t>P.030.26.100.250916 Phenoxyacetic acid derivatives (n=3, std=0.11)</t>
  </si>
  <si>
    <t>P.030.26.200.250916 Phenylpropanes (n=2, std=0.43)</t>
  </si>
  <si>
    <t>P.030.26.300.250916 Pyridinium derivatives (n=1, std=-)</t>
  </si>
  <si>
    <t>P.030.29.100.230709 Styrenes (n=1, std=-)</t>
  </si>
  <si>
    <t>P.030.29.200.230709 Sulfonylureas (n=1, std=-)</t>
  </si>
  <si>
    <t>P.030.29.300.230709 Sulfoxides (n=1, std=-)</t>
  </si>
  <si>
    <t>P.030.29.300.230709 Sulfuric acid esters (n=1, std=-)</t>
  </si>
  <si>
    <t>P.030.30.100.230709 Tetrahydrofurans (n=1, std=-)</t>
  </si>
  <si>
    <t>P.030.30.200.250916 Thiocarbamic acid derivatives (n=1, std=-)</t>
  </si>
  <si>
    <t>P.030.30.300.250916 Thiophosphoric acid esters (n=2, std=0.13)</t>
  </si>
  <si>
    <t>P.030.30.500.230709 Transition metal chlorides (n=1, std=-)</t>
  </si>
  <si>
    <t>P.030.31.100.230709 Unsaturated aliphatic hydrocarbons (n=3, std=0.06)</t>
  </si>
  <si>
    <t>P.030.31.300.230709 Ureas (n=1, std=-)</t>
  </si>
  <si>
    <t>P.030.34.100.230709 Xylenes (n=1, std=-)</t>
  </si>
  <si>
    <t>P.030.51.100.230727 Acrylic acids and derivatives (n=2, std=0.10)</t>
  </si>
  <si>
    <t>P.030.52.100.230727 Benzenediols (n=2, std=1.80)</t>
  </si>
  <si>
    <t>P.030.52.200.230727 Benzoic acids and derivatives (n=2, std=0.10)</t>
  </si>
  <si>
    <t>P.030.53.100.230727 Carbohydrates and carbohydrate conjugates (n=2, std=0.61)</t>
  </si>
  <si>
    <t>P.030.53.200.230727 Carbonic acid diesters (n=2, std=0.12)</t>
  </si>
  <si>
    <t>P.030.54.100.230727 Diphenylmethanes (n=2, std=0.66)</t>
  </si>
  <si>
    <t>P.030.58.100.230727 Halomethanes (n=6, std=3.60)</t>
  </si>
  <si>
    <t>P.030.59.100.230727 Isoindolines (n=2, std=2.69)</t>
  </si>
  <si>
    <t>P.030.63.100.230727 Methylpyridines (n=2, std=3.53)</t>
  </si>
  <si>
    <t>P.030.64.100.230727 Nitrobenzenes (n=4, std=1.15)</t>
  </si>
  <si>
    <t>P.030.65.100.230727 Organic alkali metal salts (n=3, std=0.25)</t>
  </si>
  <si>
    <t>P.030.65.200.230727 Organobromides (class) (n=2, std=0.15)</t>
  </si>
  <si>
    <t>P.030.65.300.230727 Organosilicon compounds (n=2, std=0.02)</t>
  </si>
  <si>
    <t>P.030.66.100.230727 Phenoxy compounds (n=2, std=0.47)</t>
  </si>
  <si>
    <t>P.030.66.200.230727 Phenylpropanes (n=5, std=0.69)</t>
  </si>
  <si>
    <t>P.030.66.300.230727 Pyrazoles (n=2, std=3.47)</t>
  </si>
  <si>
    <t>P.030.66.400.230727 Pyridazines and derivatives (n=2, std=0.00)</t>
  </si>
  <si>
    <t>P.030.66.500.230727 Pyridines and derivatives (class) (n=2, std=1.64)</t>
  </si>
  <si>
    <t>For CSRD</t>
  </si>
  <si>
    <t>Scope 1 and downstream direct emissions</t>
  </si>
  <si>
    <t>Q.010.10.101.240709 Carbon Dioxide (CO2), fossil, direct emissions (scope1 and downstream)</t>
  </si>
  <si>
    <t>scope 1 &amp; downsrtream</t>
  </si>
  <si>
    <t>Q.010.10.102.240709 Carbon Dioxide (CO2), biogenic, direct emissions (scope1 and downstream)</t>
  </si>
  <si>
    <t>Q.010.10.103.240709 Methane (CH4), fossil, direct emissions (scope1 and downstream)</t>
  </si>
  <si>
    <t>Q.010.10.104.240709 Methane (CH4), biogenic, direct emissions (scope1 and downstream)</t>
  </si>
  <si>
    <t>Q.010.10.105.240709 Carbon Monoxide (CO), fossil, direct emissions (scope1 and downstream)</t>
  </si>
  <si>
    <t>Q.010.10.106.240709 Carbon monoxide (CO), biogenic, direct emissions (scope1 and downstream)</t>
  </si>
  <si>
    <t>Q.010.10.107.240709 Nitrous oxide (N2O), direct emissions (scope1 and downstream)</t>
  </si>
  <si>
    <t>Q.010.10.109.240709 Butane (C4H10), direct emissions (scope1 and downstream)</t>
  </si>
  <si>
    <t>Q.010.10.110.240709 Ethane (C2H6), direct emissions (scope1 and downstream)</t>
  </si>
  <si>
    <t>Q.010.10.111.240709 Pentane (C5H12), direct emissions (scope1 and downstream)</t>
  </si>
  <si>
    <t>Q.010.10.112.240709 Propane (C3H8), direct emissions (scope1 and downstream)</t>
  </si>
  <si>
    <t>Q.010.10.113.240709 Sulfur hexafluoride (SF6), direct emissions (scope1 and downstream)</t>
  </si>
  <si>
    <t>Q.010.10.114.240709 Tetrafluoroethane, HFC-134a ( direct emissions (scope1 and downstream)</t>
  </si>
  <si>
    <t>Q.010.10.115.240709 Trifluoroethane, HFC-143a ( direct emissions (scope1 and downstream)</t>
  </si>
  <si>
    <t>Q.010.10.116.240709 Difluoromethane, HFC32 ( direct emissions (scope1 and downstream)</t>
  </si>
  <si>
    <t>Q.010.10.117.240709 Tetrafluoropropene, HFO-1234yf ( direct emissions (scope1 and downstream)</t>
  </si>
  <si>
    <t>Q.010.30.100.240709 Sulfur Dioxide (SO2), direct emissions (scope1 and downstream)</t>
  </si>
  <si>
    <t>Q.010.30.101.240709 Ammonia (NH3), direct emissions (scope1 and downstream)</t>
  </si>
  <si>
    <t>Q.010.30.102.240709 Nitrate (NO3), direct emissions (scope1 and downstream)</t>
  </si>
  <si>
    <t>Q.010.30.103.240709 Nitrogen Oxides (NOx), direct emissions (scope1 and downstream)</t>
  </si>
  <si>
    <t>Q.010.30.104.240712 Non-methane volatile organic compounds (NMVOC), direct emissions (scope1 and downstream)</t>
  </si>
  <si>
    <t>Q.010.30.105.240709 Phosphate (PO4), direct emissions (scope1 and downstream)</t>
  </si>
  <si>
    <t>Q.010.30.106.240709 Phosphorous (P), direct emissions (scope1 and downstream)</t>
  </si>
  <si>
    <t>Q.010.30.107.240709 Phosphoric acid (H3O4P), direct emissions (scope1 and downstream)</t>
  </si>
  <si>
    <t>Q.010.40.101.240709 Acetone (CH3COCH3), direct emissions (scope1 and downstream)</t>
  </si>
  <si>
    <t>Q.010.40.102.240709 Benzene (C6H6), direct emissions (scope1 and downstream)</t>
  </si>
  <si>
    <t>Q.010.40.103.240709 Benzyl Chloride (C7H7Cl ), direct emissions (scope1 and downstream)</t>
  </si>
  <si>
    <t>Q.010.40.104.240709 1-Butanol (C4H10O), direct emissions (scope1 and downstream)</t>
  </si>
  <si>
    <t>Q.010.40.105.240709 Butadiene (C4H6), direct emissions (scope1 and downstream)</t>
  </si>
  <si>
    <t>Q.010.40.106.240709 Butyl acetate (C6H12O2), direct emissions (scope1 and downstream)</t>
  </si>
  <si>
    <t>Q.010.40.106.240709 Chloroform (CHCl3), direct emissions (scope1 and downstream)</t>
  </si>
  <si>
    <t>Q.010.40.107.240709 Dichloro-ethane (C2H4Cl2), direct emissions (scope1 and downstream)</t>
  </si>
  <si>
    <t>Q.010.40.108.240709 Dimethyl ether (C2H6O), direct emissions (scope1 and downstream)</t>
  </si>
  <si>
    <t>Q.010.40.109.240709 Ethanol (C2H5OH), direct emissions (scope1 and downstream)</t>
  </si>
  <si>
    <t>Q.010.40.110.240709 Ethyl acetate  (C4H8O2), direct emissions (scope1 and downstream)</t>
  </si>
  <si>
    <t>Q.010.40.111.240709 Ethylene (C2H4), direct emissions (scope1 and downstream)</t>
  </si>
  <si>
    <t>Q.010.40.112.240709 Formaldehyde (CH2O), direct emissions (scope1 and downstream)</t>
  </si>
  <si>
    <t>Q.010.40.113.240709 Hexane (C6H14), direct emissions (scope1 and downstream)</t>
  </si>
  <si>
    <t>Q.010.40.114.240709 Isoprene (C5H8), direct emissions (scope1 and downstream)</t>
  </si>
  <si>
    <t>Q.010.40.115.240709 Methanol (CH3OH), direct emissions (scope1 and downstream)</t>
  </si>
  <si>
    <t>Q.010.40.116.240709 1-Propanol (C3H8O), direct emissions (scope1 and downstream)</t>
  </si>
  <si>
    <t>Q.010.40.117.240709 Naphthalene (C10H8), direct emissions (scope1 and downstream)</t>
  </si>
  <si>
    <t>Q.010.40.118.240709 Propylene (C3H6), direct emissions (scope1 and downstream)</t>
  </si>
  <si>
    <t>Q.010.40.119.240709 Styrene (C8H8), direct emissions (scope1 and downstream)</t>
  </si>
  <si>
    <t>Q.010.40.120.240709 Tetrachloroethylene (C2Cl4), direct emissions (scope1 and downstream)</t>
  </si>
  <si>
    <t>Q.010.40.121.240709 Toluene (C6H5CH3), direct emissions (scope1 and downstream)</t>
  </si>
  <si>
    <t>Q.010.40.122.240709 Trichloroethylene (C2HCl3), direct emissions (scope1 and downstream)</t>
  </si>
  <si>
    <t>Q.010.40.123.240709 Turpentine, direct emissions (scope1 and downstream)</t>
  </si>
  <si>
    <t>Q.010.40.123.240709 White spirit, direct emissions (scope1 and downstream)</t>
  </si>
  <si>
    <t>Q.010.40.124.240709 Xylene (C6H4(CH3)2), direct emissions (scope1 and downstream)</t>
  </si>
  <si>
    <t>Q.010.40.125.240712 Particulates PM2.5, direct emissions (scope1 and downstream)</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</si>
</sst>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00"/>
    <numFmt numFmtId="166" formatCode="#,##0.000"/>
    <numFmt numFmtId="167" formatCode="0.0"/>
  </numFmts>
  <fonts count="16">
    <font>
      <sz val="10.0"/>
      <color rgb="FF000000"/>
      <name val="Arial"/>
      <scheme val="minor"/>
    </font>
    <font>
      <color theme="1"/>
      <name val="Arial"/>
      <scheme val="minor"/>
    </font>
    <font>
      <sz val="10.0"/>
      <color rgb="FF00B050"/>
      <name val="Arial"/>
    </font>
    <font>
      <sz val="10.0"/>
      <color theme="1"/>
      <name val="Arial"/>
    </font>
    <font>
      <b/>
      <sz val="10.0"/>
      <color theme="1"/>
      <name val="Arial"/>
    </font>
    <font>
      <b/>
      <sz val="11.0"/>
      <color theme="1"/>
      <name val="Calibri"/>
    </font>
    <font>
      <sz val="8.0"/>
      <color rgb="FF1E1E1E"/>
      <name val="Arial"/>
    </font>
    <font>
      <sz val="11.0"/>
      <color theme="4"/>
      <name val="Calibri"/>
    </font>
    <font>
      <sz val="11.0"/>
      <color theme="1"/>
      <name val="Calibri"/>
    </font>
    <font>
      <sz val="11.0"/>
      <color rgb="FF00B050"/>
      <name val="Calibri"/>
    </font>
    <font>
      <sz val="8.0"/>
      <color rgb="FF000000"/>
      <name val="Arial"/>
    </font>
    <font>
      <sz val="8.0"/>
      <color theme="1"/>
      <name val="Arial"/>
    </font>
    <font>
      <sz val="8.0"/>
      <color theme="1"/>
      <name val="Calibri"/>
    </font>
    <font>
      <sz val="7.0"/>
      <color rgb="FF212529"/>
      <name val="Verdana"/>
    </font>
    <font>
      <sz val="11.0"/>
      <color rgb="FFFF0000"/>
      <name val="Calibri"/>
    </font>
    <font>
      <b/>
      <sz val="11.0"/>
      <color rgb="FF000000"/>
      <name val="Calibri"/>
    </font>
  </fonts>
  <fills count="13">
    <fill>
      <patternFill patternType="none"/>
    </fill>
    <fill>
      <patternFill patternType="lightGray"/>
    </fill>
    <fill>
      <patternFill patternType="solid">
        <fgColor rgb="FFB6DDE8"/>
        <bgColor rgb="FFB6DDE8"/>
      </patternFill>
    </fill>
    <fill>
      <patternFill patternType="solid">
        <fgColor rgb="FFFFFF99"/>
        <bgColor rgb="FFFFFF99"/>
      </patternFill>
    </fill>
    <fill>
      <patternFill patternType="solid">
        <fgColor rgb="FFFFFF00"/>
        <bgColor rgb="FFFFFF00"/>
      </patternFill>
    </fill>
    <fill>
      <patternFill patternType="solid">
        <fgColor rgb="FFFFFF66"/>
        <bgColor rgb="FFFFFF66"/>
      </patternFill>
    </fill>
    <fill>
      <patternFill patternType="solid">
        <fgColor rgb="FFD8D8D8"/>
        <bgColor rgb="FFD8D8D8"/>
      </patternFill>
    </fill>
    <fill>
      <patternFill patternType="solid">
        <fgColor rgb="FF99FF99"/>
        <bgColor rgb="FF99FF99"/>
      </patternFill>
    </fill>
    <fill>
      <patternFill patternType="solid">
        <fgColor rgb="FF33CCFF"/>
        <bgColor rgb="FF33CCFF"/>
      </patternFill>
    </fill>
    <fill>
      <patternFill patternType="solid">
        <fgColor rgb="FFFFFFCC"/>
        <bgColor rgb="FFFFFFCC"/>
      </patternFill>
    </fill>
    <fill>
      <patternFill patternType="solid">
        <fgColor rgb="FF92D050"/>
        <bgColor rgb="FF92D050"/>
      </patternFill>
    </fill>
    <fill>
      <patternFill patternType="solid">
        <fgColor rgb="FFFFCC99"/>
        <bgColor rgb="FFFFCC99"/>
      </patternFill>
    </fill>
    <fill>
      <patternFill patternType="solid">
        <fgColor rgb="FF00FF00"/>
        <bgColor rgb="FF00FF00"/>
      </patternFill>
    </fill>
  </fills>
  <borders count="13">
    <border/>
    <border>
      <left/>
      <right/>
      <top/>
      <bottom/>
    </border>
    <border>
      <right style="thin">
        <color rgb="FF000000"/>
      </right>
    </border>
    <border>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medium">
        <color rgb="FF000000"/>
      </left>
      <right style="medium">
        <color rgb="FF000000"/>
      </right>
      <top style="medium">
        <color rgb="FF000000"/>
      </top>
    </border>
    <border>
      <left style="medium">
        <color rgb="FF000000"/>
      </left>
      <right style="medium">
        <color rgb="FF000000"/>
      </right>
    </border>
    <border>
      <bottom style="thin">
        <color rgb="FF000000"/>
      </bottom>
    </border>
    <border>
      <left/>
      <right/>
      <top/>
      <bottom style="thin">
        <color rgb="FF000000"/>
      </bottom>
    </border>
    <border>
      <right style="thin">
        <color rgb="FF000000"/>
      </right>
      <bottom style="thin">
        <color rgb="FF000000"/>
      </bottom>
    </border>
    <border>
      <left style="thin">
        <color rgb="FF000000"/>
      </left>
      <right style="thin">
        <color rgb="FF000000"/>
      </right>
      <top/>
      <bottom style="thin">
        <color rgb="FF000000"/>
      </bottom>
    </border>
    <border>
      <left style="medium">
        <color rgb="FF000000"/>
      </left>
      <right style="medium">
        <color rgb="FF000000"/>
      </right>
      <bottom style="medium">
        <color rgb="FF000000"/>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2" fillId="0" fontId="3" numFmtId="0" xfId="0" applyBorder="1" applyFont="1"/>
    <xf borderId="3" fillId="3" fontId="3" numFmtId="0" xfId="0" applyBorder="1" applyFill="1" applyFont="1"/>
    <xf borderId="4" fillId="3" fontId="3" numFmtId="0" xfId="0" applyBorder="1" applyFont="1"/>
    <xf borderId="4" fillId="4" fontId="4" numFmtId="4" xfId="0" applyBorder="1" applyFill="1" applyFont="1" applyNumberFormat="1"/>
    <xf borderId="4" fillId="5" fontId="4" numFmtId="4" xfId="0" applyBorder="1" applyFill="1" applyFont="1" applyNumberFormat="1"/>
    <xf borderId="1" fillId="6" fontId="3" numFmtId="4" xfId="0" applyBorder="1" applyFill="1" applyFont="1" applyNumberFormat="1"/>
    <xf borderId="0" fillId="0" fontId="3" numFmtId="4" xfId="0" applyFont="1" applyNumberFormat="1"/>
    <xf borderId="1" fillId="6" fontId="3" numFmtId="0" xfId="0" applyBorder="1" applyFont="1"/>
    <xf borderId="4" fillId="7" fontId="4" numFmtId="164" xfId="0" applyBorder="1" applyFill="1" applyFont="1" applyNumberFormat="1"/>
    <xf borderId="4" fillId="6" fontId="3" numFmtId="0" xfId="0" applyBorder="1" applyFont="1"/>
    <xf borderId="4" fillId="8" fontId="4" numFmtId="165" xfId="0" applyBorder="1" applyFill="1" applyFont="1" applyNumberFormat="1"/>
    <xf borderId="1" fillId="6" fontId="3" numFmtId="165" xfId="0" applyBorder="1" applyFont="1" applyNumberFormat="1"/>
    <xf borderId="5" fillId="7" fontId="5" numFmtId="165" xfId="0" applyBorder="1" applyFont="1" applyNumberFormat="1"/>
    <xf borderId="1" fillId="9" fontId="5" numFmtId="165" xfId="0" applyBorder="1" applyFill="1" applyFont="1" applyNumberFormat="1"/>
    <xf borderId="0" fillId="0" fontId="4" numFmtId="165" xfId="0" applyAlignment="1" applyFont="1" applyNumberFormat="1">
      <alignment horizontal="left" vertical="top"/>
    </xf>
    <xf borderId="6" fillId="0" fontId="4" numFmtId="165" xfId="0" applyBorder="1" applyFont="1" applyNumberFormat="1"/>
    <xf borderId="0" fillId="0" fontId="3" numFmtId="0" xfId="0" applyAlignment="1" applyFont="1">
      <alignment horizontal="left"/>
    </xf>
    <xf borderId="1" fillId="2" fontId="3" numFmtId="0" xfId="0" applyAlignment="1" applyBorder="1" applyFont="1">
      <alignment horizontal="left"/>
    </xf>
    <xf borderId="2" fillId="0" fontId="3" numFmtId="0" xfId="0" applyAlignment="1" applyBorder="1" applyFont="1">
      <alignment horizontal="left"/>
    </xf>
    <xf borderId="5" fillId="3" fontId="3" numFmtId="0" xfId="0" applyBorder="1" applyFont="1"/>
    <xf borderId="5" fillId="4" fontId="4" numFmtId="4" xfId="0" applyBorder="1" applyFont="1" applyNumberFormat="1"/>
    <xf borderId="5" fillId="5" fontId="4" numFmtId="4" xfId="0" applyBorder="1" applyFont="1" applyNumberFormat="1"/>
    <xf borderId="1" fillId="10" fontId="3" numFmtId="4" xfId="0" applyBorder="1" applyFill="1" applyFont="1" applyNumberFormat="1"/>
    <xf borderId="5" fillId="7" fontId="4" numFmtId="164" xfId="0" applyBorder="1" applyFont="1" applyNumberFormat="1"/>
    <xf borderId="5" fillId="6" fontId="3" numFmtId="164" xfId="0" applyBorder="1" applyFont="1" applyNumberFormat="1"/>
    <xf borderId="5" fillId="8" fontId="4" numFmtId="165" xfId="0" applyBorder="1" applyFont="1" applyNumberFormat="1"/>
    <xf borderId="5" fillId="7" fontId="5" numFmtId="0" xfId="0" applyBorder="1" applyFont="1"/>
    <xf borderId="1" fillId="9" fontId="5" numFmtId="0" xfId="0" applyBorder="1" applyFont="1"/>
    <xf borderId="7" fillId="0" fontId="3" numFmtId="166" xfId="0" applyBorder="1" applyFont="1" applyNumberFormat="1"/>
    <xf borderId="8" fillId="0" fontId="3" numFmtId="0" xfId="0" applyAlignment="1" applyBorder="1" applyFont="1">
      <alignment horizontal="left"/>
    </xf>
    <xf borderId="8" fillId="0" fontId="2" numFmtId="0" xfId="0" applyBorder="1" applyFont="1"/>
    <xf borderId="9" fillId="2" fontId="3" numFmtId="0" xfId="0" applyAlignment="1" applyBorder="1" applyFont="1">
      <alignment horizontal="left"/>
    </xf>
    <xf borderId="10" fillId="0" fontId="3" numFmtId="0" xfId="0" applyAlignment="1" applyBorder="1" applyFont="1">
      <alignment horizontal="left"/>
    </xf>
    <xf borderId="11" fillId="3" fontId="3" numFmtId="0" xfId="0" applyBorder="1" applyFont="1"/>
    <xf borderId="11" fillId="4" fontId="3" numFmtId="4" xfId="0" applyAlignment="1" applyBorder="1" applyFont="1" applyNumberFormat="1">
      <alignment horizontal="right"/>
    </xf>
    <xf borderId="11" fillId="5" fontId="3" numFmtId="4" xfId="0" applyAlignment="1" applyBorder="1" applyFont="1" applyNumberFormat="1">
      <alignment horizontal="right"/>
    </xf>
    <xf borderId="1" fillId="6" fontId="3" numFmtId="4" xfId="0" applyAlignment="1" applyBorder="1" applyFont="1" applyNumberFormat="1">
      <alignment horizontal="right"/>
    </xf>
    <xf borderId="1" fillId="6" fontId="6" numFmtId="0" xfId="0" applyBorder="1" applyFont="1"/>
    <xf borderId="11" fillId="7" fontId="3" numFmtId="164" xfId="0" applyAlignment="1" applyBorder="1" applyFont="1" applyNumberFormat="1">
      <alignment horizontal="right"/>
    </xf>
    <xf borderId="11" fillId="6" fontId="3" numFmtId="164" xfId="0" applyAlignment="1" applyBorder="1" applyFont="1" applyNumberFormat="1">
      <alignment horizontal="right"/>
    </xf>
    <xf borderId="11" fillId="8" fontId="3" numFmtId="165" xfId="0" applyAlignment="1" applyBorder="1" applyFont="1" applyNumberFormat="1">
      <alignment horizontal="right"/>
    </xf>
    <xf borderId="1" fillId="6" fontId="3" numFmtId="165" xfId="0" applyAlignment="1" applyBorder="1" applyFont="1" applyNumberFormat="1">
      <alignment horizontal="right"/>
    </xf>
    <xf borderId="11" fillId="7" fontId="5" numFmtId="165" xfId="0" applyAlignment="1" applyBorder="1" applyFont="1" applyNumberFormat="1">
      <alignment horizontal="right"/>
    </xf>
    <xf borderId="1" fillId="9" fontId="5" numFmtId="165" xfId="0" applyAlignment="1" applyBorder="1" applyFont="1" applyNumberFormat="1">
      <alignment horizontal="left"/>
    </xf>
    <xf borderId="0" fillId="0" fontId="3" numFmtId="165" xfId="0" applyAlignment="1" applyFont="1" applyNumberFormat="1">
      <alignment horizontal="left" vertical="top"/>
    </xf>
    <xf borderId="12" fillId="0" fontId="3" numFmtId="166" xfId="0" applyBorder="1" applyFont="1" applyNumberFormat="1"/>
    <xf borderId="0" fillId="0" fontId="4" numFmtId="0" xfId="0" applyAlignment="1" applyFont="1">
      <alignment horizontal="left"/>
    </xf>
    <xf borderId="0" fillId="0" fontId="3" numFmtId="0" xfId="0" applyFont="1"/>
    <xf borderId="0" fillId="0" fontId="3" numFmtId="4" xfId="0" applyAlignment="1" applyFont="1" applyNumberFormat="1">
      <alignment horizontal="right"/>
    </xf>
    <xf borderId="0" fillId="0" fontId="6" numFmtId="0" xfId="0" applyFont="1"/>
    <xf borderId="0" fillId="0" fontId="3" numFmtId="164" xfId="0" applyAlignment="1" applyFont="1" applyNumberFormat="1">
      <alignment horizontal="right"/>
    </xf>
    <xf borderId="0" fillId="0" fontId="3" numFmtId="165" xfId="0" applyAlignment="1" applyFont="1" applyNumberFormat="1">
      <alignment horizontal="right"/>
    </xf>
    <xf borderId="0" fillId="0" fontId="5" numFmtId="165" xfId="0" applyAlignment="1" applyFont="1" applyNumberFormat="1">
      <alignment horizontal="right"/>
    </xf>
    <xf borderId="0" fillId="0" fontId="5" numFmtId="165" xfId="0" applyAlignment="1" applyFont="1" applyNumberFormat="1">
      <alignment horizontal="left"/>
    </xf>
    <xf borderId="0" fillId="0" fontId="3" numFmtId="166" xfId="0" applyFont="1" applyNumberFormat="1"/>
    <xf borderId="0" fillId="0" fontId="5" numFmtId="0" xfId="0" applyFont="1"/>
    <xf borderId="0" fillId="0" fontId="7" numFmtId="0" xfId="0" applyFont="1"/>
    <xf borderId="0" fillId="0" fontId="8" numFmtId="0" xfId="0" applyFont="1"/>
    <xf borderId="0" fillId="0" fontId="9" numFmtId="0" xfId="0" applyFont="1"/>
    <xf borderId="1" fillId="11" fontId="3" numFmtId="0" xfId="0" applyBorder="1" applyFill="1" applyFont="1"/>
    <xf borderId="1" fillId="4" fontId="3" numFmtId="4" xfId="0" applyBorder="1" applyFont="1" applyNumberFormat="1"/>
    <xf borderId="1" fillId="5" fontId="3" numFmtId="4" xfId="0" applyBorder="1" applyFont="1" applyNumberFormat="1"/>
    <xf borderId="1" fillId="12" fontId="3" numFmtId="4" xfId="0" applyBorder="1" applyFill="1" applyFont="1" applyNumberFormat="1"/>
    <xf borderId="0" fillId="0" fontId="3" numFmtId="164" xfId="0" applyFont="1" applyNumberFormat="1"/>
    <xf borderId="1" fillId="8" fontId="3" numFmtId="0" xfId="0" applyBorder="1" applyFont="1"/>
    <xf borderId="1" fillId="7" fontId="3" numFmtId="0" xfId="0" applyBorder="1" applyFont="1"/>
    <xf borderId="1" fillId="9" fontId="5" numFmtId="11" xfId="0" applyBorder="1" applyFont="1" applyNumberFormat="1"/>
    <xf borderId="0" fillId="0" fontId="5" numFmtId="11" xfId="0" applyFont="1" applyNumberFormat="1"/>
    <xf borderId="0" fillId="0" fontId="3" numFmtId="166" xfId="0" applyAlignment="1" applyFont="1" applyNumberFormat="1">
      <alignment horizontal="left" vertical="top"/>
    </xf>
    <xf borderId="0" fillId="0" fontId="3" numFmtId="0" xfId="0" applyAlignment="1" applyFont="1">
      <alignment horizontal="left" vertical="top"/>
    </xf>
    <xf borderId="0" fillId="0" fontId="3" numFmtId="11" xfId="0" applyFont="1" applyNumberFormat="1"/>
    <xf borderId="0" fillId="0" fontId="4" numFmtId="0" xfId="0" applyFont="1"/>
    <xf borderId="1" fillId="9" fontId="10" numFmtId="0" xfId="0" applyBorder="1" applyFont="1"/>
    <xf borderId="1" fillId="9" fontId="3" numFmtId="11" xfId="0" applyBorder="1" applyFont="1" applyNumberFormat="1"/>
    <xf quotePrefix="1" borderId="1" fillId="9" fontId="3" numFmtId="11" xfId="0" applyBorder="1" applyFont="1" applyNumberFormat="1"/>
    <xf quotePrefix="1" borderId="1" fillId="9" fontId="5" numFmtId="11" xfId="0" applyBorder="1" applyFont="1" applyNumberFormat="1"/>
    <xf borderId="1" fillId="9" fontId="11" numFmtId="11" xfId="0" applyBorder="1" applyFont="1" applyNumberFormat="1"/>
    <xf borderId="0" fillId="0" fontId="8" numFmtId="0" xfId="0" applyAlignment="1" applyFont="1">
      <alignment horizontal="left" vertical="top"/>
    </xf>
    <xf borderId="1" fillId="9" fontId="3" numFmtId="0" xfId="0" applyBorder="1" applyFont="1"/>
    <xf borderId="0" fillId="0" fontId="10" numFmtId="0" xfId="0" applyFont="1"/>
    <xf borderId="0" fillId="0" fontId="4" numFmtId="166" xfId="0" applyAlignment="1" applyFont="1" applyNumberFormat="1">
      <alignment horizontal="left" vertical="top"/>
    </xf>
    <xf quotePrefix="1" borderId="1" fillId="9" fontId="12" numFmtId="11" xfId="0" applyBorder="1" applyFont="1" applyNumberFormat="1"/>
    <xf borderId="0" fillId="0" fontId="13" numFmtId="0" xfId="0" applyAlignment="1" applyFont="1">
      <alignment horizontal="left" vertical="top"/>
    </xf>
    <xf borderId="0" fillId="0" fontId="14" numFmtId="0" xfId="0" applyFont="1"/>
    <xf borderId="1" fillId="9" fontId="15" numFmtId="11" xfId="0" applyBorder="1" applyFont="1" applyNumberFormat="1"/>
    <xf borderId="0" fillId="0" fontId="15" numFmtId="11" xfId="0" applyFont="1" applyNumberFormat="1"/>
    <xf borderId="1" fillId="4" fontId="3" numFmtId="2" xfId="0" applyBorder="1" applyFont="1" applyNumberFormat="1"/>
    <xf borderId="1" fillId="5" fontId="3" numFmtId="2" xfId="0" applyBorder="1" applyFont="1" applyNumberFormat="1"/>
    <xf borderId="0" fillId="0" fontId="3" numFmtId="167" xfId="0" applyFont="1" applyNumberFormat="1"/>
    <xf borderId="1" fillId="7" fontId="3" numFmtId="11" xfId="0" applyBorder="1" applyFont="1" applyNumberFormat="1"/>
    <xf borderId="1" fillId="4" fontId="3" numFmtId="166" xfId="0" applyBorder="1" applyFont="1" applyNumberFormat="1"/>
    <xf borderId="1" fillId="5" fontId="3" numFmtId="166"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cols>
    <col customWidth="1" min="1" max="1" width="4.13"/>
    <col customWidth="1" min="2" max="2" width="9.5"/>
    <col customWidth="1" min="3" max="3" width="11.38"/>
    <col customWidth="1" min="4" max="4" width="3.75"/>
    <col customWidth="1" min="5" max="5" width="4.88"/>
    <col customWidth="1" min="6" max="6" width="56.63"/>
    <col customWidth="1" min="7" max="8" width="8.75"/>
    <col customWidth="1" min="9" max="12" width="11.38"/>
    <col customWidth="1" min="13" max="13" width="3.13"/>
    <col customWidth="1" min="14" max="15" width="8.75"/>
    <col customWidth="1" min="16" max="16" width="3.38"/>
    <col customWidth="1" min="17" max="17" width="9.75"/>
    <col customWidth="1" min="18" max="18" width="4.63"/>
    <col customWidth="1" min="19" max="22" width="7.63"/>
    <col customWidth="1" min="23" max="23" width="4.13"/>
    <col customWidth="1" min="24" max="24" width="7.63"/>
    <col customWidth="1" min="25" max="25" width="31.25"/>
    <col customWidth="1" min="26" max="26" width="28.75"/>
    <col customWidth="1" min="27" max="27" width="13.5"/>
  </cols>
  <sheetData>
    <row r="1" ht="12.75" customHeight="1">
      <c r="A1" s="1" t="s">
        <v>0</v>
      </c>
      <c r="B1" s="2" t="s">
        <v>1</v>
      </c>
      <c r="C1" s="3" t="s">
        <v>0</v>
      </c>
      <c r="D1" s="4" t="s">
        <v>0</v>
      </c>
      <c r="E1" s="5"/>
      <c r="F1" s="6" t="s">
        <v>2</v>
      </c>
      <c r="G1" s="7" t="s">
        <v>3</v>
      </c>
      <c r="H1" s="7" t="s">
        <v>3</v>
      </c>
      <c r="I1" s="8" t="s">
        <v>4</v>
      </c>
      <c r="J1" s="8" t="s">
        <v>4</v>
      </c>
      <c r="K1" s="8" t="s">
        <v>4</v>
      </c>
      <c r="L1" s="8" t="s">
        <v>4</v>
      </c>
      <c r="M1" s="9"/>
      <c r="N1" s="10"/>
      <c r="O1" s="10"/>
      <c r="P1" s="11"/>
      <c r="Q1" s="12" t="s">
        <v>5</v>
      </c>
      <c r="R1" s="13"/>
      <c r="S1" s="14" t="s">
        <v>6</v>
      </c>
      <c r="T1" s="14" t="s">
        <v>7</v>
      </c>
      <c r="U1" s="14" t="s">
        <v>7</v>
      </c>
      <c r="V1" s="14" t="s">
        <v>7</v>
      </c>
      <c r="W1" s="15"/>
      <c r="X1" s="16" t="s">
        <v>8</v>
      </c>
      <c r="Y1" s="17" t="s">
        <v>9</v>
      </c>
      <c r="Z1" s="18" t="s">
        <v>10</v>
      </c>
      <c r="AA1" s="19" t="s">
        <v>11</v>
      </c>
    </row>
    <row r="2" ht="12.75" customHeight="1">
      <c r="A2" s="20" t="s">
        <v>12</v>
      </c>
      <c r="B2" s="2" t="s">
        <v>1</v>
      </c>
      <c r="C2" s="21" t="s">
        <v>13</v>
      </c>
      <c r="D2" s="22" t="s">
        <v>14</v>
      </c>
      <c r="E2" s="5" t="s">
        <v>15</v>
      </c>
      <c r="F2" s="23"/>
      <c r="G2" s="24" t="s">
        <v>16</v>
      </c>
      <c r="H2" s="24" t="s">
        <v>16</v>
      </c>
      <c r="I2" s="25" t="s">
        <v>17</v>
      </c>
      <c r="J2" s="25" t="s">
        <v>18</v>
      </c>
      <c r="K2" s="25" t="s">
        <v>19</v>
      </c>
      <c r="L2" s="25" t="s">
        <v>20</v>
      </c>
      <c r="M2" s="11"/>
      <c r="N2" s="26" t="s">
        <v>20</v>
      </c>
      <c r="O2" s="26" t="s">
        <v>20</v>
      </c>
      <c r="P2" s="11"/>
      <c r="Q2" s="27" t="s">
        <v>21</v>
      </c>
      <c r="R2" s="28"/>
      <c r="S2" s="29" t="s">
        <v>22</v>
      </c>
      <c r="T2" s="29" t="s">
        <v>17</v>
      </c>
      <c r="U2" s="29" t="s">
        <v>23</v>
      </c>
      <c r="V2" s="29" t="s">
        <v>24</v>
      </c>
      <c r="W2" s="15"/>
      <c r="X2" s="30" t="s">
        <v>3</v>
      </c>
      <c r="Y2" s="31" t="s">
        <v>25</v>
      </c>
      <c r="Z2" s="18" t="s">
        <v>26</v>
      </c>
      <c r="AA2" s="32" t="s">
        <v>27</v>
      </c>
    </row>
    <row r="3" ht="12.75" customHeight="1">
      <c r="A3" s="33" t="s">
        <v>28</v>
      </c>
      <c r="B3" s="34" t="s">
        <v>1</v>
      </c>
      <c r="C3" s="35" t="s">
        <v>29</v>
      </c>
      <c r="D3" s="36" t="s">
        <v>30</v>
      </c>
      <c r="E3" s="37"/>
      <c r="F3" s="37"/>
      <c r="G3" s="38" t="s">
        <v>31</v>
      </c>
      <c r="H3" s="38" t="s">
        <v>31</v>
      </c>
      <c r="I3" s="39" t="s">
        <v>31</v>
      </c>
      <c r="J3" s="39" t="s">
        <v>32</v>
      </c>
      <c r="K3" s="39" t="s">
        <v>33</v>
      </c>
      <c r="L3" s="39" t="s">
        <v>34</v>
      </c>
      <c r="M3" s="40"/>
      <c r="N3" s="26" t="s">
        <v>35</v>
      </c>
      <c r="O3" s="26" t="s">
        <v>35</v>
      </c>
      <c r="P3" s="41"/>
      <c r="Q3" s="42" t="s">
        <v>36</v>
      </c>
      <c r="R3" s="43"/>
      <c r="S3" s="44" t="s">
        <v>37</v>
      </c>
      <c r="T3" s="44" t="s">
        <v>38</v>
      </c>
      <c r="U3" s="44" t="s">
        <v>38</v>
      </c>
      <c r="V3" s="44" t="s">
        <v>38</v>
      </c>
      <c r="W3" s="45"/>
      <c r="X3" s="46" t="s">
        <v>38</v>
      </c>
      <c r="Y3" s="47" t="s">
        <v>39</v>
      </c>
      <c r="Z3" s="48"/>
      <c r="AA3" s="49" t="s">
        <v>40</v>
      </c>
    </row>
    <row r="4" ht="12.75" customHeight="1">
      <c r="A4" s="20"/>
      <c r="B4" s="2"/>
      <c r="C4" s="20"/>
      <c r="D4" s="50" t="s">
        <v>41</v>
      </c>
      <c r="F4" s="51"/>
      <c r="G4" s="52"/>
      <c r="H4" s="52"/>
      <c r="I4" s="52"/>
      <c r="J4" s="52"/>
      <c r="K4" s="52"/>
      <c r="L4" s="52"/>
      <c r="M4" s="52"/>
      <c r="N4" s="10"/>
      <c r="O4" s="10"/>
      <c r="P4" s="53"/>
      <c r="Q4" s="54"/>
      <c r="R4" s="54"/>
      <c r="S4" s="55"/>
      <c r="T4" s="55"/>
      <c r="U4" s="55"/>
      <c r="V4" s="55"/>
      <c r="W4" s="55"/>
      <c r="X4" s="56"/>
      <c r="Y4" s="57"/>
      <c r="Z4" s="48"/>
      <c r="AA4" s="58"/>
    </row>
    <row r="5" ht="12.75" customHeight="1">
      <c r="A5" s="20"/>
      <c r="B5" s="2"/>
      <c r="C5" s="20"/>
      <c r="D5" s="59" t="s">
        <v>42</v>
      </c>
      <c r="F5" s="51"/>
      <c r="G5" s="52"/>
      <c r="H5" s="52"/>
      <c r="I5" s="52"/>
      <c r="J5" s="52"/>
      <c r="K5" s="52"/>
      <c r="L5" s="52"/>
      <c r="M5" s="52"/>
      <c r="N5" s="10"/>
      <c r="O5" s="10"/>
      <c r="P5" s="53"/>
      <c r="Q5" s="54"/>
      <c r="R5" s="54"/>
      <c r="S5" s="55"/>
      <c r="T5" s="55"/>
      <c r="U5" s="55"/>
      <c r="V5" s="55"/>
      <c r="W5" s="55"/>
      <c r="X5" s="56"/>
      <c r="Y5" s="57"/>
      <c r="Z5" s="48"/>
      <c r="AA5" s="58"/>
    </row>
    <row r="6" ht="12.75" customHeight="1">
      <c r="A6" s="1" t="s">
        <v>43</v>
      </c>
      <c r="B6" s="2" t="s">
        <v>44</v>
      </c>
      <c r="C6" s="60" t="str">
        <f t="shared" ref="C6:C10" si="1">MID(A6,1,12)</f>
        <v>A.010.02.101</v>
      </c>
      <c r="D6" s="61" t="s">
        <v>42</v>
      </c>
      <c r="E6" s="62" t="s">
        <v>45</v>
      </c>
      <c r="F6" s="63" t="str">
        <f t="shared" ref="F6:F10" si="2">MID(A6, 21,85)</f>
        <v>Leather Chrome tanning - hides from Argentia</v>
      </c>
      <c r="G6" s="64">
        <v>5.922069957748448</v>
      </c>
      <c r="H6" s="10">
        <f t="shared" ref="H6:H10" si="3">G6</f>
        <v>5.922069958</v>
      </c>
      <c r="I6" s="65">
        <v>1.35781621</v>
      </c>
      <c r="J6" s="65">
        <v>1.0814841537</v>
      </c>
      <c r="K6" s="65">
        <v>1.2060341940484482</v>
      </c>
      <c r="L6" s="65">
        <v>2.2767354</v>
      </c>
      <c r="N6" s="66">
        <v>15.178236000000002</v>
      </c>
      <c r="O6" s="10">
        <f t="shared" ref="O6:O10" si="4">N6</f>
        <v>15.178236</v>
      </c>
      <c r="Q6" s="67">
        <v>103.55661</v>
      </c>
      <c r="S6" s="68">
        <v>0.33582089</v>
      </c>
      <c r="T6" s="68">
        <v>0.31673977</v>
      </c>
      <c r="U6" s="68">
        <v>0.013077488</v>
      </c>
      <c r="V6" s="68">
        <v>0.0060036334</v>
      </c>
      <c r="X6" s="69">
        <v>0.0017103159</v>
      </c>
      <c r="Y6" s="70"/>
      <c r="Z6" s="48"/>
    </row>
    <row r="7" ht="12.75" customHeight="1">
      <c r="A7" s="1" t="s">
        <v>46</v>
      </c>
      <c r="B7" s="2" t="s">
        <v>44</v>
      </c>
      <c r="C7" s="60" t="str">
        <f t="shared" si="1"/>
        <v>A.010.02.102</v>
      </c>
      <c r="D7" s="61" t="s">
        <v>42</v>
      </c>
      <c r="E7" s="62" t="s">
        <v>45</v>
      </c>
      <c r="F7" s="63" t="str">
        <f t="shared" si="2"/>
        <v>Leather Vegetable tanning - hides from Europe</v>
      </c>
      <c r="G7" s="64">
        <v>3.0014026974666304</v>
      </c>
      <c r="H7" s="10">
        <f t="shared" si="3"/>
        <v>3.001402697</v>
      </c>
      <c r="I7" s="65">
        <v>0.17054953908999998</v>
      </c>
      <c r="J7" s="65">
        <v>0.124752171113</v>
      </c>
      <c r="K7" s="65">
        <v>0.042726087263630516</v>
      </c>
      <c r="L7" s="65">
        <v>2.6633749</v>
      </c>
      <c r="N7" s="66">
        <v>17.755832666666667</v>
      </c>
      <c r="O7" s="10">
        <f t="shared" si="4"/>
        <v>17.75583267</v>
      </c>
      <c r="Q7" s="67">
        <v>90.886772</v>
      </c>
      <c r="S7" s="68">
        <v>0.32017784</v>
      </c>
      <c r="T7" s="68">
        <v>0.30081391</v>
      </c>
      <c r="U7" s="68">
        <v>0.014017187</v>
      </c>
      <c r="V7" s="68">
        <v>0.0053467408</v>
      </c>
      <c r="X7" s="69">
        <v>7.4333738E-4</v>
      </c>
      <c r="Y7" s="70"/>
      <c r="Z7" s="48"/>
    </row>
    <row r="8" ht="12.75" customHeight="1">
      <c r="A8" s="1" t="s">
        <v>47</v>
      </c>
      <c r="B8" s="2" t="s">
        <v>44</v>
      </c>
      <c r="C8" s="60" t="str">
        <f t="shared" si="1"/>
        <v>A.010.02.103</v>
      </c>
      <c r="D8" s="61" t="s">
        <v>42</v>
      </c>
      <c r="E8" s="62" t="s">
        <v>45</v>
      </c>
      <c r="F8" s="63" t="str">
        <f t="shared" si="2"/>
        <v>Wool (from Australia transported to Rotterdam)</v>
      </c>
      <c r="G8" s="64">
        <v>9.571887391576421</v>
      </c>
      <c r="H8" s="10">
        <f t="shared" si="3"/>
        <v>9.571887392</v>
      </c>
      <c r="I8" s="65">
        <v>0.02738969239</v>
      </c>
      <c r="J8" s="65">
        <v>0.10809775291000001</v>
      </c>
      <c r="K8" s="65">
        <v>0.27911454627642196</v>
      </c>
      <c r="L8" s="65">
        <v>9.1572854</v>
      </c>
      <c r="N8" s="66">
        <v>61.04856933333333</v>
      </c>
      <c r="O8" s="10">
        <f t="shared" si="4"/>
        <v>61.04856933</v>
      </c>
      <c r="Q8" s="67">
        <v>58.89182</v>
      </c>
      <c r="S8" s="68">
        <v>1.0089608</v>
      </c>
      <c r="T8" s="68">
        <v>0.95819484</v>
      </c>
      <c r="U8" s="68">
        <v>0.046868234</v>
      </c>
      <c r="V8" s="68">
        <v>0.0038977277</v>
      </c>
      <c r="X8" s="69">
        <v>0.0017954795</v>
      </c>
      <c r="Y8" s="70"/>
      <c r="Z8" s="48"/>
    </row>
    <row r="9" ht="12.75" customHeight="1">
      <c r="A9" s="1" t="s">
        <v>48</v>
      </c>
      <c r="B9" s="2" t="s">
        <v>44</v>
      </c>
      <c r="C9" s="60" t="str">
        <f t="shared" si="1"/>
        <v>A.010.02.104</v>
      </c>
      <c r="D9" s="61" t="s">
        <v>42</v>
      </c>
      <c r="E9" s="62" t="s">
        <v>45</v>
      </c>
      <c r="F9" s="63" t="str">
        <f t="shared" si="2"/>
        <v>clean wool in Australia</v>
      </c>
      <c r="G9" s="64">
        <v>9.483878324137333</v>
      </c>
      <c r="H9" s="10">
        <f t="shared" si="3"/>
        <v>9.483878324</v>
      </c>
      <c r="I9" s="65">
        <v>0.026296255320000003</v>
      </c>
      <c r="J9" s="65">
        <v>0.09678323245</v>
      </c>
      <c r="K9" s="65">
        <v>0.251480936367332</v>
      </c>
      <c r="L9" s="65">
        <v>9.1093179</v>
      </c>
      <c r="N9" s="66">
        <v>60.72878600000001</v>
      </c>
      <c r="O9" s="10">
        <f t="shared" si="4"/>
        <v>60.728786</v>
      </c>
      <c r="Q9" s="67">
        <v>54.675225</v>
      </c>
      <c r="S9" s="68">
        <v>1.0001993</v>
      </c>
      <c r="T9" s="68">
        <v>0.95003158</v>
      </c>
      <c r="U9" s="68">
        <v>0.046564118</v>
      </c>
      <c r="V9" s="68">
        <v>0.003603648</v>
      </c>
      <c r="X9" s="69">
        <v>0.0017783047</v>
      </c>
      <c r="Y9" s="70"/>
      <c r="Z9" s="48"/>
    </row>
    <row r="10" ht="12.75" customHeight="1">
      <c r="A10" s="1" t="s">
        <v>49</v>
      </c>
      <c r="B10" s="2" t="s">
        <v>44</v>
      </c>
      <c r="C10" s="60" t="str">
        <f t="shared" si="1"/>
        <v>A.010.02.105</v>
      </c>
      <c r="D10" s="61" t="s">
        <v>42</v>
      </c>
      <c r="E10" s="62" t="s">
        <v>45</v>
      </c>
      <c r="F10" s="63" t="str">
        <f t="shared" si="2"/>
        <v>greasy wool at farm Australia</v>
      </c>
      <c r="G10" s="64">
        <v>6.004975912128606</v>
      </c>
      <c r="H10" s="10">
        <f t="shared" si="3"/>
        <v>6.004975912</v>
      </c>
      <c r="I10" s="65">
        <v>0.01219025</v>
      </c>
      <c r="J10" s="65">
        <v>0.025150669370000003</v>
      </c>
      <c r="K10" s="65">
        <v>0.15795969275860647</v>
      </c>
      <c r="L10" s="65">
        <v>5.8096753</v>
      </c>
      <c r="N10" s="66">
        <v>38.73116866666667</v>
      </c>
      <c r="O10" s="10">
        <f t="shared" si="4"/>
        <v>38.73116867</v>
      </c>
      <c r="Q10" s="67">
        <v>28.616837</v>
      </c>
      <c r="S10" s="68">
        <v>0.63407633</v>
      </c>
      <c r="T10" s="68">
        <v>0.60270433</v>
      </c>
      <c r="U10" s="68">
        <v>0.029392449</v>
      </c>
      <c r="V10" s="68">
        <v>0.0019795501</v>
      </c>
      <c r="X10" s="69">
        <v>0.0011227426</v>
      </c>
      <c r="Y10" s="70"/>
      <c r="Z10" s="48"/>
    </row>
    <row r="11" ht="12.75" customHeight="1">
      <c r="B11" s="2"/>
      <c r="C11" s="60"/>
      <c r="D11" s="59" t="s">
        <v>50</v>
      </c>
      <c r="E11" s="62"/>
      <c r="G11" s="10"/>
      <c r="H11" s="10"/>
      <c r="I11" s="10"/>
      <c r="J11" s="10"/>
      <c r="K11" s="10"/>
      <c r="L11" s="10"/>
      <c r="N11" s="10"/>
      <c r="O11" s="10"/>
      <c r="Q11" s="67"/>
      <c r="Y11" s="71"/>
      <c r="Z11" s="48"/>
    </row>
    <row r="12" ht="12.75" customHeight="1">
      <c r="A12" s="1" t="s">
        <v>51</v>
      </c>
      <c r="B12" s="2" t="s">
        <v>44</v>
      </c>
      <c r="C12" s="60" t="str">
        <f t="shared" ref="C12:C24" si="5">MID(A12,1,12)</f>
        <v>A.010.04.101</v>
      </c>
      <c r="D12" s="61" t="s">
        <v>50</v>
      </c>
      <c r="E12" s="62" t="s">
        <v>45</v>
      </c>
      <c r="F12" s="63" t="str">
        <f t="shared" ref="F12:F24" si="6">MID(A12, 21,85)</f>
        <v>Crude palm kernel oil refined</v>
      </c>
      <c r="G12" s="64">
        <v>0.7914985971491701</v>
      </c>
      <c r="H12" s="10">
        <f t="shared" ref="H12:H24" si="7">G12</f>
        <v>0.7914985971</v>
      </c>
      <c r="I12" s="65">
        <v>0.0087287608426</v>
      </c>
      <c r="J12" s="65">
        <v>0.6271241555829999</v>
      </c>
      <c r="K12" s="65">
        <v>0.015539020723570274</v>
      </c>
      <c r="L12" s="65">
        <v>0.14010666</v>
      </c>
      <c r="N12" s="66">
        <v>0.9340444</v>
      </c>
      <c r="O12" s="10">
        <f t="shared" ref="O12:O24" si="8">N12</f>
        <v>0.9340444</v>
      </c>
      <c r="Q12" s="67">
        <v>4.6798869</v>
      </c>
      <c r="S12" s="68">
        <v>0.022502671</v>
      </c>
      <c r="T12" s="68">
        <v>0.021383505</v>
      </c>
      <c r="U12" s="68">
        <v>9.2748669E-4</v>
      </c>
      <c r="V12" s="68">
        <v>1.9167912E-4</v>
      </c>
      <c r="X12" s="69">
        <v>3.771559E-5</v>
      </c>
      <c r="Y12" s="70"/>
      <c r="Z12" s="48"/>
    </row>
    <row r="13" ht="12.75" customHeight="1">
      <c r="A13" s="1" t="s">
        <v>52</v>
      </c>
      <c r="B13" s="2" t="s">
        <v>44</v>
      </c>
      <c r="C13" s="60" t="str">
        <f t="shared" si="5"/>
        <v>A.010.04.102</v>
      </c>
      <c r="D13" s="61" t="s">
        <v>50</v>
      </c>
      <c r="E13" s="62" t="s">
        <v>45</v>
      </c>
      <c r="F13" s="63" t="str">
        <f t="shared" si="6"/>
        <v>Palm kernel oil - crude from trees</v>
      </c>
      <c r="G13" s="64">
        <v>0.6860882828043051</v>
      </c>
      <c r="H13" s="10">
        <f t="shared" si="7"/>
        <v>0.6860882828</v>
      </c>
      <c r="I13" s="65">
        <v>0.0066364057509600005</v>
      </c>
      <c r="J13" s="65">
        <v>0.58543211323</v>
      </c>
      <c r="K13" s="65">
        <v>3.231598233450258E-4</v>
      </c>
      <c r="L13" s="65">
        <v>0.093696604</v>
      </c>
      <c r="N13" s="66">
        <v>0.6246440266666667</v>
      </c>
      <c r="O13" s="10">
        <f t="shared" si="8"/>
        <v>0.6246440267</v>
      </c>
      <c r="Q13" s="67">
        <v>0.076210273</v>
      </c>
      <c r="S13" s="68">
        <v>0.016100606</v>
      </c>
      <c r="T13" s="68">
        <v>0.015430846</v>
      </c>
      <c r="U13" s="68">
        <v>6.6472385E-4</v>
      </c>
      <c r="V13" s="68">
        <v>5.0359934E-6</v>
      </c>
      <c r="X13" s="69">
        <v>2.2501999E-5</v>
      </c>
      <c r="Y13" s="70"/>
      <c r="Z13" s="48"/>
    </row>
    <row r="14" ht="12.75" customHeight="1">
      <c r="A14" s="1" t="s">
        <v>53</v>
      </c>
      <c r="B14" s="2" t="s">
        <v>44</v>
      </c>
      <c r="C14" s="60" t="str">
        <f t="shared" si="5"/>
        <v>A.010.04.103</v>
      </c>
      <c r="D14" s="61" t="s">
        <v>50</v>
      </c>
      <c r="E14" s="62" t="s">
        <v>45</v>
      </c>
      <c r="F14" s="63" t="str">
        <f t="shared" si="6"/>
        <v>Potatoe starch DE</v>
      </c>
      <c r="G14" s="64">
        <v>0.12424860296915985</v>
      </c>
      <c r="H14" s="10">
        <f t="shared" si="7"/>
        <v>0.124248603</v>
      </c>
      <c r="I14" s="65">
        <v>0.004474840329</v>
      </c>
      <c r="J14" s="65">
        <v>0.015058036935000001</v>
      </c>
      <c r="K14" s="65">
        <v>0.012864789705159847</v>
      </c>
      <c r="L14" s="65">
        <v>0.091850936</v>
      </c>
      <c r="N14" s="66">
        <v>0.6123395733333333</v>
      </c>
      <c r="O14" s="10">
        <f t="shared" si="8"/>
        <v>0.6123395733</v>
      </c>
      <c r="Q14" s="67">
        <v>9.6591716</v>
      </c>
      <c r="S14" s="68">
        <v>0.011885954</v>
      </c>
      <c r="T14" s="68">
        <v>0.010823921</v>
      </c>
      <c r="U14" s="68">
        <v>5.252745E-4</v>
      </c>
      <c r="V14" s="68">
        <v>5.3675873E-4</v>
      </c>
      <c r="X14" s="69">
        <v>3.1587683E-5</v>
      </c>
      <c r="Y14" s="70"/>
      <c r="Z14" s="48"/>
    </row>
    <row r="15" ht="12.75" customHeight="1">
      <c r="A15" s="1" t="s">
        <v>54</v>
      </c>
      <c r="B15" s="2" t="s">
        <v>44</v>
      </c>
      <c r="C15" s="60" t="str">
        <f t="shared" si="5"/>
        <v>A.010.04.104</v>
      </c>
      <c r="D15" s="61" t="s">
        <v>50</v>
      </c>
      <c r="E15" s="62" t="s">
        <v>45</v>
      </c>
      <c r="F15" s="63" t="str">
        <f t="shared" si="6"/>
        <v>Potatoes DE</v>
      </c>
      <c r="G15" s="64">
        <v>0.010007823848665331</v>
      </c>
      <c r="H15" s="10">
        <f t="shared" si="7"/>
        <v>0.01000782385</v>
      </c>
      <c r="I15" s="65">
        <v>3.2591149680000003E-4</v>
      </c>
      <c r="J15" s="65">
        <v>0.0020968528281</v>
      </c>
      <c r="K15" s="65">
        <v>0.0016345864237653311</v>
      </c>
      <c r="L15" s="65">
        <v>0.0059504731</v>
      </c>
      <c r="N15" s="66">
        <v>0.03966982066666667</v>
      </c>
      <c r="O15" s="10">
        <f t="shared" si="8"/>
        <v>0.03966982067</v>
      </c>
      <c r="Q15" s="67">
        <v>0.59646833</v>
      </c>
      <c r="S15" s="68">
        <v>8.2591534E-4</v>
      </c>
      <c r="T15" s="68">
        <v>7.4821783E-4</v>
      </c>
      <c r="U15" s="68">
        <v>3.932522E-5</v>
      </c>
      <c r="V15" s="68">
        <v>3.8372286E-5</v>
      </c>
      <c r="X15" s="69">
        <v>2.2188615E-6</v>
      </c>
      <c r="Y15" s="70"/>
      <c r="Z15" s="48"/>
    </row>
    <row r="16" ht="12.75" customHeight="1">
      <c r="A16" s="1" t="s">
        <v>55</v>
      </c>
      <c r="B16" s="2" t="s">
        <v>44</v>
      </c>
      <c r="C16" s="60" t="str">
        <f t="shared" si="5"/>
        <v>A.010.04.105</v>
      </c>
      <c r="D16" s="61" t="s">
        <v>50</v>
      </c>
      <c r="E16" s="62" t="s">
        <v>45</v>
      </c>
      <c r="F16" s="63" t="str">
        <f t="shared" si="6"/>
        <v>Rape cake Europe</v>
      </c>
      <c r="G16" s="64">
        <v>0.1541749961110759</v>
      </c>
      <c r="H16" s="10">
        <f t="shared" si="7"/>
        <v>0.1541749961</v>
      </c>
      <c r="I16" s="65">
        <v>0.0016045358495</v>
      </c>
      <c r="J16" s="65">
        <v>0.12218257928449999</v>
      </c>
      <c r="K16" s="65">
        <v>0.0017977989770759156</v>
      </c>
      <c r="L16" s="65">
        <v>0.028590082</v>
      </c>
      <c r="N16" s="66">
        <v>0.19060054666666668</v>
      </c>
      <c r="O16" s="10">
        <f t="shared" si="8"/>
        <v>0.1906005467</v>
      </c>
      <c r="Q16" s="67">
        <v>13.938365</v>
      </c>
      <c r="S16" s="68">
        <v>0.0055543796</v>
      </c>
      <c r="T16" s="68">
        <v>0.0052271932</v>
      </c>
      <c r="U16" s="68">
        <v>2.4192486E-4</v>
      </c>
      <c r="V16" s="68">
        <v>8.526153E-5</v>
      </c>
      <c r="X16" s="69">
        <v>2.1057299E-5</v>
      </c>
      <c r="Y16" s="70"/>
      <c r="Z16" s="48"/>
    </row>
    <row r="17" ht="12.75" customHeight="1">
      <c r="A17" s="1" t="s">
        <v>56</v>
      </c>
      <c r="B17" s="2" t="s">
        <v>44</v>
      </c>
      <c r="C17" s="60" t="str">
        <f t="shared" si="5"/>
        <v>A.010.04.106</v>
      </c>
      <c r="D17" s="61" t="s">
        <v>50</v>
      </c>
      <c r="E17" s="62" t="s">
        <v>45</v>
      </c>
      <c r="F17" s="63" t="str">
        <f t="shared" si="6"/>
        <v>Soybean meal at coast Brazil</v>
      </c>
      <c r="G17" s="64">
        <v>1.6283906234899628</v>
      </c>
      <c r="H17" s="10">
        <f t="shared" si="7"/>
        <v>1.628390623</v>
      </c>
      <c r="I17" s="65">
        <v>0.0113897755</v>
      </c>
      <c r="J17" s="65">
        <v>0.64572518168</v>
      </c>
      <c r="K17" s="65">
        <v>0.019188366309962863</v>
      </c>
      <c r="L17" s="65">
        <v>0.9520873</v>
      </c>
      <c r="N17" s="66">
        <v>6.347248666666666</v>
      </c>
      <c r="O17" s="10">
        <f t="shared" si="8"/>
        <v>6.347248667</v>
      </c>
      <c r="Q17" s="67">
        <v>6.5907272</v>
      </c>
      <c r="S17" s="68">
        <v>0.10551807</v>
      </c>
      <c r="T17" s="68">
        <v>0.10026218</v>
      </c>
      <c r="U17" s="68">
        <v>0.0048781557</v>
      </c>
      <c r="V17" s="68">
        <v>3.7773423E-4</v>
      </c>
      <c r="X17" s="69">
        <v>1.9015693E-4</v>
      </c>
      <c r="Y17" s="70"/>
      <c r="Z17" s="48"/>
    </row>
    <row r="18" ht="12.75" customHeight="1">
      <c r="A18" s="1" t="s">
        <v>57</v>
      </c>
      <c r="B18" s="2" t="s">
        <v>44</v>
      </c>
      <c r="C18" s="60" t="str">
        <f t="shared" si="5"/>
        <v>A.010.04.107</v>
      </c>
      <c r="D18" s="61" t="s">
        <v>50</v>
      </c>
      <c r="E18" s="62" t="s">
        <v>45</v>
      </c>
      <c r="F18" s="63" t="str">
        <f t="shared" si="6"/>
        <v>Soybean meal at coast USA</v>
      </c>
      <c r="G18" s="64">
        <v>0.09445265706754422</v>
      </c>
      <c r="H18" s="10">
        <f t="shared" si="7"/>
        <v>0.09445265707</v>
      </c>
      <c r="I18" s="65">
        <v>0.007597680107</v>
      </c>
      <c r="J18" s="65">
        <v>0.010090824149</v>
      </c>
      <c r="K18" s="65">
        <v>0.01333120681154422</v>
      </c>
      <c r="L18" s="65">
        <v>0.063432946</v>
      </c>
      <c r="N18" s="66">
        <v>0.4228863066666667</v>
      </c>
      <c r="O18" s="10">
        <f t="shared" si="8"/>
        <v>0.4228863067</v>
      </c>
      <c r="Q18" s="67">
        <v>5.0208862</v>
      </c>
      <c r="S18" s="68">
        <v>0.0087587901</v>
      </c>
      <c r="T18" s="68">
        <v>0.0081049422</v>
      </c>
      <c r="U18" s="68">
        <v>3.7791635E-4</v>
      </c>
      <c r="V18" s="68">
        <v>2.7593158E-4</v>
      </c>
      <c r="X18" s="69">
        <v>2.2023459E-5</v>
      </c>
      <c r="Y18" s="70"/>
      <c r="Z18" s="48"/>
    </row>
    <row r="19" ht="12.75" customHeight="1">
      <c r="A19" s="1" t="s">
        <v>58</v>
      </c>
      <c r="B19" s="2" t="s">
        <v>44</v>
      </c>
      <c r="C19" s="60" t="str">
        <f t="shared" si="5"/>
        <v>A.010.04.108</v>
      </c>
      <c r="D19" s="61" t="s">
        <v>50</v>
      </c>
      <c r="E19" s="62" t="s">
        <v>45</v>
      </c>
      <c r="F19" s="63" t="str">
        <f t="shared" si="6"/>
        <v>Soybean oil - refined at coast Brazil</v>
      </c>
      <c r="G19" s="64">
        <v>1.6954350906595654</v>
      </c>
      <c r="H19" s="10">
        <f t="shared" si="7"/>
        <v>1.695435091</v>
      </c>
      <c r="I19" s="65">
        <v>0.011886271121000002</v>
      </c>
      <c r="J19" s="65">
        <v>0.67206721106</v>
      </c>
      <c r="K19" s="65">
        <v>0.020075298478565318</v>
      </c>
      <c r="L19" s="65">
        <v>0.99140631</v>
      </c>
      <c r="N19" s="66">
        <v>6.6093754</v>
      </c>
      <c r="O19" s="10">
        <f t="shared" si="8"/>
        <v>6.6093754</v>
      </c>
      <c r="Q19" s="67">
        <v>6.9351234</v>
      </c>
      <c r="S19" s="68">
        <v>0.10988633</v>
      </c>
      <c r="T19" s="68">
        <v>0.1044112</v>
      </c>
      <c r="U19" s="68">
        <v>0.0050797785</v>
      </c>
      <c r="V19" s="68">
        <v>3.9535413E-4</v>
      </c>
      <c r="X19" s="69">
        <v>1.9810167E-4</v>
      </c>
      <c r="Y19" s="70"/>
      <c r="Z19" s="48"/>
    </row>
    <row r="20" ht="12.75" customHeight="1">
      <c r="A20" s="1" t="s">
        <v>59</v>
      </c>
      <c r="B20" s="2" t="s">
        <v>44</v>
      </c>
      <c r="C20" s="60" t="str">
        <f t="shared" si="5"/>
        <v>A.010.04.109</v>
      </c>
      <c r="D20" s="61" t="s">
        <v>50</v>
      </c>
      <c r="E20" s="62" t="s">
        <v>45</v>
      </c>
      <c r="F20" s="63" t="str">
        <f t="shared" si="6"/>
        <v>Soybean oil - refined at coast USA</v>
      </c>
      <c r="G20" s="64">
        <v>0.09904890181005487</v>
      </c>
      <c r="H20" s="10">
        <f t="shared" si="7"/>
        <v>0.09904890181</v>
      </c>
      <c r="I20" s="65">
        <v>0.007939646214</v>
      </c>
      <c r="J20" s="65">
        <v>0.010556101911</v>
      </c>
      <c r="K20" s="65">
        <v>0.013979424685054868</v>
      </c>
      <c r="L20" s="65">
        <v>0.066573729</v>
      </c>
      <c r="N20" s="66">
        <v>0.44382486</v>
      </c>
      <c r="O20" s="10">
        <f t="shared" si="8"/>
        <v>0.44382486</v>
      </c>
      <c r="Q20" s="67">
        <v>5.3012727</v>
      </c>
      <c r="S20" s="68">
        <v>0.0091878163</v>
      </c>
      <c r="T20" s="68">
        <v>0.0085020872</v>
      </c>
      <c r="U20" s="68">
        <v>3.9632759E-4</v>
      </c>
      <c r="V20" s="68">
        <v>2.8940152E-4</v>
      </c>
      <c r="X20" s="69">
        <v>2.3123075E-5</v>
      </c>
      <c r="Y20" s="70"/>
      <c r="Z20" s="48"/>
    </row>
    <row r="21" ht="12.75" customHeight="1">
      <c r="A21" s="1" t="s">
        <v>60</v>
      </c>
      <c r="B21" s="2" t="s">
        <v>44</v>
      </c>
      <c r="C21" s="60" t="str">
        <f t="shared" si="5"/>
        <v>A.010.04.110</v>
      </c>
      <c r="D21" s="61" t="s">
        <v>50</v>
      </c>
      <c r="E21" s="62" t="s">
        <v>45</v>
      </c>
      <c r="F21" s="63" t="str">
        <f t="shared" si="6"/>
        <v>Soybeans grain - harvested and transported to coast Brazil</v>
      </c>
      <c r="G21" s="64">
        <v>1.5674097814457788</v>
      </c>
      <c r="H21" s="10">
        <f t="shared" si="7"/>
        <v>1.567409781</v>
      </c>
      <c r="I21" s="65">
        <v>0.007079828582999999</v>
      </c>
      <c r="J21" s="65">
        <v>0.63010554145</v>
      </c>
      <c r="K21" s="65">
        <v>0.017845981412778763</v>
      </c>
      <c r="L21" s="65">
        <v>0.91237843</v>
      </c>
      <c r="N21" s="66">
        <v>6.082522866666666</v>
      </c>
      <c r="O21" s="10">
        <f t="shared" si="8"/>
        <v>6.082522867</v>
      </c>
      <c r="Q21" s="67">
        <v>4.3895827</v>
      </c>
      <c r="S21" s="68">
        <v>0.10047734</v>
      </c>
      <c r="T21" s="68">
        <v>0.095540183</v>
      </c>
      <c r="U21" s="68">
        <v>0.004656698</v>
      </c>
      <c r="V21" s="68">
        <v>2.8046124E-4</v>
      </c>
      <c r="X21" s="69">
        <v>1.7859686E-4</v>
      </c>
      <c r="Y21" s="70"/>
      <c r="Z21" s="48"/>
    </row>
    <row r="22" ht="12.75" customHeight="1">
      <c r="A22" s="1" t="s">
        <v>61</v>
      </c>
      <c r="B22" s="2" t="s">
        <v>44</v>
      </c>
      <c r="C22" s="60" t="str">
        <f t="shared" si="5"/>
        <v>A.010.04.111</v>
      </c>
      <c r="D22" s="61" t="s">
        <v>50</v>
      </c>
      <c r="E22" s="62" t="s">
        <v>45</v>
      </c>
      <c r="F22" s="63" t="str">
        <f t="shared" si="6"/>
        <v>Soybeans grain - harvested and transported to coast USA</v>
      </c>
      <c r="G22" s="64">
        <v>0.06402573632256629</v>
      </c>
      <c r="H22" s="10">
        <f t="shared" si="7"/>
        <v>0.06402573632</v>
      </c>
      <c r="I22" s="65">
        <v>0.003363125789</v>
      </c>
      <c r="J22" s="65">
        <v>0.007132700437000001</v>
      </c>
      <c r="K22" s="65">
        <v>0.012105241096566298</v>
      </c>
      <c r="L22" s="65">
        <v>0.041424669</v>
      </c>
      <c r="N22" s="66">
        <v>0.27616446</v>
      </c>
      <c r="O22" s="10">
        <f t="shared" si="8"/>
        <v>0.27616446</v>
      </c>
      <c r="Q22" s="67">
        <v>2.8509167</v>
      </c>
      <c r="S22" s="68">
        <v>0.0056453167</v>
      </c>
      <c r="T22" s="68">
        <v>0.0052185402</v>
      </c>
      <c r="U22" s="68">
        <v>2.460952E-4</v>
      </c>
      <c r="V22" s="68">
        <v>1.8068121E-4</v>
      </c>
      <c r="X22" s="69">
        <v>1.381215E-5</v>
      </c>
      <c r="Y22" s="70"/>
      <c r="Z22" s="48"/>
    </row>
    <row r="23" ht="12.75" customHeight="1">
      <c r="A23" s="1" t="s">
        <v>62</v>
      </c>
      <c r="B23" s="2" t="s">
        <v>44</v>
      </c>
      <c r="C23" s="60" t="str">
        <f t="shared" si="5"/>
        <v>A.010.04.112</v>
      </c>
      <c r="D23" s="61" t="s">
        <v>50</v>
      </c>
      <c r="E23" s="62" t="s">
        <v>45</v>
      </c>
      <c r="F23" s="63" t="str">
        <f t="shared" si="6"/>
        <v>Soybean oil crude - degummed at coast Brazil</v>
      </c>
      <c r="G23" s="64">
        <v>1.6295019918618898</v>
      </c>
      <c r="H23" s="10">
        <f t="shared" si="7"/>
        <v>1.629501992</v>
      </c>
      <c r="I23" s="65">
        <v>0.011397549029</v>
      </c>
      <c r="J23" s="65">
        <v>0.6461658804</v>
      </c>
      <c r="K23" s="65">
        <v>0.01920146243288973</v>
      </c>
      <c r="L23" s="65">
        <v>0.9527371</v>
      </c>
      <c r="N23" s="66">
        <v>6.351580666666667</v>
      </c>
      <c r="O23" s="10">
        <f t="shared" si="8"/>
        <v>6.351580667</v>
      </c>
      <c r="Q23" s="67">
        <v>6.5952253</v>
      </c>
      <c r="S23" s="68">
        <v>0.10559009</v>
      </c>
      <c r="T23" s="68">
        <v>0.10033061</v>
      </c>
      <c r="U23" s="68">
        <v>0.0048814851</v>
      </c>
      <c r="V23" s="68">
        <v>3.7799203E-4</v>
      </c>
      <c r="X23" s="69">
        <v>1.9028671E-4</v>
      </c>
      <c r="Y23" s="70"/>
      <c r="Z23" s="48"/>
    </row>
    <row r="24" ht="12.75" customHeight="1">
      <c r="A24" s="1" t="s">
        <v>63</v>
      </c>
      <c r="B24" s="2" t="s">
        <v>44</v>
      </c>
      <c r="C24" s="60" t="str">
        <f t="shared" si="5"/>
        <v>A.010.04.113</v>
      </c>
      <c r="D24" s="61" t="s">
        <v>50</v>
      </c>
      <c r="E24" s="62" t="s">
        <v>45</v>
      </c>
      <c r="F24" s="63" t="str">
        <f t="shared" si="6"/>
        <v>Soybean oil, crude - degummed at coast USA</v>
      </c>
      <c r="G24" s="64">
        <v>0.09451527924569814</v>
      </c>
      <c r="H24" s="10">
        <f t="shared" si="7"/>
        <v>0.09451527925</v>
      </c>
      <c r="I24" s="65">
        <v>0.0076027173480000005</v>
      </c>
      <c r="J24" s="65">
        <v>0.010097514376999999</v>
      </c>
      <c r="K24" s="65">
        <v>0.013340045520698141</v>
      </c>
      <c r="L24" s="65">
        <v>0.063475002</v>
      </c>
      <c r="N24" s="66">
        <v>0.42316668</v>
      </c>
      <c r="O24" s="10">
        <f t="shared" si="8"/>
        <v>0.42316668</v>
      </c>
      <c r="Q24" s="67">
        <v>5.0242151</v>
      </c>
      <c r="S24" s="68">
        <v>0.0087645972</v>
      </c>
      <c r="T24" s="68">
        <v>0.0081103157</v>
      </c>
      <c r="U24" s="68">
        <v>3.781669E-4</v>
      </c>
      <c r="V24" s="68">
        <v>2.7611453E-4</v>
      </c>
      <c r="X24" s="69">
        <v>2.2038061E-5</v>
      </c>
      <c r="Y24" s="70"/>
      <c r="Z24" s="48"/>
    </row>
    <row r="25" ht="12.75" customHeight="1">
      <c r="B25" s="2"/>
      <c r="C25" s="60"/>
      <c r="D25" s="59" t="s">
        <v>64</v>
      </c>
      <c r="E25" s="62"/>
      <c r="G25" s="10"/>
      <c r="H25" s="10"/>
      <c r="I25" s="10"/>
      <c r="J25" s="10"/>
      <c r="K25" s="10"/>
      <c r="L25" s="10"/>
      <c r="N25" s="10"/>
      <c r="O25" s="10"/>
      <c r="Q25" s="67"/>
      <c r="Y25" s="71"/>
      <c r="Z25" s="48"/>
    </row>
    <row r="26" ht="12.75" customHeight="1">
      <c r="A26" s="1" t="s">
        <v>65</v>
      </c>
      <c r="B26" s="2" t="s">
        <v>44</v>
      </c>
      <c r="C26" s="60" t="str">
        <f t="shared" ref="C26:C29" si="9">MID(A26,1,12)</f>
        <v>A.010.06.101</v>
      </c>
      <c r="D26" s="61" t="s">
        <v>64</v>
      </c>
      <c r="E26" s="62" t="s">
        <v>45</v>
      </c>
      <c r="F26" s="63" t="str">
        <f t="shared" ref="F26:F29" si="10">MID(A26, 21,85)</f>
        <v>Palm oil in Rotterdam</v>
      </c>
      <c r="G26" s="64">
        <v>0.8133336024554045</v>
      </c>
      <c r="H26" s="10">
        <f t="shared" ref="H26:H29" si="11">G26</f>
        <v>0.8133336025</v>
      </c>
      <c r="I26" s="65">
        <v>0.009075526637999999</v>
      </c>
      <c r="J26" s="65">
        <v>0.62994057398</v>
      </c>
      <c r="K26" s="65">
        <v>0.022340181837404466</v>
      </c>
      <c r="L26" s="65">
        <v>0.15197732</v>
      </c>
      <c r="N26" s="66">
        <v>1.0131821333333333</v>
      </c>
      <c r="O26" s="10">
        <f t="shared" ref="O26:O29" si="12">N26</f>
        <v>1.013182133</v>
      </c>
      <c r="Q26" s="67">
        <v>44.733974</v>
      </c>
      <c r="S26" s="68">
        <v>0.024655168</v>
      </c>
      <c r="T26" s="68">
        <v>0.023387579</v>
      </c>
      <c r="U26" s="68">
        <v>0.0010025635</v>
      </c>
      <c r="V26" s="68">
        <v>2.6502557E-4</v>
      </c>
      <c r="X26" s="69">
        <v>4.1977855E-5</v>
      </c>
      <c r="Y26" s="70"/>
      <c r="Z26" s="48"/>
    </row>
    <row r="27" ht="12.75" customHeight="1">
      <c r="A27" s="1" t="s">
        <v>66</v>
      </c>
      <c r="B27" s="2" t="s">
        <v>44</v>
      </c>
      <c r="C27" s="60" t="str">
        <f t="shared" si="9"/>
        <v>A.010.06.102</v>
      </c>
      <c r="D27" s="61" t="s">
        <v>64</v>
      </c>
      <c r="E27" s="62" t="s">
        <v>45</v>
      </c>
      <c r="F27" s="63" t="str">
        <f t="shared" si="10"/>
        <v>Rape oil Europe</v>
      </c>
      <c r="G27" s="64">
        <v>0.4772854287776324</v>
      </c>
      <c r="H27" s="10">
        <f t="shared" si="11"/>
        <v>0.4772854288</v>
      </c>
      <c r="I27" s="65">
        <v>0.004967223183999999</v>
      </c>
      <c r="J27" s="65">
        <v>0.378245278493</v>
      </c>
      <c r="K27" s="65">
        <v>0.005565515100632434</v>
      </c>
      <c r="L27" s="65">
        <v>0.088507412</v>
      </c>
      <c r="N27" s="66">
        <v>0.5900494133333333</v>
      </c>
      <c r="O27" s="10">
        <f t="shared" si="12"/>
        <v>0.5900494133</v>
      </c>
      <c r="Q27" s="67">
        <v>43.149531</v>
      </c>
      <c r="S27" s="68">
        <v>0.017194906</v>
      </c>
      <c r="T27" s="68">
        <v>0.016182022</v>
      </c>
      <c r="U27" s="68">
        <v>7.4893606E-4</v>
      </c>
      <c r="V27" s="68">
        <v>2.6394738E-4</v>
      </c>
      <c r="X27" s="69">
        <v>6.5187888E-5</v>
      </c>
      <c r="Y27" s="70"/>
      <c r="Z27" s="48"/>
    </row>
    <row r="28" ht="12.75" customHeight="1">
      <c r="A28" s="1" t="s">
        <v>67</v>
      </c>
      <c r="B28" s="2" t="s">
        <v>44</v>
      </c>
      <c r="C28" s="60" t="str">
        <f t="shared" si="9"/>
        <v>A.010.06.103</v>
      </c>
      <c r="D28" s="61" t="s">
        <v>64</v>
      </c>
      <c r="E28" s="62" t="s">
        <v>45</v>
      </c>
      <c r="F28" s="63" t="str">
        <f t="shared" si="10"/>
        <v>Soybean oil from Brazil in Rotterdam</v>
      </c>
      <c r="G28" s="64">
        <v>1.710877189555922</v>
      </c>
      <c r="H28" s="10">
        <f t="shared" si="11"/>
        <v>1.71087719</v>
      </c>
      <c r="I28" s="65">
        <v>0.012475706972000001</v>
      </c>
      <c r="J28" s="65">
        <v>0.6741013769</v>
      </c>
      <c r="K28" s="65">
        <v>0.024635675683922078</v>
      </c>
      <c r="L28" s="65">
        <v>0.99966443</v>
      </c>
      <c r="N28" s="66">
        <v>6.664429533333334</v>
      </c>
      <c r="O28" s="10">
        <f t="shared" si="12"/>
        <v>6.664429533</v>
      </c>
      <c r="Q28" s="67">
        <v>46.716854</v>
      </c>
      <c r="S28" s="68">
        <v>0.11131188</v>
      </c>
      <c r="T28" s="68">
        <v>0.10573172</v>
      </c>
      <c r="U28" s="68">
        <v>0.0051311677</v>
      </c>
      <c r="V28" s="68">
        <v>4.4898355E-4</v>
      </c>
      <c r="X28" s="69">
        <v>2.0112155E-4</v>
      </c>
      <c r="Y28" s="70"/>
      <c r="Z28" s="48"/>
    </row>
    <row r="29" ht="12.75" customHeight="1">
      <c r="A29" s="1" t="s">
        <v>68</v>
      </c>
      <c r="B29" s="2" t="s">
        <v>44</v>
      </c>
      <c r="C29" s="60" t="str">
        <f t="shared" si="9"/>
        <v>A.010.06.104</v>
      </c>
      <c r="D29" s="61" t="s">
        <v>64</v>
      </c>
      <c r="E29" s="62" t="s">
        <v>45</v>
      </c>
      <c r="F29" s="63" t="str">
        <f t="shared" si="10"/>
        <v>Soybean oil from USA in Rotterdam</v>
      </c>
      <c r="G29" s="64">
        <v>0.11203308444341162</v>
      </c>
      <c r="H29" s="10">
        <f t="shared" si="11"/>
        <v>0.1120330844</v>
      </c>
      <c r="I29" s="65">
        <v>0.008501814168000003</v>
      </c>
      <c r="J29" s="65">
        <v>0.012274682079000001</v>
      </c>
      <c r="K29" s="65">
        <v>0.017765682196411628</v>
      </c>
      <c r="L29" s="65">
        <v>0.073490906</v>
      </c>
      <c r="N29" s="66">
        <v>0.4899393733333333</v>
      </c>
      <c r="O29" s="10">
        <f t="shared" si="12"/>
        <v>0.4899393733</v>
      </c>
      <c r="Q29" s="67">
        <v>44.965587</v>
      </c>
      <c r="S29" s="68">
        <v>0.010367756</v>
      </c>
      <c r="T29" s="68">
        <v>0.0095937144</v>
      </c>
      <c r="U29" s="68">
        <v>4.3920724E-4</v>
      </c>
      <c r="V29" s="68">
        <v>3.3483459E-4</v>
      </c>
      <c r="X29" s="69">
        <v>2.5663352E-5</v>
      </c>
      <c r="Y29" s="70"/>
      <c r="Z29" s="48"/>
    </row>
    <row r="30" ht="12.75" customHeight="1">
      <c r="B30" s="2"/>
      <c r="C30" s="60"/>
      <c r="D30" s="59" t="s">
        <v>69</v>
      </c>
      <c r="E30" s="62"/>
      <c r="G30" s="10"/>
      <c r="H30" s="10"/>
      <c r="I30" s="10"/>
      <c r="J30" s="10"/>
      <c r="K30" s="10"/>
      <c r="L30" s="10"/>
      <c r="N30" s="10"/>
      <c r="O30" s="10"/>
      <c r="Q30" s="67"/>
      <c r="Y30" s="71"/>
      <c r="Z30" s="72"/>
    </row>
    <row r="31" ht="12.75" customHeight="1">
      <c r="A31" s="1" t="s">
        <v>70</v>
      </c>
      <c r="B31" s="2" t="s">
        <v>44</v>
      </c>
      <c r="C31" s="60" t="str">
        <f t="shared" ref="C31:C47" si="13">MID(A31,1,12)</f>
        <v>A.010.08.101</v>
      </c>
      <c r="D31" s="61" t="s">
        <v>69</v>
      </c>
      <c r="E31" s="62" t="s">
        <v>45</v>
      </c>
      <c r="F31" s="63" t="str">
        <f t="shared" ref="F31:F47" si="14">MID(A31, 21,85)</f>
        <v>bio-Cotton China</v>
      </c>
      <c r="G31" s="64">
        <v>0.9602642565811987</v>
      </c>
      <c r="H31" s="10">
        <f t="shared" ref="H31:H46" si="15">G31</f>
        <v>0.9602642566</v>
      </c>
      <c r="I31" s="65">
        <v>0.0031214976368</v>
      </c>
      <c r="J31" s="65">
        <v>0.00514832425</v>
      </c>
      <c r="K31" s="65">
        <v>0.9113217246943986</v>
      </c>
      <c r="L31" s="65">
        <v>0.04067271</v>
      </c>
      <c r="N31" s="66">
        <v>0.27115140000000004</v>
      </c>
      <c r="O31" s="10">
        <f t="shared" ref="O31:O46" si="16">N31</f>
        <v>0.2711514</v>
      </c>
      <c r="Q31" s="67">
        <v>4.9182504</v>
      </c>
      <c r="S31" s="68">
        <v>0.033370804</v>
      </c>
      <c r="T31" s="68">
        <v>0.030474303</v>
      </c>
      <c r="U31" s="68">
        <v>0.0027283535</v>
      </c>
      <c r="V31" s="68">
        <v>1.6814793E-4</v>
      </c>
      <c r="X31" s="69">
        <v>6.5021913E-4</v>
      </c>
      <c r="Y31" s="70"/>
      <c r="Z31" s="72"/>
    </row>
    <row r="32" ht="12.75" customHeight="1">
      <c r="A32" s="1" t="s">
        <v>71</v>
      </c>
      <c r="B32" s="2" t="s">
        <v>44</v>
      </c>
      <c r="C32" s="60" t="str">
        <f t="shared" si="13"/>
        <v>A.010.08.102</v>
      </c>
      <c r="D32" s="61" t="s">
        <v>69</v>
      </c>
      <c r="E32" s="62" t="s">
        <v>45</v>
      </c>
      <c r="F32" s="63" t="str">
        <f t="shared" si="14"/>
        <v>bio-Cotton India</v>
      </c>
      <c r="G32" s="64">
        <v>0.8902096870813986</v>
      </c>
      <c r="H32" s="10">
        <f t="shared" si="15"/>
        <v>0.8902096871</v>
      </c>
      <c r="I32" s="65">
        <v>0.0036975708</v>
      </c>
      <c r="J32" s="65">
        <v>0.006351276397</v>
      </c>
      <c r="K32" s="65">
        <v>0.8259446108843986</v>
      </c>
      <c r="L32" s="65">
        <v>0.054216229</v>
      </c>
      <c r="N32" s="66">
        <v>0.3614415266666667</v>
      </c>
      <c r="O32" s="10">
        <f t="shared" si="16"/>
        <v>0.3614415267</v>
      </c>
      <c r="Q32" s="67">
        <v>6.4624691</v>
      </c>
      <c r="S32" s="68">
        <v>0.032247307</v>
      </c>
      <c r="T32" s="68">
        <v>0.029464243</v>
      </c>
      <c r="U32" s="68">
        <v>0.0025466429</v>
      </c>
      <c r="V32" s="68">
        <v>2.3642141E-4</v>
      </c>
      <c r="X32" s="69">
        <v>5.9037215E-4</v>
      </c>
      <c r="Y32" s="70"/>
      <c r="Z32" s="72"/>
    </row>
    <row r="33" ht="12.75" customHeight="1">
      <c r="A33" s="1" t="s">
        <v>72</v>
      </c>
      <c r="B33" s="2" t="s">
        <v>44</v>
      </c>
      <c r="C33" s="60" t="str">
        <f t="shared" si="13"/>
        <v>A.010.08.103</v>
      </c>
      <c r="D33" s="61" t="s">
        <v>69</v>
      </c>
      <c r="E33" s="62" t="s">
        <v>45</v>
      </c>
      <c r="F33" s="63" t="str">
        <f t="shared" si="14"/>
        <v>bio-Cotton USA</v>
      </c>
      <c r="G33" s="64">
        <v>0.9967368137213986</v>
      </c>
      <c r="H33" s="10">
        <f t="shared" si="15"/>
        <v>0.9967368137</v>
      </c>
      <c r="I33" s="65">
        <v>0.006002806497</v>
      </c>
      <c r="J33" s="65">
        <v>0.011145808620000001</v>
      </c>
      <c r="K33" s="65">
        <v>0.8712109986043985</v>
      </c>
      <c r="L33" s="65">
        <v>0.1083772</v>
      </c>
      <c r="N33" s="66">
        <v>0.7225146666666667</v>
      </c>
      <c r="O33" s="10">
        <f t="shared" si="16"/>
        <v>0.7225146667</v>
      </c>
      <c r="Q33" s="67">
        <v>12.999104</v>
      </c>
      <c r="S33" s="68">
        <v>0.048171375</v>
      </c>
      <c r="T33" s="68">
        <v>0.044435553</v>
      </c>
      <c r="U33" s="68">
        <v>0.0033004606</v>
      </c>
      <c r="V33" s="68">
        <v>4.3536085E-4</v>
      </c>
      <c r="X33" s="69">
        <v>5.2122051E-4</v>
      </c>
      <c r="Y33" s="70"/>
      <c r="Z33" s="72"/>
    </row>
    <row r="34" ht="12.75" customHeight="1">
      <c r="A34" s="1" t="s">
        <v>73</v>
      </c>
      <c r="B34" s="2" t="s">
        <v>44</v>
      </c>
      <c r="C34" s="60" t="str">
        <f t="shared" si="13"/>
        <v>A.010.08.104</v>
      </c>
      <c r="D34" s="61" t="s">
        <v>69</v>
      </c>
      <c r="E34" s="62" t="s">
        <v>45</v>
      </c>
      <c r="F34" s="63" t="str">
        <f t="shared" si="14"/>
        <v>Cotton China</v>
      </c>
      <c r="G34" s="64">
        <v>1.027393909532442</v>
      </c>
      <c r="H34" s="10">
        <f t="shared" si="15"/>
        <v>1.02739391</v>
      </c>
      <c r="I34" s="65">
        <v>0.006210787804000001</v>
      </c>
      <c r="J34" s="65">
        <v>0.014664498374</v>
      </c>
      <c r="K34" s="65">
        <v>0.913726912354442</v>
      </c>
      <c r="L34" s="65">
        <v>0.092791711</v>
      </c>
      <c r="N34" s="66">
        <v>0.6186114066666667</v>
      </c>
      <c r="O34" s="10">
        <f t="shared" si="16"/>
        <v>0.6186114067</v>
      </c>
      <c r="Q34" s="67">
        <v>9.9449426</v>
      </c>
      <c r="S34" s="68">
        <v>0.040854751</v>
      </c>
      <c r="T34" s="68">
        <v>0.03734273</v>
      </c>
      <c r="U34" s="68">
        <v>0.0030229946</v>
      </c>
      <c r="V34" s="68">
        <v>4.8902641E-4</v>
      </c>
      <c r="X34" s="69">
        <v>6.6852151E-4</v>
      </c>
      <c r="Y34" s="70"/>
      <c r="Z34" s="72"/>
    </row>
    <row r="35" ht="12.75" customHeight="1">
      <c r="A35" s="1" t="s">
        <v>74</v>
      </c>
      <c r="B35" s="2" t="s">
        <v>44</v>
      </c>
      <c r="C35" s="60" t="str">
        <f t="shared" si="13"/>
        <v>A.010.08.105</v>
      </c>
      <c r="D35" s="61" t="s">
        <v>69</v>
      </c>
      <c r="E35" s="62" t="s">
        <v>45</v>
      </c>
      <c r="F35" s="63" t="str">
        <f t="shared" si="14"/>
        <v>Cotton India</v>
      </c>
      <c r="G35" s="64">
        <v>1.0209735002974862</v>
      </c>
      <c r="H35" s="10">
        <f t="shared" si="15"/>
        <v>1.0209735</v>
      </c>
      <c r="I35" s="65">
        <v>0.009664907069</v>
      </c>
      <c r="J35" s="65">
        <v>0.026264580294</v>
      </c>
      <c r="K35" s="65">
        <v>0.8307333829344863</v>
      </c>
      <c r="L35" s="65">
        <v>0.15431063</v>
      </c>
      <c r="N35" s="66">
        <v>1.0287375333333335</v>
      </c>
      <c r="O35" s="10">
        <f t="shared" si="16"/>
        <v>1.028737533</v>
      </c>
      <c r="Q35" s="67">
        <v>16.112352</v>
      </c>
      <c r="S35" s="68">
        <v>0.04667532</v>
      </c>
      <c r="T35" s="68">
        <v>0.042709533</v>
      </c>
      <c r="U35" s="68">
        <v>0.0031135885</v>
      </c>
      <c r="V35" s="68">
        <v>8.5219808E-4</v>
      </c>
      <c r="X35" s="69">
        <v>6.2574197E-4</v>
      </c>
      <c r="Y35" s="70"/>
      <c r="Z35" s="72"/>
    </row>
    <row r="36" ht="12.75" customHeight="1">
      <c r="A36" s="1" t="s">
        <v>75</v>
      </c>
      <c r="B36" s="2" t="s">
        <v>44</v>
      </c>
      <c r="C36" s="60" t="str">
        <f t="shared" si="13"/>
        <v>A.010.08.106</v>
      </c>
      <c r="D36" s="61" t="s">
        <v>69</v>
      </c>
      <c r="E36" s="62" t="s">
        <v>45</v>
      </c>
      <c r="F36" s="63" t="str">
        <f t="shared" si="14"/>
        <v>Cotton trade mix China - India - USA</v>
      </c>
      <c r="G36" s="64">
        <v>1.042723041195465</v>
      </c>
      <c r="H36" s="10">
        <f t="shared" si="15"/>
        <v>1.042723041</v>
      </c>
      <c r="I36" s="65">
        <v>0.008665631088999998</v>
      </c>
      <c r="J36" s="65">
        <v>0.021895495582</v>
      </c>
      <c r="K36" s="65">
        <v>0.8716742645244651</v>
      </c>
      <c r="L36" s="65">
        <v>0.14048765</v>
      </c>
      <c r="N36" s="66">
        <v>0.9365843333333334</v>
      </c>
      <c r="O36" s="10">
        <f t="shared" si="16"/>
        <v>0.9365843333</v>
      </c>
      <c r="Q36" s="67">
        <v>15.041039</v>
      </c>
      <c r="S36" s="68">
        <v>0.04785819</v>
      </c>
      <c r="T36" s="68">
        <v>0.043877873</v>
      </c>
      <c r="U36" s="68">
        <v>0.0032427664</v>
      </c>
      <c r="V36" s="68">
        <v>7.375501E-4</v>
      </c>
      <c r="X36" s="69">
        <v>6.207645E-4</v>
      </c>
      <c r="Y36" s="70"/>
      <c r="Z36" s="72"/>
    </row>
    <row r="37" ht="12.75" customHeight="1">
      <c r="A37" s="1" t="s">
        <v>76</v>
      </c>
      <c r="B37" s="2" t="s">
        <v>44</v>
      </c>
      <c r="C37" s="60" t="str">
        <f t="shared" si="13"/>
        <v>A.010.08.107</v>
      </c>
      <c r="D37" s="61" t="s">
        <v>69</v>
      </c>
      <c r="E37" s="62" t="s">
        <v>45</v>
      </c>
      <c r="F37" s="63" t="str">
        <f t="shared" si="14"/>
        <v>Cotton USA</v>
      </c>
      <c r="G37" s="64">
        <v>1.0958592444474653</v>
      </c>
      <c r="H37" s="10">
        <f t="shared" si="15"/>
        <v>1.095859244</v>
      </c>
      <c r="I37" s="65">
        <v>0.010537739233</v>
      </c>
      <c r="J37" s="65">
        <v>0.02529898213</v>
      </c>
      <c r="K37" s="65">
        <v>0.8748802330844654</v>
      </c>
      <c r="L37" s="65">
        <v>0.18514229</v>
      </c>
      <c r="N37" s="66">
        <v>1.2342819333333332</v>
      </c>
      <c r="O37" s="10">
        <f t="shared" si="16"/>
        <v>1.234281933</v>
      </c>
      <c r="Q37" s="67">
        <v>20.412803</v>
      </c>
      <c r="S37" s="68">
        <v>0.059172135</v>
      </c>
      <c r="T37" s="68">
        <v>0.054530899</v>
      </c>
      <c r="U37" s="68">
        <v>0.0037341222</v>
      </c>
      <c r="V37" s="68">
        <v>9.0711331E-4</v>
      </c>
      <c r="X37" s="69">
        <v>5.4818731E-4</v>
      </c>
      <c r="Y37" s="70"/>
      <c r="Z37" s="72"/>
    </row>
    <row r="38" ht="12.75" customHeight="1">
      <c r="A38" s="1" t="s">
        <v>77</v>
      </c>
      <c r="B38" s="2" t="s">
        <v>44</v>
      </c>
      <c r="C38" s="60" t="str">
        <f t="shared" si="13"/>
        <v>A.010.08.108</v>
      </c>
      <c r="D38" s="61" t="s">
        <v>69</v>
      </c>
      <c r="E38" s="62" t="s">
        <v>45</v>
      </c>
      <c r="F38" s="63" t="str">
        <f t="shared" si="14"/>
        <v>Jute fibres  Bangladesh - rainfed</v>
      </c>
      <c r="G38" s="64">
        <v>0.1939376893093176</v>
      </c>
      <c r="H38" s="10">
        <f t="shared" si="15"/>
        <v>0.1939376893</v>
      </c>
      <c r="I38" s="65">
        <v>0.005732515466</v>
      </c>
      <c r="J38" s="65">
        <v>0.029387826303999998</v>
      </c>
      <c r="K38" s="65">
        <v>0.016089987539317608</v>
      </c>
      <c r="L38" s="65">
        <v>0.14272736</v>
      </c>
      <c r="N38" s="66">
        <v>0.9515157333333334</v>
      </c>
      <c r="O38" s="10">
        <f t="shared" si="16"/>
        <v>0.9515157333</v>
      </c>
      <c r="Q38" s="67">
        <v>3.8810232</v>
      </c>
      <c r="S38" s="68">
        <v>0.022510742</v>
      </c>
      <c r="T38" s="68">
        <v>0.021339397</v>
      </c>
      <c r="U38" s="68">
        <v>9.2244053E-4</v>
      </c>
      <c r="V38" s="68">
        <v>2.489038E-4</v>
      </c>
      <c r="X38" s="69">
        <v>3.7892545E-5</v>
      </c>
      <c r="Y38" s="70"/>
      <c r="Z38" s="72"/>
    </row>
    <row r="39" ht="12.75" customHeight="1">
      <c r="A39" s="1" t="s">
        <v>78</v>
      </c>
      <c r="B39" s="2" t="s">
        <v>44</v>
      </c>
      <c r="C39" s="60" t="str">
        <f t="shared" si="13"/>
        <v>A.010.08.109</v>
      </c>
      <c r="D39" s="61" t="s">
        <v>69</v>
      </c>
      <c r="E39" s="62" t="s">
        <v>45</v>
      </c>
      <c r="F39" s="63" t="str">
        <f t="shared" si="14"/>
        <v>Jute fibres trade mix</v>
      </c>
      <c r="G39" s="64">
        <v>0.2882098904093176</v>
      </c>
      <c r="H39" s="10">
        <f t="shared" si="15"/>
        <v>0.2882098904</v>
      </c>
      <c r="I39" s="65">
        <v>0.005732515466</v>
      </c>
      <c r="J39" s="65">
        <v>0.029387826303999998</v>
      </c>
      <c r="K39" s="65">
        <v>0.11036218863931761</v>
      </c>
      <c r="L39" s="65">
        <v>0.14272736</v>
      </c>
      <c r="N39" s="66">
        <v>0.9515157333333334</v>
      </c>
      <c r="O39" s="10">
        <f t="shared" si="16"/>
        <v>0.9515157333</v>
      </c>
      <c r="Q39" s="67">
        <v>3.8810232</v>
      </c>
      <c r="S39" s="68">
        <v>0.022498209</v>
      </c>
      <c r="T39" s="68">
        <v>0.021125632</v>
      </c>
      <c r="U39" s="68">
        <v>0.0011236733</v>
      </c>
      <c r="V39" s="68">
        <v>2.489038E-4</v>
      </c>
      <c r="X39" s="69">
        <v>6.6356292E-5</v>
      </c>
      <c r="Y39" s="70"/>
      <c r="Z39" s="72"/>
    </row>
    <row r="40" ht="12.75" customHeight="1">
      <c r="A40" s="1" t="s">
        <v>79</v>
      </c>
      <c r="B40" s="2" t="s">
        <v>44</v>
      </c>
      <c r="C40" s="60" t="str">
        <f t="shared" si="13"/>
        <v>A.010.08.110</v>
      </c>
      <c r="D40" s="61" t="s">
        <v>69</v>
      </c>
      <c r="E40" s="62" t="s">
        <v>45</v>
      </c>
      <c r="F40" s="63" t="str">
        <f t="shared" si="14"/>
        <v>Jute fibres Bangladesh</v>
      </c>
      <c r="G40" s="64">
        <v>0.2385964174093176</v>
      </c>
      <c r="H40" s="10">
        <f t="shared" si="15"/>
        <v>0.2385964174</v>
      </c>
      <c r="I40" s="65">
        <v>0.005732515466</v>
      </c>
      <c r="J40" s="65">
        <v>0.029387826303999998</v>
      </c>
      <c r="K40" s="65">
        <v>0.06074871563931761</v>
      </c>
      <c r="L40" s="65">
        <v>0.14272736</v>
      </c>
      <c r="N40" s="66">
        <v>0.9515157333333334</v>
      </c>
      <c r="O40" s="10">
        <f t="shared" si="16"/>
        <v>0.9515157333</v>
      </c>
      <c r="Q40" s="67">
        <v>3.8810232</v>
      </c>
      <c r="S40" s="68">
        <v>0.042378843</v>
      </c>
      <c r="T40" s="68">
        <v>0.040856627</v>
      </c>
      <c r="U40" s="68">
        <v>0.0012733122</v>
      </c>
      <c r="V40" s="68">
        <v>2.489038E-4</v>
      </c>
      <c r="X40" s="69">
        <v>4.8712085E-5</v>
      </c>
      <c r="Y40" s="70"/>
      <c r="Z40" s="72"/>
    </row>
    <row r="41" ht="12.75" customHeight="1">
      <c r="A41" s="1" t="s">
        <v>80</v>
      </c>
      <c r="B41" s="2" t="s">
        <v>44</v>
      </c>
      <c r="C41" s="60" t="str">
        <f t="shared" si="13"/>
        <v>A.010.08.111</v>
      </c>
      <c r="D41" s="61" t="s">
        <v>69</v>
      </c>
      <c r="E41" s="62" t="s">
        <v>45</v>
      </c>
      <c r="F41" s="63" t="str">
        <f t="shared" si="14"/>
        <v>Jute fibres India</v>
      </c>
      <c r="G41" s="64">
        <v>0.6892911304093177</v>
      </c>
      <c r="H41" s="10">
        <f t="shared" si="15"/>
        <v>0.6892911304</v>
      </c>
      <c r="I41" s="65">
        <v>0.005732515466</v>
      </c>
      <c r="J41" s="65">
        <v>0.029387826303999998</v>
      </c>
      <c r="K41" s="65">
        <v>0.5114434286393177</v>
      </c>
      <c r="L41" s="65">
        <v>0.14272736</v>
      </c>
      <c r="N41" s="66">
        <v>0.9515157333333334</v>
      </c>
      <c r="O41" s="10">
        <f t="shared" si="16"/>
        <v>0.9515157333</v>
      </c>
      <c r="Q41" s="67">
        <v>3.8810232</v>
      </c>
      <c r="S41" s="68">
        <v>0.021066568</v>
      </c>
      <c r="T41" s="68">
        <v>0.018855569</v>
      </c>
      <c r="U41" s="68">
        <v>0.0019620955</v>
      </c>
      <c r="V41" s="68">
        <v>2.489038E-4</v>
      </c>
      <c r="X41" s="69">
        <v>1.8764012E-4</v>
      </c>
      <c r="Y41" s="70"/>
      <c r="Z41" s="72"/>
    </row>
    <row r="42" ht="12.75" customHeight="1">
      <c r="A42" s="1" t="s">
        <v>81</v>
      </c>
      <c r="B42" s="2" t="s">
        <v>44</v>
      </c>
      <c r="C42" s="60" t="str">
        <f t="shared" si="13"/>
        <v>A.010.08.112</v>
      </c>
      <c r="D42" s="61" t="s">
        <v>69</v>
      </c>
      <c r="E42" s="62" t="s">
        <v>45</v>
      </c>
      <c r="F42" s="63" t="str">
        <f t="shared" si="14"/>
        <v>Jute fibres India - rainfed</v>
      </c>
      <c r="G42" s="64">
        <v>0.25507088240931763</v>
      </c>
      <c r="H42" s="10">
        <f t="shared" si="15"/>
        <v>0.2550708824</v>
      </c>
      <c r="I42" s="65">
        <v>0.005732515466</v>
      </c>
      <c r="J42" s="65">
        <v>0.029387826303999998</v>
      </c>
      <c r="K42" s="65">
        <v>0.0772231806393176</v>
      </c>
      <c r="L42" s="65">
        <v>0.14272736</v>
      </c>
      <c r="N42" s="66">
        <v>0.9515157333333334</v>
      </c>
      <c r="O42" s="10">
        <f t="shared" si="16"/>
        <v>0.9515157333</v>
      </c>
      <c r="Q42" s="67">
        <v>3.8810232</v>
      </c>
      <c r="S42" s="68">
        <v>0.019619899</v>
      </c>
      <c r="T42" s="68">
        <v>0.018355127</v>
      </c>
      <c r="U42" s="68">
        <v>0.0010158686</v>
      </c>
      <c r="V42" s="68">
        <v>2.489038E-4</v>
      </c>
      <c r="X42" s="69">
        <v>5.6737041E-5</v>
      </c>
      <c r="Y42" s="70"/>
      <c r="Z42" s="48"/>
    </row>
    <row r="43" ht="12.75" customHeight="1">
      <c r="A43" s="1" t="s">
        <v>82</v>
      </c>
      <c r="B43" s="2" t="s">
        <v>44</v>
      </c>
      <c r="C43" s="60" t="str">
        <f t="shared" si="13"/>
        <v>A.010.08.113</v>
      </c>
      <c r="D43" s="61" t="s">
        <v>69</v>
      </c>
      <c r="E43" s="62" t="s">
        <v>45</v>
      </c>
      <c r="F43" s="63" t="str">
        <f t="shared" si="14"/>
        <v>Kenaf fibres Italy</v>
      </c>
      <c r="G43" s="64">
        <v>0.2807768910972095</v>
      </c>
      <c r="H43" s="10">
        <f t="shared" si="15"/>
        <v>0.2807768911</v>
      </c>
      <c r="I43" s="65">
        <v>0.003076510233</v>
      </c>
      <c r="J43" s="65">
        <v>0.006132881977000001</v>
      </c>
      <c r="K43" s="65">
        <v>0.22470184888720948</v>
      </c>
      <c r="L43" s="65">
        <v>0.04686565</v>
      </c>
      <c r="N43" s="66">
        <v>0.31243766666666667</v>
      </c>
      <c r="O43" s="10">
        <f t="shared" si="16"/>
        <v>0.3124376667</v>
      </c>
      <c r="Q43" s="67">
        <v>5.0618005</v>
      </c>
      <c r="S43" s="68">
        <v>0.018868247</v>
      </c>
      <c r="T43" s="68">
        <v>0.018100028</v>
      </c>
      <c r="U43" s="68">
        <v>5.2184025E-4</v>
      </c>
      <c r="V43" s="68">
        <v>2.4637829E-4</v>
      </c>
      <c r="X43" s="69">
        <v>1.3229089E-4</v>
      </c>
      <c r="Y43" s="70"/>
      <c r="Z43" s="72"/>
    </row>
    <row r="44" ht="12.75" customHeight="1">
      <c r="A44" s="1" t="s">
        <v>83</v>
      </c>
      <c r="B44" s="2" t="s">
        <v>44</v>
      </c>
      <c r="C44" s="60" t="str">
        <f t="shared" si="13"/>
        <v>A.010.08.114</v>
      </c>
      <c r="D44" s="61" t="s">
        <v>69</v>
      </c>
      <c r="E44" s="62" t="s">
        <v>45</v>
      </c>
      <c r="F44" s="63" t="str">
        <f t="shared" si="14"/>
        <v>Kenaf fibres India</v>
      </c>
      <c r="G44" s="64">
        <v>0.3174665210972095</v>
      </c>
      <c r="H44" s="10">
        <f t="shared" si="15"/>
        <v>0.3174665211</v>
      </c>
      <c r="I44" s="65">
        <v>0.003076510233</v>
      </c>
      <c r="J44" s="65">
        <v>0.006132881977000001</v>
      </c>
      <c r="K44" s="65">
        <v>0.26139147888720954</v>
      </c>
      <c r="L44" s="65">
        <v>0.04686565</v>
      </c>
      <c r="N44" s="66">
        <v>0.31243766666666667</v>
      </c>
      <c r="O44" s="10">
        <f t="shared" si="16"/>
        <v>0.3124376667</v>
      </c>
      <c r="Q44" s="67">
        <v>5.0618005</v>
      </c>
      <c r="S44" s="68">
        <v>0.0072459667</v>
      </c>
      <c r="T44" s="68">
        <v>0.0061903535</v>
      </c>
      <c r="U44" s="68">
        <v>8.0923495E-4</v>
      </c>
      <c r="V44" s="68">
        <v>2.4637829E-4</v>
      </c>
      <c r="X44" s="69">
        <v>9.2232201E-5</v>
      </c>
      <c r="Y44" s="70"/>
      <c r="Z44" s="48"/>
    </row>
    <row r="45" ht="12.75" customHeight="1">
      <c r="A45" s="1" t="s">
        <v>84</v>
      </c>
      <c r="B45" s="2" t="s">
        <v>44</v>
      </c>
      <c r="C45" s="60" t="str">
        <f t="shared" si="13"/>
        <v>A.010.08.115</v>
      </c>
      <c r="D45" s="61" t="s">
        <v>69</v>
      </c>
      <c r="E45" s="62" t="s">
        <v>45</v>
      </c>
      <c r="F45" s="63" t="str">
        <f t="shared" si="14"/>
        <v>Linseed produced in region</v>
      </c>
      <c r="G45" s="64">
        <v>0.23602642242450486</v>
      </c>
      <c r="H45" s="10">
        <f t="shared" si="15"/>
        <v>0.2360264224</v>
      </c>
      <c r="I45" s="65">
        <v>0.008029753814</v>
      </c>
      <c r="J45" s="65">
        <v>0.01494126525</v>
      </c>
      <c r="K45" s="65">
        <v>0.07188620336050487</v>
      </c>
      <c r="L45" s="65">
        <v>0.1411692</v>
      </c>
      <c r="N45" s="66">
        <v>0.941128</v>
      </c>
      <c r="O45" s="10">
        <f t="shared" si="16"/>
        <v>0.941128</v>
      </c>
      <c r="Q45" s="67">
        <v>14.676387</v>
      </c>
      <c r="S45" s="68">
        <v>0.018232723</v>
      </c>
      <c r="T45" s="68">
        <v>0.016479436</v>
      </c>
      <c r="U45" s="68">
        <v>7.5632307E-4</v>
      </c>
      <c r="V45" s="68">
        <v>9.9696431E-4</v>
      </c>
      <c r="X45" s="69">
        <v>4.8572561E-5</v>
      </c>
      <c r="Y45" s="70"/>
      <c r="Z45" s="73"/>
    </row>
    <row r="46" ht="12.75" customHeight="1">
      <c r="A46" s="1" t="s">
        <v>85</v>
      </c>
      <c r="B46" s="2" t="s">
        <v>44</v>
      </c>
      <c r="C46" s="60" t="str">
        <f t="shared" si="13"/>
        <v>A.010.08.116</v>
      </c>
      <c r="D46" s="61" t="s">
        <v>69</v>
      </c>
      <c r="E46" s="62" t="s">
        <v>45</v>
      </c>
      <c r="F46" s="63" t="str">
        <f t="shared" si="14"/>
        <v>European Flax scutched - long fibres (12% moisture content)</v>
      </c>
      <c r="G46" s="64">
        <v>0.3655319991204</v>
      </c>
      <c r="H46" s="10">
        <f t="shared" si="15"/>
        <v>0.3655319991</v>
      </c>
      <c r="I46" s="65">
        <v>0.07396214935</v>
      </c>
      <c r="J46" s="65">
        <v>0.0838200733204</v>
      </c>
      <c r="K46" s="65">
        <v>0.00107759645</v>
      </c>
      <c r="L46" s="65">
        <v>0.20667218</v>
      </c>
      <c r="N46" s="66">
        <v>1.3778145333333334</v>
      </c>
      <c r="O46" s="10">
        <f t="shared" si="16"/>
        <v>1.377814533</v>
      </c>
      <c r="Q46" s="67">
        <v>10.828352</v>
      </c>
      <c r="S46" s="68">
        <v>0.028565447</v>
      </c>
      <c r="T46" s="68">
        <v>0.026607972</v>
      </c>
      <c r="U46" s="68">
        <v>0.0011962754</v>
      </c>
      <c r="V46" s="68">
        <v>7.6120024E-4</v>
      </c>
      <c r="X46" s="69">
        <v>9.9245685E-5</v>
      </c>
      <c r="Y46" s="70"/>
      <c r="Z46" s="48"/>
    </row>
    <row r="47" ht="12.75" customHeight="1">
      <c r="A47" s="1" t="s">
        <v>86</v>
      </c>
      <c r="B47" s="2" t="s">
        <v>44</v>
      </c>
      <c r="C47" s="60" t="str">
        <f t="shared" si="13"/>
        <v>A.010.08.117</v>
      </c>
      <c r="D47" s="61" t="s">
        <v>69</v>
      </c>
      <c r="E47" s="62" t="s">
        <v>45</v>
      </c>
      <c r="F47" s="63" t="str">
        <f t="shared" si="14"/>
        <v>Hemp fibres USA (12% moisture content)</v>
      </c>
      <c r="G47" s="64">
        <v>0.18846736531849473</v>
      </c>
      <c r="H47" s="10">
        <v>0.18846736531849473</v>
      </c>
      <c r="I47" s="65">
        <v>0.009315264237</v>
      </c>
      <c r="J47" s="65">
        <v>0.019907547116999998</v>
      </c>
      <c r="K47" s="65">
        <v>0.022213793964494712</v>
      </c>
      <c r="L47" s="65">
        <v>0.13703076</v>
      </c>
      <c r="N47" s="66">
        <v>0.9135384000000001</v>
      </c>
      <c r="O47" s="10">
        <v>0.9135384000000001</v>
      </c>
      <c r="Q47" s="67">
        <v>15.029486</v>
      </c>
      <c r="S47" s="68">
        <v>19.074215</v>
      </c>
      <c r="T47" s="68">
        <v>17.713374</v>
      </c>
      <c r="U47" s="68">
        <v>0.76919142</v>
      </c>
      <c r="V47" s="68">
        <v>0.59164964</v>
      </c>
      <c r="X47" s="69">
        <v>4.7811254E-5</v>
      </c>
      <c r="Y47" s="70"/>
      <c r="Z47" s="48"/>
    </row>
    <row r="48" ht="12.75" customHeight="1">
      <c r="B48" s="2"/>
      <c r="C48" s="60"/>
      <c r="D48" s="61"/>
      <c r="E48" s="62"/>
      <c r="G48" s="10"/>
      <c r="H48" s="10"/>
      <c r="I48" s="10"/>
      <c r="J48" s="10"/>
      <c r="K48" s="10"/>
      <c r="L48" s="10"/>
      <c r="N48" s="10"/>
      <c r="O48" s="10"/>
      <c r="Q48" s="67"/>
      <c r="Y48" s="71"/>
      <c r="Z48" s="48"/>
    </row>
    <row r="49" ht="12.75" customHeight="1">
      <c r="B49" s="2"/>
      <c r="C49" s="60"/>
      <c r="D49" s="59" t="s">
        <v>87</v>
      </c>
      <c r="E49" s="62"/>
      <c r="G49" s="10"/>
      <c r="H49" s="10"/>
      <c r="I49" s="10"/>
      <c r="J49" s="10"/>
      <c r="K49" s="10"/>
      <c r="L49" s="10"/>
      <c r="N49" s="10"/>
      <c r="O49" s="10"/>
      <c r="Q49" s="67"/>
      <c r="Y49" s="74"/>
      <c r="Z49" s="48"/>
    </row>
    <row r="50" ht="12.75" customHeight="1">
      <c r="A50" s="1" t="s">
        <v>88</v>
      </c>
      <c r="B50" s="2" t="s">
        <v>89</v>
      </c>
      <c r="C50" s="60" t="str">
        <f t="shared" ref="C50:C59" si="17">MID(A50,1,12)</f>
        <v>A.020.01.101</v>
      </c>
      <c r="D50" s="51" t="s">
        <v>87</v>
      </c>
      <c r="E50" s="62" t="s">
        <v>45</v>
      </c>
      <c r="F50" s="63" t="str">
        <f t="shared" ref="F50:F59" si="18">MID(A50, 21,85)</f>
        <v>Alumina</v>
      </c>
      <c r="G50" s="64">
        <v>0.2939954857764</v>
      </c>
      <c r="H50" s="10">
        <f t="shared" ref="H50:H63" si="19">G50</f>
        <v>0.2939954858</v>
      </c>
      <c r="I50" s="65">
        <v>6.42352064E-5</v>
      </c>
      <c r="J50" s="65">
        <v>0.007431250570000001</v>
      </c>
      <c r="K50" s="65">
        <v>0.0</v>
      </c>
      <c r="L50" s="65">
        <v>0.2865</v>
      </c>
      <c r="N50" s="66">
        <v>1.91</v>
      </c>
      <c r="O50" s="10">
        <f t="shared" ref="O50:O63" si="20">N50</f>
        <v>1.91</v>
      </c>
      <c r="Q50" s="67">
        <v>0.0</v>
      </c>
      <c r="S50" s="68">
        <v>0.033335378</v>
      </c>
      <c r="T50" s="68">
        <v>0.031846817</v>
      </c>
      <c r="U50" s="68">
        <v>0.0014885608</v>
      </c>
      <c r="V50" s="68">
        <v>0.0</v>
      </c>
      <c r="X50" s="69">
        <v>5.5344407E-5</v>
      </c>
      <c r="Y50" s="70"/>
      <c r="Z50" s="73" t="s">
        <v>90</v>
      </c>
    </row>
    <row r="51" ht="12.75" customHeight="1">
      <c r="A51" s="1" t="s">
        <v>91</v>
      </c>
      <c r="B51" s="2" t="s">
        <v>89</v>
      </c>
      <c r="C51" s="60" t="str">
        <f t="shared" si="17"/>
        <v>A.020.01.103</v>
      </c>
      <c r="D51" s="51" t="s">
        <v>87</v>
      </c>
      <c r="E51" s="62" t="s">
        <v>45</v>
      </c>
      <c r="F51" s="63" t="str">
        <f t="shared" si="18"/>
        <v>Boron Carbide</v>
      </c>
      <c r="G51" s="64">
        <v>1.574311063886</v>
      </c>
      <c r="H51" s="10">
        <f t="shared" si="19"/>
        <v>1.574311064</v>
      </c>
      <c r="I51" s="65">
        <v>0.12621757991</v>
      </c>
      <c r="J51" s="65">
        <v>0.25802331797600003</v>
      </c>
      <c r="K51" s="65">
        <v>0.135985366</v>
      </c>
      <c r="L51" s="65">
        <v>1.0540848</v>
      </c>
      <c r="N51" s="66">
        <v>7.027232000000001</v>
      </c>
      <c r="O51" s="10">
        <f t="shared" si="20"/>
        <v>7.027232</v>
      </c>
      <c r="Q51" s="67">
        <v>48.591976</v>
      </c>
      <c r="S51" s="68">
        <v>0.1800129</v>
      </c>
      <c r="T51" s="68">
        <v>0.17214934</v>
      </c>
      <c r="U51" s="68">
        <v>0.0069475728</v>
      </c>
      <c r="V51" s="68">
        <v>9.1598855E-4</v>
      </c>
      <c r="X51" s="69">
        <v>0.0010793219</v>
      </c>
      <c r="Y51" s="70"/>
      <c r="Z51" s="73" t="s">
        <v>92</v>
      </c>
    </row>
    <row r="52" ht="12.75" customHeight="1">
      <c r="A52" s="1" t="s">
        <v>93</v>
      </c>
      <c r="B52" s="2" t="s">
        <v>89</v>
      </c>
      <c r="C52" s="60" t="str">
        <f t="shared" si="17"/>
        <v>A.020.01.104</v>
      </c>
      <c r="D52" s="51" t="s">
        <v>87</v>
      </c>
      <c r="E52" s="62" t="s">
        <v>45</v>
      </c>
      <c r="F52" s="63" t="str">
        <f t="shared" si="18"/>
        <v>Germanium</v>
      </c>
      <c r="G52" s="64">
        <v>1167.1996147709</v>
      </c>
      <c r="H52" s="10">
        <f t="shared" si="19"/>
        <v>1167.199615</v>
      </c>
      <c r="I52" s="65">
        <v>10.354654651</v>
      </c>
      <c r="J52" s="65">
        <v>33.3656215899</v>
      </c>
      <c r="K52" s="65">
        <v>997.07483853</v>
      </c>
      <c r="L52" s="65">
        <v>126.4045</v>
      </c>
      <c r="N52" s="66">
        <v>842.6966666666667</v>
      </c>
      <c r="O52" s="10">
        <f t="shared" si="20"/>
        <v>842.6966667</v>
      </c>
      <c r="Q52" s="67">
        <v>11118.535</v>
      </c>
      <c r="S52" s="68">
        <v>22.881438</v>
      </c>
      <c r="T52" s="68">
        <v>20.78538</v>
      </c>
      <c r="U52" s="68">
        <v>0.78626893</v>
      </c>
      <c r="V52" s="68">
        <v>1.3097893</v>
      </c>
      <c r="X52" s="69">
        <v>0.04743262</v>
      </c>
      <c r="Y52" s="70"/>
      <c r="Z52" s="73" t="s">
        <v>94</v>
      </c>
    </row>
    <row r="53" ht="12.75" customHeight="1">
      <c r="A53" s="1" t="s">
        <v>95</v>
      </c>
      <c r="B53" s="2" t="s">
        <v>89</v>
      </c>
      <c r="C53" s="60" t="str">
        <f t="shared" si="17"/>
        <v>A.020.01.105</v>
      </c>
      <c r="D53" s="51" t="s">
        <v>87</v>
      </c>
      <c r="E53" s="62" t="s">
        <v>45</v>
      </c>
      <c r="F53" s="63" t="str">
        <f t="shared" si="18"/>
        <v>Glaze (in addition to Porcelain and Stoneware)</v>
      </c>
      <c r="G53" s="64">
        <v>1.8981762594796103</v>
      </c>
      <c r="H53" s="10">
        <f t="shared" si="19"/>
        <v>1.898176259</v>
      </c>
      <c r="I53" s="65">
        <v>1.8863464675062998</v>
      </c>
      <c r="J53" s="65">
        <v>0.005792390341960001</v>
      </c>
      <c r="K53" s="65">
        <v>5.326477313506336E-4</v>
      </c>
      <c r="L53" s="65">
        <v>0.0055047539</v>
      </c>
      <c r="N53" s="66">
        <v>0.03669835933333333</v>
      </c>
      <c r="O53" s="10">
        <f t="shared" si="20"/>
        <v>0.03669835933</v>
      </c>
      <c r="Q53" s="67">
        <v>1.4332396</v>
      </c>
      <c r="S53" s="68">
        <v>0.0031046513</v>
      </c>
      <c r="T53" s="68">
        <v>0.0011991595</v>
      </c>
      <c r="U53" s="68">
        <v>0.0018175341</v>
      </c>
      <c r="V53" s="68">
        <v>8.7957709E-5</v>
      </c>
      <c r="X53" s="69">
        <v>3.6542767E-4</v>
      </c>
      <c r="Y53" s="70"/>
      <c r="Z53" s="73" t="s">
        <v>96</v>
      </c>
    </row>
    <row r="54" ht="12.75" customHeight="1">
      <c r="A54" s="1" t="s">
        <v>97</v>
      </c>
      <c r="B54" s="2" t="s">
        <v>89</v>
      </c>
      <c r="C54" s="60" t="str">
        <f t="shared" si="17"/>
        <v>A.020.01.106</v>
      </c>
      <c r="D54" s="51" t="s">
        <v>87</v>
      </c>
      <c r="E54" s="62" t="s">
        <v>45</v>
      </c>
      <c r="F54" s="63" t="str">
        <f t="shared" si="18"/>
        <v>Porcelain</v>
      </c>
      <c r="G54" s="64">
        <v>0.08904228419521676</v>
      </c>
      <c r="H54" s="10">
        <f t="shared" si="19"/>
        <v>0.0890422842</v>
      </c>
      <c r="I54" s="65">
        <v>0.008861631963000001</v>
      </c>
      <c r="J54" s="65">
        <v>0.014349482086899998</v>
      </c>
      <c r="K54" s="65">
        <v>0.002875551145316761</v>
      </c>
      <c r="L54" s="65">
        <v>0.062955619</v>
      </c>
      <c r="N54" s="66">
        <v>0.41970412666666673</v>
      </c>
      <c r="O54" s="10">
        <f t="shared" si="20"/>
        <v>0.4197041267</v>
      </c>
      <c r="Q54" s="67">
        <v>7.2604088</v>
      </c>
      <c r="S54" s="68">
        <v>0.010005769</v>
      </c>
      <c r="T54" s="68">
        <v>0.0090985663</v>
      </c>
      <c r="U54" s="68">
        <v>3.9796609E-4</v>
      </c>
      <c r="V54" s="68">
        <v>5.09237E-4</v>
      </c>
      <c r="X54" s="69">
        <v>2.6076079E-5</v>
      </c>
      <c r="Y54" s="70"/>
      <c r="Z54" s="73" t="s">
        <v>98</v>
      </c>
    </row>
    <row r="55" ht="12.75" customHeight="1">
      <c r="A55" s="1" t="s">
        <v>99</v>
      </c>
      <c r="B55" s="2" t="s">
        <v>89</v>
      </c>
      <c r="C55" s="60" t="str">
        <f t="shared" si="17"/>
        <v>A.020.01.107</v>
      </c>
      <c r="D55" s="51" t="s">
        <v>87</v>
      </c>
      <c r="E55" s="62" t="s">
        <v>45</v>
      </c>
      <c r="F55" s="63" t="str">
        <f t="shared" si="18"/>
        <v>PZT Piezo-electric ceramic</v>
      </c>
      <c r="G55" s="64">
        <v>71.484502236</v>
      </c>
      <c r="H55" s="10">
        <f t="shared" si="19"/>
        <v>71.48450224</v>
      </c>
      <c r="I55" s="65">
        <v>5.982017436</v>
      </c>
      <c r="J55" s="65">
        <v>23.1892091</v>
      </c>
      <c r="K55" s="65">
        <v>8.896725700000001</v>
      </c>
      <c r="L55" s="65">
        <v>33.41655</v>
      </c>
      <c r="N55" s="66">
        <v>222.77700000000002</v>
      </c>
      <c r="O55" s="10">
        <f t="shared" si="20"/>
        <v>222.777</v>
      </c>
      <c r="Q55" s="67">
        <v>3423.8066</v>
      </c>
      <c r="S55" s="68">
        <v>9.0422886</v>
      </c>
      <c r="T55" s="68">
        <v>8.5339437</v>
      </c>
      <c r="U55" s="68">
        <v>0.27338082</v>
      </c>
      <c r="V55" s="68">
        <v>0.23496416</v>
      </c>
      <c r="X55" s="69">
        <v>0.016509381</v>
      </c>
      <c r="Y55" s="70"/>
      <c r="Z55" s="73" t="s">
        <v>100</v>
      </c>
    </row>
    <row r="56" ht="12.75" customHeight="1">
      <c r="A56" s="1" t="s">
        <v>101</v>
      </c>
      <c r="B56" s="2" t="s">
        <v>89</v>
      </c>
      <c r="C56" s="60" t="str">
        <f t="shared" si="17"/>
        <v>A.020.01.108</v>
      </c>
      <c r="D56" s="51" t="s">
        <v>87</v>
      </c>
      <c r="E56" s="62" t="s">
        <v>45</v>
      </c>
      <c r="F56" s="63" t="str">
        <f t="shared" si="18"/>
        <v>Silicon (purified) for electronics and PV cells</v>
      </c>
      <c r="G56" s="64">
        <v>3.843636640783049</v>
      </c>
      <c r="H56" s="10">
        <f t="shared" si="19"/>
        <v>3.843636641</v>
      </c>
      <c r="I56" s="65">
        <v>0.08321987075</v>
      </c>
      <c r="J56" s="65">
        <v>0.15582856035499998</v>
      </c>
      <c r="K56" s="65">
        <v>1.4718081096780489</v>
      </c>
      <c r="L56" s="65">
        <v>2.1327801</v>
      </c>
      <c r="N56" s="66">
        <v>14.218534000000002</v>
      </c>
      <c r="O56" s="10">
        <f t="shared" si="20"/>
        <v>14.218534</v>
      </c>
      <c r="Q56" s="67">
        <v>224.86009</v>
      </c>
      <c r="S56" s="68">
        <v>0.26564689</v>
      </c>
      <c r="T56" s="68">
        <v>0.24649896</v>
      </c>
      <c r="U56" s="68">
        <v>0.011331226</v>
      </c>
      <c r="V56" s="68">
        <v>0.0078166993</v>
      </c>
      <c r="X56" s="69">
        <v>6.7817352E-4</v>
      </c>
      <c r="Y56" s="70"/>
      <c r="Z56" s="73" t="s">
        <v>102</v>
      </c>
    </row>
    <row r="57" ht="12.75" customHeight="1">
      <c r="A57" s="1" t="s">
        <v>103</v>
      </c>
      <c r="B57" s="2" t="s">
        <v>89</v>
      </c>
      <c r="C57" s="60" t="str">
        <f t="shared" si="17"/>
        <v>A.020.01.109</v>
      </c>
      <c r="D57" s="51" t="s">
        <v>87</v>
      </c>
      <c r="E57" s="62" t="s">
        <v>45</v>
      </c>
      <c r="F57" s="63" t="str">
        <f t="shared" si="18"/>
        <v>Silicon carbide</v>
      </c>
      <c r="G57" s="64">
        <v>3.97517541752</v>
      </c>
      <c r="H57" s="10">
        <f t="shared" si="19"/>
        <v>3.975175418</v>
      </c>
      <c r="I57" s="65">
        <v>0.2873346413</v>
      </c>
      <c r="J57" s="65">
        <v>1.0905638922199998</v>
      </c>
      <c r="K57" s="65">
        <v>0.006861384</v>
      </c>
      <c r="L57" s="65">
        <v>2.5904155</v>
      </c>
      <c r="N57" s="66">
        <v>17.269436666666667</v>
      </c>
      <c r="O57" s="10">
        <f t="shared" si="20"/>
        <v>17.26943667</v>
      </c>
      <c r="Q57" s="67">
        <v>205.77256</v>
      </c>
      <c r="S57" s="68">
        <v>0.56658966</v>
      </c>
      <c r="T57" s="68">
        <v>0.53386964</v>
      </c>
      <c r="U57" s="68">
        <v>0.018104102</v>
      </c>
      <c r="V57" s="68">
        <v>0.01461592</v>
      </c>
      <c r="X57" s="69">
        <v>0.0010727442</v>
      </c>
      <c r="Y57" s="70"/>
      <c r="Z57" s="73" t="s">
        <v>104</v>
      </c>
    </row>
    <row r="58" ht="12.75" customHeight="1">
      <c r="A58" s="1" t="s">
        <v>105</v>
      </c>
      <c r="B58" s="2" t="s">
        <v>89</v>
      </c>
      <c r="C58" s="60" t="str">
        <f t="shared" si="17"/>
        <v>A.020.01.110</v>
      </c>
      <c r="D58" s="51" t="s">
        <v>87</v>
      </c>
      <c r="E58" s="62" t="s">
        <v>45</v>
      </c>
      <c r="F58" s="63" t="str">
        <f t="shared" si="18"/>
        <v>Silicon Nitride</v>
      </c>
      <c r="G58" s="64">
        <v>1.2716716734257993</v>
      </c>
      <c r="H58" s="10">
        <f t="shared" si="19"/>
        <v>1.271671673</v>
      </c>
      <c r="I58" s="65">
        <v>0.017152151940000002</v>
      </c>
      <c r="J58" s="65">
        <v>0.025588892679</v>
      </c>
      <c r="K58" s="65">
        <v>0.7189233188067994</v>
      </c>
      <c r="L58" s="65">
        <v>0.51000731</v>
      </c>
      <c r="N58" s="66">
        <v>3.4000487333333336</v>
      </c>
      <c r="O58" s="10">
        <f t="shared" si="20"/>
        <v>3.400048733</v>
      </c>
      <c r="Q58" s="67">
        <v>36.981495</v>
      </c>
      <c r="S58" s="68">
        <v>0.061656225</v>
      </c>
      <c r="T58" s="68">
        <v>0.056103342</v>
      </c>
      <c r="U58" s="68">
        <v>0.0026552649</v>
      </c>
      <c r="V58" s="68">
        <v>0.0028976187</v>
      </c>
      <c r="X58" s="69">
        <v>1.469758E-4</v>
      </c>
      <c r="Y58" s="70"/>
      <c r="Z58" s="73" t="s">
        <v>106</v>
      </c>
    </row>
    <row r="59" ht="12.75" customHeight="1">
      <c r="A59" s="1" t="s">
        <v>107</v>
      </c>
      <c r="B59" s="2" t="s">
        <v>89</v>
      </c>
      <c r="C59" s="60" t="str">
        <f t="shared" si="17"/>
        <v>A.020.01.111</v>
      </c>
      <c r="D59" s="51" t="s">
        <v>87</v>
      </c>
      <c r="E59" s="62" t="s">
        <v>45</v>
      </c>
      <c r="F59" s="63" t="str">
        <f t="shared" si="18"/>
        <v>Stoneware</v>
      </c>
      <c r="G59" s="64">
        <v>0.08619239749181676</v>
      </c>
      <c r="H59" s="10">
        <f t="shared" si="19"/>
        <v>0.08619239749</v>
      </c>
      <c r="I59" s="65">
        <v>0.008830015557999999</v>
      </c>
      <c r="J59" s="65">
        <v>0.013983564648500002</v>
      </c>
      <c r="K59" s="65">
        <v>0.001977978285316761</v>
      </c>
      <c r="L59" s="65">
        <v>0.061400839</v>
      </c>
      <c r="N59" s="66">
        <v>0.40933892666666666</v>
      </c>
      <c r="O59" s="10">
        <f t="shared" si="20"/>
        <v>0.4093389267</v>
      </c>
      <c r="Q59" s="67">
        <v>7.1242675</v>
      </c>
      <c r="S59" s="68">
        <v>0.0098458784</v>
      </c>
      <c r="T59" s="68">
        <v>0.0089557577</v>
      </c>
      <c r="U59" s="68">
        <v>3.9038707E-4</v>
      </c>
      <c r="V59" s="68">
        <v>4.9973354E-4</v>
      </c>
      <c r="X59" s="69">
        <v>2.5519991E-5</v>
      </c>
      <c r="Y59" s="70"/>
      <c r="Z59" s="73" t="s">
        <v>108</v>
      </c>
    </row>
    <row r="60" ht="12.75" customHeight="1">
      <c r="A60" s="1" t="s">
        <v>109</v>
      </c>
      <c r="B60" s="2" t="s">
        <v>89</v>
      </c>
      <c r="C60" s="60" t="s">
        <v>110</v>
      </c>
      <c r="D60" s="51" t="s">
        <v>87</v>
      </c>
      <c r="E60" s="62" t="s">
        <v>45</v>
      </c>
      <c r="F60" s="63" t="s">
        <v>111</v>
      </c>
      <c r="G60" s="64">
        <v>44.31840534229815</v>
      </c>
      <c r="H60" s="10">
        <f t="shared" si="19"/>
        <v>44.31840534</v>
      </c>
      <c r="I60" s="65">
        <v>0.434281833</v>
      </c>
      <c r="J60" s="65">
        <v>6.3476894204</v>
      </c>
      <c r="K60" s="65">
        <v>34.40553648889815</v>
      </c>
      <c r="L60" s="65">
        <v>3.1308976</v>
      </c>
      <c r="N60" s="66">
        <v>20.87265066666667</v>
      </c>
      <c r="O60" s="10">
        <f t="shared" si="20"/>
        <v>20.87265067</v>
      </c>
      <c r="Q60" s="67">
        <v>365.28393</v>
      </c>
      <c r="S60" s="68">
        <v>1.3787951</v>
      </c>
      <c r="T60" s="68">
        <v>1.307081</v>
      </c>
      <c r="U60" s="68">
        <v>0.045990696</v>
      </c>
      <c r="V60" s="68">
        <v>0.0257234</v>
      </c>
      <c r="X60" s="69">
        <v>0.0080847409</v>
      </c>
      <c r="Y60" s="70"/>
      <c r="Z60" s="73" t="s">
        <v>112</v>
      </c>
    </row>
    <row r="61" ht="12.75" customHeight="1">
      <c r="A61" s="1" t="s">
        <v>113</v>
      </c>
      <c r="B61" s="2" t="s">
        <v>89</v>
      </c>
      <c r="C61" s="60" t="s">
        <v>114</v>
      </c>
      <c r="D61" s="51" t="s">
        <v>87</v>
      </c>
      <c r="E61" s="62" t="s">
        <v>45</v>
      </c>
      <c r="F61" s="63" t="s">
        <v>115</v>
      </c>
      <c r="G61" s="64">
        <v>0.5726987058817639</v>
      </c>
      <c r="H61" s="10">
        <f t="shared" si="19"/>
        <v>0.5726987059</v>
      </c>
      <c r="I61" s="65">
        <v>0.001551441271248</v>
      </c>
      <c r="J61" s="65">
        <v>0.02734726461051583</v>
      </c>
      <c r="K61" s="65">
        <v>0.4958</v>
      </c>
      <c r="L61" s="65">
        <v>0.048</v>
      </c>
      <c r="N61" s="66">
        <v>0.32</v>
      </c>
      <c r="O61" s="10">
        <f t="shared" si="20"/>
        <v>0.32</v>
      </c>
      <c r="Q61" s="67">
        <v>4.2</v>
      </c>
      <c r="S61" s="68">
        <v>0.013541362</v>
      </c>
      <c r="T61" s="68">
        <v>0.012847094</v>
      </c>
      <c r="U61" s="68">
        <v>3.9438772E-4</v>
      </c>
      <c r="V61" s="68">
        <v>2.9988E-4</v>
      </c>
      <c r="X61" s="69">
        <v>2.6292933E-5</v>
      </c>
      <c r="Y61" s="70"/>
      <c r="Z61" s="73" t="s">
        <v>116</v>
      </c>
    </row>
    <row r="62" ht="12.75" customHeight="1">
      <c r="A62" s="1" t="s">
        <v>117</v>
      </c>
      <c r="B62" s="2" t="s">
        <v>89</v>
      </c>
      <c r="C62" s="60" t="s">
        <v>118</v>
      </c>
      <c r="D62" s="51" t="s">
        <v>87</v>
      </c>
      <c r="E62" s="62" t="s">
        <v>45</v>
      </c>
      <c r="F62" s="63" t="s">
        <v>119</v>
      </c>
      <c r="G62" s="64">
        <v>45.92390101993789</v>
      </c>
      <c r="H62" s="10">
        <f t="shared" si="19"/>
        <v>45.92390102</v>
      </c>
      <c r="I62" s="65">
        <v>3.22930547</v>
      </c>
      <c r="J62" s="65">
        <v>4.0668258099329995</v>
      </c>
      <c r="K62" s="65">
        <v>33.699635540004884</v>
      </c>
      <c r="L62" s="65">
        <v>4.9281342</v>
      </c>
      <c r="N62" s="66">
        <v>32.854228</v>
      </c>
      <c r="O62" s="10">
        <f t="shared" si="20"/>
        <v>32.854228</v>
      </c>
      <c r="Q62" s="67">
        <v>416.43961</v>
      </c>
      <c r="S62" s="68">
        <v>1.5999091</v>
      </c>
      <c r="T62" s="68">
        <v>1.5372267</v>
      </c>
      <c r="U62" s="68">
        <v>0.044457071</v>
      </c>
      <c r="V62" s="68">
        <v>0.018225364</v>
      </c>
      <c r="X62" s="69">
        <v>0.0088976015</v>
      </c>
      <c r="Y62" s="70"/>
      <c r="Z62" s="73"/>
    </row>
    <row r="63" ht="12.75" customHeight="1">
      <c r="A63" s="1" t="s">
        <v>120</v>
      </c>
      <c r="B63" s="2" t="s">
        <v>89</v>
      </c>
      <c r="C63" s="60" t="s">
        <v>121</v>
      </c>
      <c r="D63" s="51" t="s">
        <v>87</v>
      </c>
      <c r="E63" s="62" t="s">
        <v>45</v>
      </c>
      <c r="F63" s="63" t="s">
        <v>122</v>
      </c>
      <c r="G63" s="64">
        <v>8.575970908407676</v>
      </c>
      <c r="H63" s="10">
        <f t="shared" si="19"/>
        <v>8.575970908</v>
      </c>
      <c r="I63" s="65">
        <v>0.15762466631000002</v>
      </c>
      <c r="J63" s="65">
        <v>5.418187163450001</v>
      </c>
      <c r="K63" s="65">
        <v>0.9188089786476743</v>
      </c>
      <c r="L63" s="65">
        <v>2.0813501</v>
      </c>
      <c r="N63" s="66">
        <v>13.875667333333332</v>
      </c>
      <c r="O63" s="10">
        <f t="shared" si="20"/>
        <v>13.87566733</v>
      </c>
      <c r="Q63" s="67">
        <v>289.20213</v>
      </c>
      <c r="S63" s="68">
        <v>0.85880321</v>
      </c>
      <c r="T63" s="68">
        <v>0.8116883</v>
      </c>
      <c r="U63" s="68">
        <v>0.035902169</v>
      </c>
      <c r="V63" s="68">
        <v>0.011212739</v>
      </c>
      <c r="X63" s="69">
        <v>0.0028781946</v>
      </c>
      <c r="Y63" s="70"/>
      <c r="Z63" s="73"/>
    </row>
    <row r="64" ht="12.75" customHeight="1">
      <c r="B64" s="2"/>
      <c r="C64" s="60"/>
      <c r="D64" s="51"/>
      <c r="E64" s="62"/>
      <c r="G64" s="10"/>
      <c r="H64" s="10"/>
      <c r="I64" s="10"/>
      <c r="J64" s="10"/>
      <c r="K64" s="10"/>
      <c r="L64" s="10"/>
      <c r="N64" s="10"/>
      <c r="O64" s="10"/>
      <c r="Q64" s="67"/>
      <c r="Y64" s="71"/>
      <c r="Z64" s="72"/>
    </row>
    <row r="65" ht="12.75" customHeight="1">
      <c r="B65" s="2"/>
      <c r="C65" s="60"/>
      <c r="D65" s="75" t="s">
        <v>123</v>
      </c>
      <c r="E65" s="62"/>
      <c r="G65" s="10"/>
      <c r="H65" s="10"/>
      <c r="I65" s="10"/>
      <c r="J65" s="10"/>
      <c r="K65" s="10"/>
      <c r="L65" s="10"/>
      <c r="N65" s="10"/>
      <c r="O65" s="10"/>
      <c r="Q65" s="67"/>
      <c r="Y65" s="71"/>
      <c r="Z65" s="48"/>
    </row>
    <row r="66" ht="12.75" customHeight="1">
      <c r="A66" s="1" t="s">
        <v>124</v>
      </c>
      <c r="B66" s="2" t="s">
        <v>125</v>
      </c>
      <c r="C66" s="60" t="str">
        <f t="shared" ref="C66:C70" si="21">MID(A66,1,12)</f>
        <v>A.030.02.101</v>
      </c>
      <c r="D66" s="51" t="s">
        <v>123</v>
      </c>
      <c r="E66" s="62" t="s">
        <v>45</v>
      </c>
      <c r="F66" s="63" t="str">
        <f t="shared" ref="F66:F70" si="22">MID(A66, 21,85)</f>
        <v>HCL (hydrochloric acid)</v>
      </c>
      <c r="G66" s="64">
        <v>0.12335691033148632</v>
      </c>
      <c r="H66" s="10">
        <f t="shared" ref="H66:H70" si="23">G66</f>
        <v>0.1233569103</v>
      </c>
      <c r="I66" s="65">
        <v>0.0024113106</v>
      </c>
      <c r="J66" s="65">
        <v>0.08958601684273</v>
      </c>
      <c r="K66" s="65">
        <v>8.825888756318277E-6</v>
      </c>
      <c r="L66" s="65">
        <v>0.031350757</v>
      </c>
      <c r="N66" s="66">
        <v>0.20900504666666667</v>
      </c>
      <c r="O66" s="10">
        <f t="shared" ref="O66:O70" si="24">N66</f>
        <v>0.2090050467</v>
      </c>
      <c r="Q66" s="67">
        <v>6.4803048</v>
      </c>
      <c r="S66" s="68">
        <v>0.0055089001</v>
      </c>
      <c r="T66" s="68">
        <v>0.004882436</v>
      </c>
      <c r="U66" s="68">
        <v>1.8998414E-4</v>
      </c>
      <c r="V66" s="68">
        <v>4.3647996E-4</v>
      </c>
      <c r="X66" s="69">
        <v>1.96843E-5</v>
      </c>
      <c r="Y66" s="76" t="s">
        <v>126</v>
      </c>
      <c r="Z66" s="73" t="s">
        <v>127</v>
      </c>
    </row>
    <row r="67" ht="12.75" customHeight="1">
      <c r="A67" s="1" t="s">
        <v>128</v>
      </c>
      <c r="B67" s="2" t="s">
        <v>125</v>
      </c>
      <c r="C67" s="60" t="str">
        <f t="shared" si="21"/>
        <v>A.030.02.102</v>
      </c>
      <c r="D67" s="51" t="s">
        <v>123</v>
      </c>
      <c r="E67" s="62" t="s">
        <v>45</v>
      </c>
      <c r="F67" s="63" t="str">
        <f t="shared" si="22"/>
        <v>Nitric acid</v>
      </c>
      <c r="G67" s="64">
        <v>0.095682114712941</v>
      </c>
      <c r="H67" s="10">
        <f t="shared" si="23"/>
        <v>0.09568211471</v>
      </c>
      <c r="I67" s="65">
        <v>3.0235661609E-5</v>
      </c>
      <c r="J67" s="65">
        <v>5.8646541932E-5</v>
      </c>
      <c r="K67" s="65">
        <v>1.214805094E-4</v>
      </c>
      <c r="L67" s="65">
        <v>0.095471752</v>
      </c>
      <c r="N67" s="66">
        <v>0.6364783466666667</v>
      </c>
      <c r="O67" s="10">
        <f t="shared" si="24"/>
        <v>0.6364783467</v>
      </c>
      <c r="Q67" s="67">
        <v>0.085348789</v>
      </c>
      <c r="S67" s="68">
        <v>0.01034668</v>
      </c>
      <c r="T67" s="68">
        <v>0.009862286</v>
      </c>
      <c r="U67" s="68">
        <v>4.8212013E-4</v>
      </c>
      <c r="V67" s="68">
        <v>2.2738329E-6</v>
      </c>
      <c r="X67" s="69">
        <v>1.7851615E-5</v>
      </c>
      <c r="Y67" s="76" t="s">
        <v>129</v>
      </c>
      <c r="Z67" s="73" t="s">
        <v>130</v>
      </c>
    </row>
    <row r="68" ht="12.75" customHeight="1">
      <c r="A68" s="1" t="s">
        <v>131</v>
      </c>
      <c r="B68" s="2" t="s">
        <v>125</v>
      </c>
      <c r="C68" s="60" t="str">
        <f t="shared" si="21"/>
        <v>A.030.02.103</v>
      </c>
      <c r="D68" s="51" t="s">
        <v>123</v>
      </c>
      <c r="E68" s="62" t="s">
        <v>45</v>
      </c>
      <c r="F68" s="63" t="str">
        <f t="shared" si="22"/>
        <v>Phosphoric acid</v>
      </c>
      <c r="G68" s="64">
        <v>0.1263720749167</v>
      </c>
      <c r="H68" s="10">
        <f t="shared" si="23"/>
        <v>0.1263720749</v>
      </c>
      <c r="I68" s="65">
        <v>0.04649099013</v>
      </c>
      <c r="J68" s="65">
        <v>0.0035015165867</v>
      </c>
      <c r="K68" s="65">
        <v>0.0065705072</v>
      </c>
      <c r="L68" s="65">
        <v>0.069809061</v>
      </c>
      <c r="N68" s="66">
        <v>0.46539374000000006</v>
      </c>
      <c r="O68" s="10">
        <f t="shared" si="24"/>
        <v>0.46539374</v>
      </c>
      <c r="Q68" s="67">
        <v>7.4215674</v>
      </c>
      <c r="S68" s="68">
        <v>0.0085061962</v>
      </c>
      <c r="T68" s="68">
        <v>0.0076765279</v>
      </c>
      <c r="U68" s="68">
        <v>3.7596629E-4</v>
      </c>
      <c r="V68" s="68">
        <v>4.5370201E-4</v>
      </c>
      <c r="X68" s="69">
        <v>4.8394896E-5</v>
      </c>
      <c r="Y68" s="76" t="s">
        <v>132</v>
      </c>
      <c r="Z68" s="73" t="s">
        <v>133</v>
      </c>
    </row>
    <row r="69" ht="12.75" customHeight="1">
      <c r="A69" s="1" t="s">
        <v>134</v>
      </c>
      <c r="B69" s="2" t="s">
        <v>125</v>
      </c>
      <c r="C69" s="60" t="str">
        <f t="shared" si="21"/>
        <v>A.030.02.104</v>
      </c>
      <c r="D69" s="51" t="s">
        <v>123</v>
      </c>
      <c r="E69" s="62" t="s">
        <v>45</v>
      </c>
      <c r="F69" s="63" t="str">
        <f t="shared" si="22"/>
        <v>Sulphuric acid</v>
      </c>
      <c r="G69" s="64">
        <v>0.02170636539</v>
      </c>
      <c r="H69" s="10">
        <f t="shared" si="23"/>
        <v>0.02170636539</v>
      </c>
      <c r="I69" s="65">
        <v>0.0050796</v>
      </c>
      <c r="J69" s="65">
        <v>3.066579E-5</v>
      </c>
      <c r="K69" s="65">
        <v>0.0032580996</v>
      </c>
      <c r="L69" s="65">
        <v>0.013338</v>
      </c>
      <c r="N69" s="66">
        <v>0.08892</v>
      </c>
      <c r="O69" s="10">
        <f t="shared" si="24"/>
        <v>0.08892</v>
      </c>
      <c r="Q69" s="67">
        <v>1.56066</v>
      </c>
      <c r="S69" s="68">
        <v>0.0015524863</v>
      </c>
      <c r="T69" s="68">
        <v>0.0013879561</v>
      </c>
      <c r="U69" s="68">
        <v>7.589412E-5</v>
      </c>
      <c r="V69" s="68">
        <v>8.8635989E-5</v>
      </c>
      <c r="X69" s="69">
        <v>5.2682481E-6</v>
      </c>
      <c r="Y69" s="76" t="s">
        <v>135</v>
      </c>
      <c r="Z69" s="73" t="s">
        <v>136</v>
      </c>
    </row>
    <row r="70" ht="12.75" customHeight="1">
      <c r="A70" s="1" t="s">
        <v>137</v>
      </c>
      <c r="B70" s="2" t="s">
        <v>125</v>
      </c>
      <c r="C70" s="60" t="str">
        <f t="shared" si="21"/>
        <v>A.030.02.105</v>
      </c>
      <c r="D70" s="51" t="s">
        <v>123</v>
      </c>
      <c r="E70" s="62" t="s">
        <v>45</v>
      </c>
      <c r="F70" s="63" t="str">
        <f t="shared" si="22"/>
        <v>Boric acid</v>
      </c>
      <c r="G70" s="64">
        <v>1.935308257959</v>
      </c>
      <c r="H70" s="10">
        <f t="shared" si="23"/>
        <v>1.935308258</v>
      </c>
      <c r="I70" s="65">
        <v>0.15794742903999998</v>
      </c>
      <c r="J70" s="65">
        <v>0.322837955919</v>
      </c>
      <c r="K70" s="65">
        <v>0.163010473</v>
      </c>
      <c r="L70" s="65">
        <v>1.2915124</v>
      </c>
      <c r="N70" s="66">
        <v>8.610082666666667</v>
      </c>
      <c r="O70" s="10">
        <f t="shared" si="24"/>
        <v>8.610082667</v>
      </c>
      <c r="Q70" s="67">
        <v>56.066342</v>
      </c>
      <c r="S70" s="68">
        <v>0.22243321</v>
      </c>
      <c r="T70" s="68">
        <v>0.2128092</v>
      </c>
      <c r="U70" s="68">
        <v>0.0085641321</v>
      </c>
      <c r="V70" s="68">
        <v>0.0010598706</v>
      </c>
      <c r="X70" s="69">
        <v>0.0013517853</v>
      </c>
      <c r="Y70" s="76"/>
      <c r="Z70" s="73" t="s">
        <v>138</v>
      </c>
    </row>
    <row r="71" ht="12.75" customHeight="1">
      <c r="B71" s="2"/>
      <c r="C71" s="60"/>
      <c r="D71" s="75" t="s">
        <v>139</v>
      </c>
      <c r="E71" s="62"/>
      <c r="G71" s="10"/>
      <c r="H71" s="10"/>
      <c r="I71" s="10"/>
      <c r="J71" s="10"/>
      <c r="K71" s="10"/>
      <c r="L71" s="10"/>
      <c r="N71" s="10"/>
      <c r="O71" s="10"/>
      <c r="Q71" s="67"/>
      <c r="Y71" s="71"/>
      <c r="Z71" s="48"/>
    </row>
    <row r="72" ht="12.75" customHeight="1">
      <c r="A72" s="1" t="s">
        <v>140</v>
      </c>
      <c r="B72" s="2" t="s">
        <v>125</v>
      </c>
      <c r="C72" s="60" t="str">
        <f t="shared" ref="C72:C79" si="25">MID(A72,1,12)</f>
        <v>A.030.04.101</v>
      </c>
      <c r="D72" s="51" t="s">
        <v>139</v>
      </c>
      <c r="E72" s="62" t="s">
        <v>45</v>
      </c>
      <c r="F72" s="63" t="str">
        <f t="shared" ref="F72:F79" si="26">MID(A72, 21,85)</f>
        <v>Acetic acid trade mix</v>
      </c>
      <c r="G72" s="64">
        <v>0.032943699447904824</v>
      </c>
      <c r="H72" s="10">
        <f t="shared" ref="H72:H79" si="27">G72</f>
        <v>0.03294369945</v>
      </c>
      <c r="I72" s="65">
        <v>0.0013245657790000001</v>
      </c>
      <c r="J72" s="65">
        <v>0.0019089943995900002</v>
      </c>
      <c r="K72" s="65">
        <v>3.798252693148257E-4</v>
      </c>
      <c r="L72" s="65">
        <v>0.029330314</v>
      </c>
      <c r="N72" s="66">
        <v>0.19553542666666668</v>
      </c>
      <c r="O72" s="10">
        <f t="shared" ref="O72:O79" si="28">N72</f>
        <v>0.1955354267</v>
      </c>
      <c r="Q72" s="67">
        <v>3.0541704</v>
      </c>
      <c r="S72" s="68">
        <v>0.0036312473</v>
      </c>
      <c r="T72" s="68">
        <v>0.0032755733</v>
      </c>
      <c r="U72" s="68">
        <v>1.5389615E-4</v>
      </c>
      <c r="V72" s="68">
        <v>2.0177793E-4</v>
      </c>
      <c r="X72" s="69">
        <v>9.5642763E-6</v>
      </c>
      <c r="Y72" s="76" t="s">
        <v>141</v>
      </c>
      <c r="Z72" s="73" t="s">
        <v>142</v>
      </c>
    </row>
    <row r="73" ht="12.75" customHeight="1">
      <c r="A73" s="1" t="s">
        <v>143</v>
      </c>
      <c r="B73" s="2" t="s">
        <v>125</v>
      </c>
      <c r="C73" s="60" t="str">
        <f t="shared" si="25"/>
        <v>A.030.04.102</v>
      </c>
      <c r="D73" s="51" t="s">
        <v>139</v>
      </c>
      <c r="E73" s="62" t="s">
        <v>45</v>
      </c>
      <c r="F73" s="63" t="str">
        <f t="shared" si="26"/>
        <v>Acetic Anhydride trade mix</v>
      </c>
      <c r="G73" s="64">
        <v>0.21803593147526681</v>
      </c>
      <c r="H73" s="10">
        <f t="shared" si="27"/>
        <v>0.2180359315</v>
      </c>
      <c r="I73" s="65">
        <v>0.014427565029999999</v>
      </c>
      <c r="J73" s="65">
        <v>0.02104042647781</v>
      </c>
      <c r="K73" s="65">
        <v>0.019307819967456803</v>
      </c>
      <c r="L73" s="65">
        <v>0.16326012</v>
      </c>
      <c r="N73" s="66">
        <v>1.0884008</v>
      </c>
      <c r="O73" s="10">
        <f t="shared" si="28"/>
        <v>1.0884008</v>
      </c>
      <c r="Q73" s="67">
        <v>40.390675</v>
      </c>
      <c r="S73" s="68">
        <v>0.023297898</v>
      </c>
      <c r="T73" s="68">
        <v>0.019730941</v>
      </c>
      <c r="U73" s="68">
        <v>8.9017199E-4</v>
      </c>
      <c r="V73" s="68">
        <v>0.0026767855</v>
      </c>
      <c r="X73" s="69">
        <v>8.5213945E-5</v>
      </c>
      <c r="Y73" s="76" t="s">
        <v>144</v>
      </c>
      <c r="Z73" s="73" t="s">
        <v>145</v>
      </c>
    </row>
    <row r="74" ht="12.75" customHeight="1">
      <c r="A74" s="1" t="s">
        <v>146</v>
      </c>
      <c r="B74" s="2" t="s">
        <v>125</v>
      </c>
      <c r="C74" s="60" t="str">
        <f t="shared" si="25"/>
        <v>A.030.04.103</v>
      </c>
      <c r="D74" s="51" t="s">
        <v>139</v>
      </c>
      <c r="E74" s="62" t="s">
        <v>45</v>
      </c>
      <c r="F74" s="63" t="str">
        <f t="shared" si="26"/>
        <v>Acetic Anhydride Halcon process</v>
      </c>
      <c r="G74" s="64">
        <v>0.1924473591367</v>
      </c>
      <c r="H74" s="10">
        <f t="shared" si="27"/>
        <v>0.1924473591</v>
      </c>
      <c r="I74" s="65">
        <v>0.01750588616</v>
      </c>
      <c r="J74" s="65">
        <v>0.0244717293767</v>
      </c>
      <c r="K74" s="65">
        <v>0.009438183599999999</v>
      </c>
      <c r="L74" s="65">
        <v>0.14103156</v>
      </c>
      <c r="N74" s="66">
        <v>0.9402104</v>
      </c>
      <c r="O74" s="10">
        <f t="shared" si="28"/>
        <v>0.9402104</v>
      </c>
      <c r="Q74" s="67">
        <v>37.09357</v>
      </c>
      <c r="S74" s="68">
        <v>0.02114012</v>
      </c>
      <c r="T74" s="68">
        <v>0.017922435</v>
      </c>
      <c r="U74" s="68">
        <v>7.897719E-4</v>
      </c>
      <c r="V74" s="68">
        <v>0.0024279134</v>
      </c>
      <c r="X74" s="69">
        <v>7.8280271E-5</v>
      </c>
      <c r="Y74" s="76" t="s">
        <v>144</v>
      </c>
      <c r="Z74" s="73" t="s">
        <v>145</v>
      </c>
    </row>
    <row r="75" ht="12.75" customHeight="1">
      <c r="A75" s="1" t="s">
        <v>147</v>
      </c>
      <c r="B75" s="2" t="s">
        <v>125</v>
      </c>
      <c r="C75" s="60" t="str">
        <f t="shared" si="25"/>
        <v>A.030.04.104</v>
      </c>
      <c r="D75" s="51" t="s">
        <v>139</v>
      </c>
      <c r="E75" s="62" t="s">
        <v>45</v>
      </c>
      <c r="F75" s="63" t="str">
        <f t="shared" si="26"/>
        <v>Acetic Anhydride Ketene process</v>
      </c>
      <c r="G75" s="64">
        <v>0.2635267364613041</v>
      </c>
      <c r="H75" s="10">
        <f t="shared" si="27"/>
        <v>0.2635267365</v>
      </c>
      <c r="I75" s="65">
        <v>0.00895499324</v>
      </c>
      <c r="J75" s="65">
        <v>0.014940333295000002</v>
      </c>
      <c r="K75" s="65">
        <v>0.03685383992630409</v>
      </c>
      <c r="L75" s="65">
        <v>0.20277757</v>
      </c>
      <c r="N75" s="66">
        <v>1.3518504666666666</v>
      </c>
      <c r="O75" s="10">
        <f t="shared" si="28"/>
        <v>1.351850467</v>
      </c>
      <c r="Q75" s="67">
        <v>46.252195</v>
      </c>
      <c r="S75" s="68">
        <v>0.027133948</v>
      </c>
      <c r="T75" s="68">
        <v>0.022946062</v>
      </c>
      <c r="U75" s="68">
        <v>0.001068661</v>
      </c>
      <c r="V75" s="68">
        <v>0.0031192248</v>
      </c>
      <c r="X75" s="69">
        <v>9.7540477E-5</v>
      </c>
      <c r="Y75" s="76" t="s">
        <v>144</v>
      </c>
      <c r="Z75" s="73" t="s">
        <v>145</v>
      </c>
    </row>
    <row r="76" ht="12.75" customHeight="1">
      <c r="A76" s="1" t="s">
        <v>148</v>
      </c>
      <c r="B76" s="2" t="s">
        <v>125</v>
      </c>
      <c r="C76" s="60" t="str">
        <f t="shared" si="25"/>
        <v>A.030.04.105</v>
      </c>
      <c r="D76" s="51" t="s">
        <v>139</v>
      </c>
      <c r="E76" s="62" t="s">
        <v>45</v>
      </c>
      <c r="F76" s="63" t="str">
        <f t="shared" si="26"/>
        <v>Chloroacetic acid (1)</v>
      </c>
      <c r="G76" s="64">
        <v>0.2121111251015678</v>
      </c>
      <c r="H76" s="10">
        <f t="shared" si="27"/>
        <v>0.2121111251</v>
      </c>
      <c r="I76" s="65">
        <v>0.017817059551</v>
      </c>
      <c r="J76" s="65">
        <v>0.0356084021996</v>
      </c>
      <c r="K76" s="65">
        <v>0.001747373350967791</v>
      </c>
      <c r="L76" s="65">
        <v>0.15693829</v>
      </c>
      <c r="N76" s="66">
        <v>1.0462552666666667</v>
      </c>
      <c r="O76" s="10">
        <f t="shared" si="28"/>
        <v>1.046255267</v>
      </c>
      <c r="Q76" s="67">
        <v>8.8361682</v>
      </c>
      <c r="S76" s="68">
        <v>0.027105591</v>
      </c>
      <c r="T76" s="68">
        <v>0.025796474</v>
      </c>
      <c r="U76" s="68">
        <v>9.7645834E-4</v>
      </c>
      <c r="V76" s="68">
        <v>3.3265828E-4</v>
      </c>
      <c r="X76" s="69">
        <v>8.2279056E-5</v>
      </c>
      <c r="Y76" s="76" t="s">
        <v>149</v>
      </c>
      <c r="Z76" s="73" t="s">
        <v>150</v>
      </c>
    </row>
    <row r="77" ht="12.75" customHeight="1">
      <c r="A77" s="1" t="s">
        <v>151</v>
      </c>
      <c r="B77" s="2" t="s">
        <v>125</v>
      </c>
      <c r="C77" s="60" t="str">
        <f t="shared" si="25"/>
        <v>A.030.04.106</v>
      </c>
      <c r="D77" s="51" t="s">
        <v>139</v>
      </c>
      <c r="E77" s="62" t="s">
        <v>45</v>
      </c>
      <c r="F77" s="63" t="str">
        <f t="shared" si="26"/>
        <v>Maleic acid</v>
      </c>
      <c r="G77" s="64">
        <v>0.119195355576346</v>
      </c>
      <c r="H77" s="10">
        <f t="shared" si="27"/>
        <v>0.1191953556</v>
      </c>
      <c r="I77" s="65">
        <v>0.023447678656345998</v>
      </c>
      <c r="J77" s="65">
        <v>0.04136230922</v>
      </c>
      <c r="K77" s="65">
        <v>0.0018853677</v>
      </c>
      <c r="L77" s="65">
        <v>0.0525</v>
      </c>
      <c r="N77" s="66">
        <v>0.35</v>
      </c>
      <c r="O77" s="10">
        <f t="shared" si="28"/>
        <v>0.35</v>
      </c>
      <c r="Q77" s="67">
        <v>52.756089</v>
      </c>
      <c r="S77" s="68">
        <v>0.018685444</v>
      </c>
      <c r="T77" s="68">
        <v>0.014396053</v>
      </c>
      <c r="U77" s="68">
        <v>5.410043E-4</v>
      </c>
      <c r="V77" s="68">
        <v>0.0037483864</v>
      </c>
      <c r="X77" s="69">
        <v>9.2310897E-5</v>
      </c>
      <c r="Y77" s="76" t="s">
        <v>144</v>
      </c>
      <c r="Z77" s="73" t="s">
        <v>152</v>
      </c>
    </row>
    <row r="78" ht="12.75" customHeight="1">
      <c r="A78" s="1" t="s">
        <v>153</v>
      </c>
      <c r="B78" s="2" t="s">
        <v>125</v>
      </c>
      <c r="C78" s="60" t="str">
        <f t="shared" si="25"/>
        <v>A.030.04.107</v>
      </c>
      <c r="D78" s="51" t="s">
        <v>139</v>
      </c>
      <c r="E78" s="62" t="s">
        <v>45</v>
      </c>
      <c r="F78" s="63" t="str">
        <f t="shared" si="26"/>
        <v>Adipic acid</v>
      </c>
      <c r="G78" s="64">
        <v>0.738082383730462</v>
      </c>
      <c r="H78" s="10">
        <f t="shared" si="27"/>
        <v>0.7380823837</v>
      </c>
      <c r="I78" s="65">
        <v>0.02391150823</v>
      </c>
      <c r="J78" s="65">
        <v>0.113665439485</v>
      </c>
      <c r="K78" s="65">
        <v>0.008021756015461961</v>
      </c>
      <c r="L78" s="65">
        <v>0.59248368</v>
      </c>
      <c r="N78" s="66">
        <v>3.9498911999999997</v>
      </c>
      <c r="O78" s="10">
        <f t="shared" si="28"/>
        <v>3.9498912</v>
      </c>
      <c r="Q78" s="67">
        <v>59.762283</v>
      </c>
      <c r="S78" s="68">
        <v>0.094794423</v>
      </c>
      <c r="T78" s="68">
        <v>0.087371193</v>
      </c>
      <c r="U78" s="68">
        <v>0.0032922153</v>
      </c>
      <c r="V78" s="68">
        <v>0.0041310149000000004</v>
      </c>
      <c r="X78" s="69">
        <v>2.0820078E-4</v>
      </c>
      <c r="Y78" s="77"/>
      <c r="Z78" s="73" t="s">
        <v>154</v>
      </c>
    </row>
    <row r="79" ht="12.75" customHeight="1">
      <c r="A79" s="1" t="s">
        <v>155</v>
      </c>
      <c r="B79" s="2" t="s">
        <v>125</v>
      </c>
      <c r="C79" s="60" t="str">
        <f t="shared" si="25"/>
        <v>A.030.04.108</v>
      </c>
      <c r="D79" s="51" t="s">
        <v>139</v>
      </c>
      <c r="E79" s="62" t="s">
        <v>45</v>
      </c>
      <c r="F79" s="63" t="str">
        <f t="shared" si="26"/>
        <v>Methacrylic acid</v>
      </c>
      <c r="G79" s="64">
        <v>1.984547953</v>
      </c>
      <c r="H79" s="10">
        <f t="shared" si="27"/>
        <v>1.984547953</v>
      </c>
      <c r="I79" s="65">
        <v>0.267814899</v>
      </c>
      <c r="J79" s="65">
        <v>0.52961214</v>
      </c>
      <c r="K79" s="65">
        <v>0.193520914</v>
      </c>
      <c r="L79" s="65">
        <v>0.9936</v>
      </c>
      <c r="N79" s="66">
        <v>6.6240000000000006</v>
      </c>
      <c r="O79" s="10">
        <f t="shared" si="28"/>
        <v>6.624</v>
      </c>
      <c r="Q79" s="67">
        <v>122.50976</v>
      </c>
      <c r="S79" s="68">
        <v>0.20583261</v>
      </c>
      <c r="T79" s="68">
        <v>0.19120972</v>
      </c>
      <c r="U79" s="68">
        <v>0.0065703716</v>
      </c>
      <c r="V79" s="68">
        <v>0.0080525106</v>
      </c>
      <c r="X79" s="69">
        <v>5.7193665E-4</v>
      </c>
      <c r="Y79" s="77"/>
      <c r="Z79" s="73" t="s">
        <v>156</v>
      </c>
    </row>
    <row r="80" ht="12.75" customHeight="1">
      <c r="B80" s="2"/>
      <c r="C80" s="60"/>
      <c r="D80" s="75" t="s">
        <v>157</v>
      </c>
      <c r="E80" s="62"/>
      <c r="G80" s="10"/>
      <c r="H80" s="10"/>
      <c r="I80" s="10"/>
      <c r="J80" s="10"/>
      <c r="K80" s="10"/>
      <c r="L80" s="10"/>
      <c r="N80" s="10"/>
      <c r="O80" s="10"/>
      <c r="Q80" s="67"/>
      <c r="Y80" s="74"/>
      <c r="Z80" s="48"/>
    </row>
    <row r="81" ht="12.75" customHeight="1">
      <c r="A81" s="1" t="s">
        <v>158</v>
      </c>
      <c r="B81" s="2" t="s">
        <v>125</v>
      </c>
      <c r="C81" s="60" t="str">
        <f t="shared" ref="C81:C83" si="29">MID(A81,1,12)</f>
        <v>A.030.06.101</v>
      </c>
      <c r="D81" s="51" t="s">
        <v>157</v>
      </c>
      <c r="E81" s="62" t="s">
        <v>45</v>
      </c>
      <c r="F81" s="63" t="str">
        <f t="shared" ref="F81:F83" si="30">MID(A81, 21,85)</f>
        <v>Fertilizer-N</v>
      </c>
      <c r="G81" s="64">
        <v>0.7193404128631462</v>
      </c>
      <c r="H81" s="10">
        <f t="shared" ref="H81:H83" si="31">G81</f>
        <v>0.7193404129</v>
      </c>
      <c r="I81" s="65">
        <v>0.03450452489</v>
      </c>
      <c r="J81" s="65">
        <v>0.081454159113</v>
      </c>
      <c r="K81" s="65">
        <v>0.021403638860146266</v>
      </c>
      <c r="L81" s="65">
        <v>0.58197809</v>
      </c>
      <c r="N81" s="66">
        <v>3.8798539333333335</v>
      </c>
      <c r="O81" s="10">
        <f t="shared" ref="O81:O83" si="32">N81</f>
        <v>3.879853933</v>
      </c>
      <c r="Q81" s="67">
        <v>55.907918</v>
      </c>
      <c r="S81" s="68">
        <v>0.083522955</v>
      </c>
      <c r="T81" s="68">
        <v>0.07662649</v>
      </c>
      <c r="U81" s="68">
        <v>0.0032854754</v>
      </c>
      <c r="V81" s="68">
        <v>0.0036109898</v>
      </c>
      <c r="X81" s="69">
        <v>2.0130811E-4</v>
      </c>
      <c r="Y81" s="70"/>
      <c r="Z81" s="72" t="s">
        <v>159</v>
      </c>
    </row>
    <row r="82" ht="12.75" customHeight="1">
      <c r="A82" s="1" t="s">
        <v>160</v>
      </c>
      <c r="B82" s="2" t="s">
        <v>125</v>
      </c>
      <c r="C82" s="60" t="str">
        <f t="shared" si="29"/>
        <v>A.030.06.102</v>
      </c>
      <c r="D82" s="51" t="s">
        <v>157</v>
      </c>
      <c r="E82" s="62" t="s">
        <v>45</v>
      </c>
      <c r="F82" s="63" t="str">
        <f t="shared" si="30"/>
        <v>Fertilizer-P</v>
      </c>
      <c r="G82" s="64">
        <v>0.24549841474378023</v>
      </c>
      <c r="H82" s="10">
        <f t="shared" si="31"/>
        <v>0.2454984147</v>
      </c>
      <c r="I82" s="65">
        <v>0.012183371437</v>
      </c>
      <c r="J82" s="65">
        <v>0.035640486368000004</v>
      </c>
      <c r="K82" s="65">
        <v>0.019641386938780224</v>
      </c>
      <c r="L82" s="65">
        <v>0.17803317</v>
      </c>
      <c r="N82" s="66">
        <v>1.1868878</v>
      </c>
      <c r="O82" s="10">
        <f t="shared" si="32"/>
        <v>1.1868878</v>
      </c>
      <c r="Q82" s="67">
        <v>17.344445</v>
      </c>
      <c r="S82" s="68">
        <v>0.028287645</v>
      </c>
      <c r="T82" s="68">
        <v>0.026236339</v>
      </c>
      <c r="U82" s="68">
        <v>0.0010524367</v>
      </c>
      <c r="V82" s="68">
        <v>9.9886899E-4</v>
      </c>
      <c r="X82" s="69">
        <v>6.4403938E-5</v>
      </c>
      <c r="Y82" s="70"/>
      <c r="Z82" s="72" t="s">
        <v>161</v>
      </c>
    </row>
    <row r="83" ht="12.75" customHeight="1">
      <c r="A83" s="1" t="s">
        <v>162</v>
      </c>
      <c r="B83" s="2" t="s">
        <v>125</v>
      </c>
      <c r="C83" s="60" t="str">
        <f t="shared" si="29"/>
        <v>A.030.06.103</v>
      </c>
      <c r="D83" s="51" t="s">
        <v>157</v>
      </c>
      <c r="E83" s="62" t="s">
        <v>45</v>
      </c>
      <c r="F83" s="63" t="str">
        <f t="shared" si="30"/>
        <v>Fertilizer-K</v>
      </c>
      <c r="G83" s="64">
        <v>0.14050741892019947</v>
      </c>
      <c r="H83" s="10">
        <f t="shared" si="31"/>
        <v>0.1405074189</v>
      </c>
      <c r="I83" s="65">
        <v>0.006066573451</v>
      </c>
      <c r="J83" s="65">
        <v>0.0121339164955</v>
      </c>
      <c r="K83" s="65">
        <v>0.007895718973699457</v>
      </c>
      <c r="L83" s="65">
        <v>0.11441121</v>
      </c>
      <c r="N83" s="66">
        <v>0.7627414</v>
      </c>
      <c r="O83" s="10">
        <f t="shared" si="32"/>
        <v>0.7627414</v>
      </c>
      <c r="Q83" s="67">
        <v>11.369001</v>
      </c>
      <c r="S83" s="68">
        <v>0.01535008</v>
      </c>
      <c r="T83" s="68">
        <v>0.014039841</v>
      </c>
      <c r="U83" s="68">
        <v>6.2930764E-4</v>
      </c>
      <c r="V83" s="68">
        <v>6.8093193E-4</v>
      </c>
      <c r="X83" s="69">
        <v>3.8747744E-5</v>
      </c>
      <c r="Y83" s="70"/>
      <c r="Z83" s="72" t="s">
        <v>163</v>
      </c>
    </row>
    <row r="84" ht="12.75" customHeight="1">
      <c r="B84" s="2"/>
      <c r="C84" s="60"/>
      <c r="D84" s="75" t="s">
        <v>164</v>
      </c>
      <c r="E84" s="62"/>
      <c r="G84" s="10"/>
      <c r="H84" s="10"/>
      <c r="I84" s="10"/>
      <c r="J84" s="10"/>
      <c r="K84" s="10"/>
      <c r="L84" s="10"/>
      <c r="N84" s="10"/>
      <c r="O84" s="10"/>
      <c r="Q84" s="67"/>
      <c r="Y84" s="74"/>
      <c r="Z84" s="48"/>
    </row>
    <row r="85" ht="12.75" customHeight="1">
      <c r="A85" s="1" t="s">
        <v>165</v>
      </c>
      <c r="B85" s="2" t="s">
        <v>125</v>
      </c>
      <c r="C85" s="60" t="str">
        <f t="shared" ref="C85:C97" si="33">MID(A85,1,12)</f>
        <v>A.030.08.101</v>
      </c>
      <c r="D85" s="51" t="s">
        <v>164</v>
      </c>
      <c r="E85" s="62" t="s">
        <v>45</v>
      </c>
      <c r="F85" s="63" t="str">
        <f t="shared" ref="F85:F97" si="34">MID(A85, 21,85)</f>
        <v>Argon</v>
      </c>
      <c r="G85" s="64">
        <v>0.3705094554318242</v>
      </c>
      <c r="H85" s="10">
        <f t="shared" ref="H85:H97" si="35">G85</f>
        <v>0.3705094554</v>
      </c>
      <c r="I85" s="65">
        <v>0.014998677079999998</v>
      </c>
      <c r="J85" s="65">
        <v>0.021480365768</v>
      </c>
      <c r="K85" s="65">
        <v>0.0035110525838241897</v>
      </c>
      <c r="L85" s="65">
        <v>0.33051936</v>
      </c>
      <c r="N85" s="66">
        <v>2.2034624</v>
      </c>
      <c r="O85" s="10">
        <f t="shared" ref="O85:O97" si="36">N85</f>
        <v>2.2034624</v>
      </c>
      <c r="Q85" s="67">
        <v>32.656775</v>
      </c>
      <c r="S85" s="68">
        <v>0.040912409</v>
      </c>
      <c r="T85" s="68">
        <v>0.036883176</v>
      </c>
      <c r="U85" s="68">
        <v>0.0017338267</v>
      </c>
      <c r="V85" s="68">
        <v>0.002295406</v>
      </c>
      <c r="X85" s="69">
        <v>1.0774633E-4</v>
      </c>
      <c r="Y85" s="76" t="s">
        <v>166</v>
      </c>
      <c r="Z85" s="48" t="s">
        <v>167</v>
      </c>
    </row>
    <row r="86" ht="12.75" customHeight="1">
      <c r="A86" s="1" t="s">
        <v>168</v>
      </c>
      <c r="B86" s="2" t="s">
        <v>125</v>
      </c>
      <c r="C86" s="60" t="str">
        <f t="shared" si="33"/>
        <v>A.030.08.102</v>
      </c>
      <c r="D86" s="51" t="s">
        <v>164</v>
      </c>
      <c r="E86" s="62" t="s">
        <v>45</v>
      </c>
      <c r="F86" s="63" t="str">
        <f t="shared" si="34"/>
        <v>Carbon dioxide liquid</v>
      </c>
      <c r="G86" s="64">
        <v>0.0843674507192</v>
      </c>
      <c r="H86" s="10">
        <f t="shared" si="35"/>
        <v>0.08436745072</v>
      </c>
      <c r="I86" s="65">
        <v>0.0030732967140000003</v>
      </c>
      <c r="J86" s="65">
        <v>0.0051701429152</v>
      </c>
      <c r="K86" s="65">
        <v>0.00641436309</v>
      </c>
      <c r="L86" s="65">
        <v>0.069709648</v>
      </c>
      <c r="N86" s="66">
        <v>0.4647309866666667</v>
      </c>
      <c r="O86" s="10">
        <f t="shared" si="36"/>
        <v>0.4647309867</v>
      </c>
      <c r="Q86" s="67">
        <v>7.6873639</v>
      </c>
      <c r="S86" s="68">
        <v>0.0087174769</v>
      </c>
      <c r="T86" s="68">
        <v>0.0079938607</v>
      </c>
      <c r="U86" s="68">
        <v>3.6951427E-4</v>
      </c>
      <c r="V86" s="68">
        <v>3.5410193E-4</v>
      </c>
      <c r="X86" s="69">
        <v>2.3050639E-5</v>
      </c>
      <c r="Y86" s="76" t="s">
        <v>169</v>
      </c>
      <c r="Z86" s="48" t="s">
        <v>170</v>
      </c>
    </row>
    <row r="87" ht="12.75" customHeight="1">
      <c r="A87" s="1" t="s">
        <v>171</v>
      </c>
      <c r="B87" s="2" t="s">
        <v>125</v>
      </c>
      <c r="C87" s="60" t="str">
        <f t="shared" si="33"/>
        <v>A.030.08.103</v>
      </c>
      <c r="D87" s="51" t="s">
        <v>164</v>
      </c>
      <c r="E87" s="62" t="s">
        <v>45</v>
      </c>
      <c r="F87" s="63" t="str">
        <f t="shared" si="34"/>
        <v>Carbon monoxide</v>
      </c>
      <c r="G87" s="64">
        <v>0.289335207862</v>
      </c>
      <c r="H87" s="10">
        <f t="shared" si="35"/>
        <v>0.2893352079</v>
      </c>
      <c r="I87" s="65">
        <v>0.013394650762</v>
      </c>
      <c r="J87" s="65">
        <v>0.063859598</v>
      </c>
      <c r="K87" s="65">
        <v>0.0028309591</v>
      </c>
      <c r="L87" s="65">
        <v>0.20925</v>
      </c>
      <c r="N87" s="66">
        <v>1.395</v>
      </c>
      <c r="O87" s="10">
        <f t="shared" si="36"/>
        <v>1.395</v>
      </c>
      <c r="Q87" s="67">
        <v>55.422348</v>
      </c>
      <c r="S87" s="68">
        <v>0.035066693</v>
      </c>
      <c r="T87" s="68">
        <v>0.029918673</v>
      </c>
      <c r="U87" s="68">
        <v>0.001215858</v>
      </c>
      <c r="V87" s="68">
        <v>0.0039321619</v>
      </c>
      <c r="X87" s="69">
        <v>1.2004773E-4</v>
      </c>
      <c r="Y87" s="76" t="s">
        <v>172</v>
      </c>
      <c r="Z87" s="48" t="s">
        <v>173</v>
      </c>
    </row>
    <row r="88" ht="12.75" customHeight="1">
      <c r="A88" s="1" t="s">
        <v>174</v>
      </c>
      <c r="B88" s="2" t="s">
        <v>125</v>
      </c>
      <c r="C88" s="60" t="str">
        <f t="shared" si="33"/>
        <v>A.030.08.104</v>
      </c>
      <c r="D88" s="51" t="s">
        <v>164</v>
      </c>
      <c r="E88" s="62" t="s">
        <v>45</v>
      </c>
      <c r="F88" s="63" t="str">
        <f t="shared" si="34"/>
        <v>Chlorine (US 2011)</v>
      </c>
      <c r="G88" s="64">
        <v>0.141974841673</v>
      </c>
      <c r="H88" s="10">
        <f t="shared" si="35"/>
        <v>0.1419748417</v>
      </c>
      <c r="I88" s="65">
        <v>0.008314513837</v>
      </c>
      <c r="J88" s="65">
        <v>0.011678767636000002</v>
      </c>
      <c r="K88" s="65">
        <v>0.0179577002</v>
      </c>
      <c r="L88" s="65">
        <v>0.10402386</v>
      </c>
      <c r="N88" s="66">
        <v>0.6934924</v>
      </c>
      <c r="O88" s="10">
        <f t="shared" si="36"/>
        <v>0.6934924</v>
      </c>
      <c r="Q88" s="67">
        <v>15.588557</v>
      </c>
      <c r="S88" s="68">
        <v>0.013914472</v>
      </c>
      <c r="T88" s="68">
        <v>0.012732077</v>
      </c>
      <c r="U88" s="68">
        <v>5.7017188E-4</v>
      </c>
      <c r="V88" s="68">
        <v>6.1222279E-4</v>
      </c>
      <c r="X88" s="69">
        <v>4.1516839E-5</v>
      </c>
      <c r="Y88" s="76" t="s">
        <v>175</v>
      </c>
      <c r="Z88" s="48" t="s">
        <v>176</v>
      </c>
    </row>
    <row r="89" ht="12.75" customHeight="1">
      <c r="A89" s="1" t="s">
        <v>177</v>
      </c>
      <c r="B89" s="2" t="s">
        <v>125</v>
      </c>
      <c r="C89" s="60" t="str">
        <f t="shared" si="33"/>
        <v>A.030.08.105</v>
      </c>
      <c r="D89" s="51" t="s">
        <v>164</v>
      </c>
      <c r="E89" s="62" t="s">
        <v>45</v>
      </c>
      <c r="F89" s="63" t="str">
        <f t="shared" si="34"/>
        <v>Chlorine (Plasticseurope 2013)</v>
      </c>
      <c r="G89" s="64">
        <v>0.1907202875090585</v>
      </c>
      <c r="H89" s="10">
        <f t="shared" si="35"/>
        <v>0.1907202875</v>
      </c>
      <c r="I89" s="65">
        <v>0.019216464762749</v>
      </c>
      <c r="J89" s="65">
        <v>0.0365038227463095</v>
      </c>
      <c r="K89" s="65">
        <v>0.0</v>
      </c>
      <c r="L89" s="65">
        <v>0.135</v>
      </c>
      <c r="N89" s="66">
        <v>0.9000000000000001</v>
      </c>
      <c r="O89" s="10">
        <f t="shared" si="36"/>
        <v>0.9</v>
      </c>
      <c r="Q89" s="67">
        <v>4.5</v>
      </c>
      <c r="S89" s="68">
        <v>0.025316966</v>
      </c>
      <c r="T89" s="68">
        <v>0.024435361</v>
      </c>
      <c r="U89" s="68">
        <v>8.8160536E-4</v>
      </c>
      <c r="V89" s="68">
        <v>0.0</v>
      </c>
      <c r="X89" s="69">
        <v>8.3493267E-5</v>
      </c>
      <c r="Y89" s="76" t="s">
        <v>175</v>
      </c>
      <c r="Z89" s="48" t="s">
        <v>176</v>
      </c>
    </row>
    <row r="90" ht="12.75" customHeight="1">
      <c r="A90" s="1" t="s">
        <v>178</v>
      </c>
      <c r="B90" s="2" t="s">
        <v>125</v>
      </c>
      <c r="C90" s="60" t="str">
        <f t="shared" si="33"/>
        <v>A.030.08.106</v>
      </c>
      <c r="D90" s="51" t="s">
        <v>164</v>
      </c>
      <c r="E90" s="62" t="s">
        <v>45</v>
      </c>
      <c r="F90" s="63" t="str">
        <f t="shared" si="34"/>
        <v>Chlorine (European Chlor-Alkali Industry 2022)</v>
      </c>
      <c r="G90" s="64">
        <v>0.13957084183725862</v>
      </c>
      <c r="H90" s="10">
        <f t="shared" si="35"/>
        <v>0.1395708418</v>
      </c>
      <c r="I90" s="65">
        <v>0.0016833667305245</v>
      </c>
      <c r="J90" s="65">
        <v>0.03138747510673412</v>
      </c>
      <c r="K90" s="65">
        <v>0.0</v>
      </c>
      <c r="L90" s="65">
        <v>0.1065</v>
      </c>
      <c r="N90" s="66">
        <v>0.71</v>
      </c>
      <c r="O90" s="10">
        <f t="shared" si="36"/>
        <v>0.71</v>
      </c>
      <c r="Q90" s="67">
        <v>0.0</v>
      </c>
      <c r="S90" s="68">
        <v>0.020900745</v>
      </c>
      <c r="T90" s="68">
        <v>0.020188686</v>
      </c>
      <c r="U90" s="68">
        <v>7.1205917E-4</v>
      </c>
      <c r="V90" s="68">
        <v>0.0</v>
      </c>
      <c r="X90" s="69">
        <v>2.9393651E-5</v>
      </c>
      <c r="Y90" s="76" t="s">
        <v>175</v>
      </c>
      <c r="Z90" s="48" t="s">
        <v>176</v>
      </c>
    </row>
    <row r="91" ht="12.75" customHeight="1">
      <c r="A91" s="1" t="s">
        <v>179</v>
      </c>
      <c r="B91" s="2" t="s">
        <v>125</v>
      </c>
      <c r="C91" s="60" t="str">
        <f t="shared" si="33"/>
        <v>A.030.08.107</v>
      </c>
      <c r="D91" s="51" t="s">
        <v>164</v>
      </c>
      <c r="E91" s="62" t="s">
        <v>45</v>
      </c>
      <c r="F91" s="63" t="str">
        <f t="shared" si="34"/>
        <v>Chlorine (average of USLCI - Plasticseurope - EU chlor-alkali ind.)</v>
      </c>
      <c r="G91" s="64">
        <v>0.1558477660196</v>
      </c>
      <c r="H91" s="10">
        <f t="shared" si="35"/>
        <v>0.155847766</v>
      </c>
      <c r="I91" s="65">
        <v>0.009640733901</v>
      </c>
      <c r="J91" s="65">
        <v>0.026258121128599998</v>
      </c>
      <c r="K91" s="65">
        <v>0.00592604099</v>
      </c>
      <c r="L91" s="65">
        <v>0.11402287</v>
      </c>
      <c r="N91" s="66">
        <v>0.7601524666666667</v>
      </c>
      <c r="O91" s="10">
        <f t="shared" si="36"/>
        <v>0.7601524667</v>
      </c>
      <c r="Q91" s="67">
        <v>6.6292237</v>
      </c>
      <c r="S91" s="68">
        <v>0.01984362</v>
      </c>
      <c r="T91" s="68">
        <v>0.018927521</v>
      </c>
      <c r="U91" s="68">
        <v>7.1406601E-4</v>
      </c>
      <c r="V91" s="68">
        <v>2.0203352E-4</v>
      </c>
      <c r="X91" s="69">
        <v>5.095324E-5</v>
      </c>
      <c r="Y91" s="76" t="s">
        <v>175</v>
      </c>
      <c r="Z91" s="48" t="s">
        <v>176</v>
      </c>
    </row>
    <row r="92" ht="12.75" customHeight="1">
      <c r="A92" s="1" t="s">
        <v>180</v>
      </c>
      <c r="B92" s="2" t="s">
        <v>125</v>
      </c>
      <c r="C92" s="60" t="str">
        <f t="shared" si="33"/>
        <v>A.030.08.108</v>
      </c>
      <c r="D92" s="51" t="s">
        <v>164</v>
      </c>
      <c r="E92" s="62" t="s">
        <v>45</v>
      </c>
      <c r="F92" s="63" t="str">
        <f t="shared" si="34"/>
        <v>Hydrogen - methane to hydrogen (SMR)</v>
      </c>
      <c r="G92" s="64">
        <v>1.9803212020714511</v>
      </c>
      <c r="H92" s="10">
        <f t="shared" si="35"/>
        <v>1.980321202</v>
      </c>
      <c r="I92" s="65">
        <v>0.07954416715000001</v>
      </c>
      <c r="J92" s="65">
        <v>0.11485987069100001</v>
      </c>
      <c r="K92" s="65">
        <v>0.02236986423045124</v>
      </c>
      <c r="L92" s="65">
        <v>1.7635473</v>
      </c>
      <c r="N92" s="66">
        <v>11.756982</v>
      </c>
      <c r="O92" s="10">
        <f t="shared" si="36"/>
        <v>11.756982</v>
      </c>
      <c r="Q92" s="67">
        <v>174.8468</v>
      </c>
      <c r="S92" s="68">
        <v>0.21860185</v>
      </c>
      <c r="T92" s="68">
        <v>0.19718038</v>
      </c>
      <c r="U92" s="68">
        <v>0.0092716807</v>
      </c>
      <c r="V92" s="68">
        <v>0.012149784</v>
      </c>
      <c r="X92" s="69">
        <v>5.7664503E-4</v>
      </c>
      <c r="Y92" s="78" t="s">
        <v>181</v>
      </c>
      <c r="Z92" s="48" t="s">
        <v>182</v>
      </c>
    </row>
    <row r="93" ht="12.75" customHeight="1">
      <c r="A93" s="1" t="s">
        <v>183</v>
      </c>
      <c r="B93" s="2" t="s">
        <v>125</v>
      </c>
      <c r="C93" s="60" t="str">
        <f t="shared" si="33"/>
        <v>A.030.08.109</v>
      </c>
      <c r="D93" s="51" t="s">
        <v>164</v>
      </c>
      <c r="E93" s="62" t="s">
        <v>45</v>
      </c>
      <c r="F93" s="63" t="str">
        <f t="shared" si="34"/>
        <v>Nitrogen liquid</v>
      </c>
      <c r="G93" s="64">
        <v>0.04398412051044419</v>
      </c>
      <c r="H93" s="10">
        <f t="shared" si="35"/>
        <v>0.04398412051</v>
      </c>
      <c r="I93" s="65">
        <v>0.00147578201862</v>
      </c>
      <c r="J93" s="65">
        <v>0.0029684957379999995</v>
      </c>
      <c r="K93" s="65">
        <v>0.00707414875382419</v>
      </c>
      <c r="L93" s="65">
        <v>0.032465694</v>
      </c>
      <c r="N93" s="66">
        <v>0.21643796000000004</v>
      </c>
      <c r="O93" s="10">
        <f t="shared" si="36"/>
        <v>0.21643796</v>
      </c>
      <c r="Q93" s="67">
        <v>4.1237739</v>
      </c>
      <c r="S93" s="68">
        <v>0.0041318186</v>
      </c>
      <c r="T93" s="68">
        <v>0.0038782745</v>
      </c>
      <c r="U93" s="68">
        <v>1.7505718E-4</v>
      </c>
      <c r="V93" s="68">
        <v>7.8486915E-5</v>
      </c>
      <c r="X93" s="69">
        <v>1.0991842E-5</v>
      </c>
      <c r="Y93" s="76" t="s">
        <v>184</v>
      </c>
      <c r="Z93" s="48" t="s">
        <v>185</v>
      </c>
    </row>
    <row r="94" ht="12.75" customHeight="1">
      <c r="A94" s="1" t="s">
        <v>186</v>
      </c>
      <c r="B94" s="2" t="s">
        <v>125</v>
      </c>
      <c r="C94" s="60" t="str">
        <f t="shared" si="33"/>
        <v>A.030.08.110</v>
      </c>
      <c r="D94" s="51" t="s">
        <v>164</v>
      </c>
      <c r="E94" s="62" t="s">
        <v>45</v>
      </c>
      <c r="F94" s="63" t="str">
        <f t="shared" si="34"/>
        <v>Oxigen liquid</v>
      </c>
      <c r="G94" s="64">
        <v>0.0641696874403442</v>
      </c>
      <c r="H94" s="10">
        <f t="shared" si="35"/>
        <v>0.06416968744</v>
      </c>
      <c r="I94" s="65">
        <v>0.00211538729862</v>
      </c>
      <c r="J94" s="65">
        <v>0.0042935346379</v>
      </c>
      <c r="K94" s="65">
        <v>0.010277300503824192</v>
      </c>
      <c r="L94" s="65">
        <v>0.047483465</v>
      </c>
      <c r="N94" s="66">
        <v>0.3165564333333334</v>
      </c>
      <c r="O94" s="10">
        <f t="shared" si="36"/>
        <v>0.3165564333</v>
      </c>
      <c r="Q94" s="67">
        <v>6.0346921</v>
      </c>
      <c r="S94" s="68">
        <v>0.0060387827</v>
      </c>
      <c r="T94" s="68">
        <v>0.0056694167</v>
      </c>
      <c r="U94" s="68">
        <v>2.5590539E-4</v>
      </c>
      <c r="V94" s="68">
        <v>1.1346059E-4</v>
      </c>
      <c r="X94" s="69">
        <v>1.6063614E-5</v>
      </c>
      <c r="Y94" s="79" t="s">
        <v>181</v>
      </c>
      <c r="Z94" s="48" t="s">
        <v>187</v>
      </c>
    </row>
    <row r="95" ht="12.75" customHeight="1">
      <c r="A95" s="1" t="s">
        <v>188</v>
      </c>
      <c r="B95" s="2" t="s">
        <v>125</v>
      </c>
      <c r="C95" s="60" t="str">
        <f t="shared" si="33"/>
        <v>A.030.08.111</v>
      </c>
      <c r="D95" s="51" t="s">
        <v>164</v>
      </c>
      <c r="E95" s="62" t="s">
        <v>45</v>
      </c>
      <c r="F95" s="63" t="str">
        <f t="shared" si="34"/>
        <v>Hydrogen - PEM electrolyzer - electricity from grid average</v>
      </c>
      <c r="G95" s="64">
        <v>5.114013322</v>
      </c>
      <c r="H95" s="10">
        <f t="shared" si="35"/>
        <v>5.114013322</v>
      </c>
      <c r="I95" s="65">
        <v>0.16204400300000002</v>
      </c>
      <c r="J95" s="65">
        <v>0.33569861</v>
      </c>
      <c r="K95" s="65">
        <v>0.811518509</v>
      </c>
      <c r="L95" s="65">
        <v>3.8047522</v>
      </c>
      <c r="N95" s="66">
        <v>25.365014666666667</v>
      </c>
      <c r="O95" s="10">
        <f t="shared" si="36"/>
        <v>25.36501467</v>
      </c>
      <c r="Q95" s="67">
        <v>484.13114</v>
      </c>
      <c r="S95" s="68">
        <v>0.48312934</v>
      </c>
      <c r="T95" s="68">
        <v>0.45378586</v>
      </c>
      <c r="U95" s="68">
        <v>0.020482894</v>
      </c>
      <c r="V95" s="68">
        <v>0.008860581</v>
      </c>
      <c r="X95" s="69">
        <v>0.0012849334</v>
      </c>
      <c r="Y95" s="70"/>
      <c r="Z95" s="48" t="s">
        <v>182</v>
      </c>
    </row>
    <row r="96" ht="12.75" customHeight="1">
      <c r="A96" s="1" t="s">
        <v>189</v>
      </c>
      <c r="B96" s="2" t="s">
        <v>125</v>
      </c>
      <c r="C96" s="60" t="str">
        <f t="shared" si="33"/>
        <v>A.030.08.112</v>
      </c>
      <c r="D96" s="51" t="s">
        <v>164</v>
      </c>
      <c r="E96" s="62" t="s">
        <v>45</v>
      </c>
      <c r="F96" s="63" t="str">
        <f t="shared" si="34"/>
        <v>Hydrogen - PEM electrolyzer - electricity from offshore wind</v>
      </c>
      <c r="G96" s="64">
        <v>0.18352457965611993</v>
      </c>
      <c r="H96" s="10">
        <f t="shared" si="35"/>
        <v>0.1835245797</v>
      </c>
      <c r="I96" s="65">
        <v>0.0077325150200000005</v>
      </c>
      <c r="J96" s="65">
        <v>0.0252766366945</v>
      </c>
      <c r="K96" s="65">
        <v>0.059858888941619934</v>
      </c>
      <c r="L96" s="65">
        <v>0.090656539</v>
      </c>
      <c r="N96" s="66">
        <v>0.6043769266666666</v>
      </c>
      <c r="O96" s="10">
        <f t="shared" si="36"/>
        <v>0.6043769267</v>
      </c>
      <c r="Q96" s="67">
        <v>209.74098</v>
      </c>
      <c r="S96" s="68">
        <v>0.015110266</v>
      </c>
      <c r="T96" s="68">
        <v>0.01407503</v>
      </c>
      <c r="U96" s="68">
        <v>5.2982271E-4</v>
      </c>
      <c r="V96" s="68">
        <v>5.0541252E-4</v>
      </c>
      <c r="X96" s="69">
        <v>3.8159199E-5</v>
      </c>
      <c r="Y96" s="70"/>
      <c r="Z96" s="48" t="s">
        <v>182</v>
      </c>
    </row>
    <row r="97" ht="12.75" customHeight="1">
      <c r="A97" s="1" t="s">
        <v>190</v>
      </c>
      <c r="B97" s="2" t="s">
        <v>125</v>
      </c>
      <c r="C97" s="60" t="str">
        <f t="shared" si="33"/>
        <v>A.030.08.113</v>
      </c>
      <c r="D97" s="51" t="s">
        <v>164</v>
      </c>
      <c r="E97" s="62" t="s">
        <v>45</v>
      </c>
      <c r="F97" s="63" t="str">
        <f t="shared" si="34"/>
        <v>Hydrogen liquefaction - electricity from the grid average</v>
      </c>
      <c r="G97" s="64">
        <v>0.627670196</v>
      </c>
      <c r="H97" s="10">
        <f t="shared" si="35"/>
        <v>0.627670196</v>
      </c>
      <c r="I97" s="65">
        <v>0.0198885265</v>
      </c>
      <c r="J97" s="65">
        <v>0.041202085</v>
      </c>
      <c r="K97" s="65">
        <v>0.0996020045</v>
      </c>
      <c r="L97" s="65">
        <v>0.46697758</v>
      </c>
      <c r="N97" s="66">
        <v>3.1131838666666667</v>
      </c>
      <c r="O97" s="10">
        <f t="shared" si="36"/>
        <v>3.113183867</v>
      </c>
      <c r="Q97" s="67">
        <v>59.420003</v>
      </c>
      <c r="S97" s="68">
        <v>0.059297047</v>
      </c>
      <c r="T97" s="68">
        <v>0.055695565</v>
      </c>
      <c r="U97" s="68">
        <v>0.0025139751</v>
      </c>
      <c r="V97" s="68">
        <v>0.0010875065</v>
      </c>
      <c r="X97" s="69">
        <v>1.5770675E-4</v>
      </c>
      <c r="Y97" s="70"/>
      <c r="Z97" s="48" t="s">
        <v>182</v>
      </c>
    </row>
    <row r="98" ht="12.75" customHeight="1">
      <c r="B98" s="2"/>
      <c r="C98" s="60"/>
      <c r="D98" s="75" t="s">
        <v>191</v>
      </c>
      <c r="E98" s="62"/>
      <c r="G98" s="10"/>
      <c r="H98" s="10"/>
      <c r="I98" s="10"/>
      <c r="J98" s="10"/>
      <c r="K98" s="10"/>
      <c r="L98" s="10"/>
      <c r="N98" s="10"/>
      <c r="O98" s="10"/>
      <c r="Q98" s="67"/>
      <c r="Y98" s="74"/>
      <c r="Z98" s="48"/>
    </row>
    <row r="99" ht="12.75" customHeight="1">
      <c r="A99" s="1" t="s">
        <v>192</v>
      </c>
      <c r="B99" s="2" t="s">
        <v>125</v>
      </c>
      <c r="C99" s="60" t="str">
        <f t="shared" ref="C99:C135" si="37">MID(A99,1,12)</f>
        <v>A.030.10.101</v>
      </c>
      <c r="D99" s="51" t="s">
        <v>191</v>
      </c>
      <c r="E99" s="62" t="s">
        <v>45</v>
      </c>
      <c r="F99" s="63" t="str">
        <f t="shared" ref="F99:F135" si="38">MID(A99, 21,85)</f>
        <v>Ammonia</v>
      </c>
      <c r="G99" s="64">
        <v>0.351574651700231</v>
      </c>
      <c r="H99" s="10">
        <f t="shared" ref="H99:H135" si="39">G99</f>
        <v>0.3515746517</v>
      </c>
      <c r="I99" s="65">
        <v>2.314986593E-5</v>
      </c>
      <c r="J99" s="65">
        <v>3.3176232111E-5</v>
      </c>
      <c r="K99" s="65">
        <v>5.04560219E-6</v>
      </c>
      <c r="L99" s="65">
        <v>0.35151328</v>
      </c>
      <c r="N99" s="66">
        <v>2.3434218666666666</v>
      </c>
      <c r="O99" s="10">
        <f t="shared" ref="O99:O135" si="40">N99</f>
        <v>2.343421867</v>
      </c>
      <c r="Q99" s="67">
        <v>0.050701315</v>
      </c>
      <c r="S99" s="68">
        <v>0.038056181</v>
      </c>
      <c r="T99" s="68">
        <v>0.036278215</v>
      </c>
      <c r="U99" s="68">
        <v>0.0017744012</v>
      </c>
      <c r="V99" s="68">
        <v>3.5641483E-6</v>
      </c>
      <c r="X99" s="69">
        <v>6.5412681E-5</v>
      </c>
      <c r="Y99" s="76" t="s">
        <v>172</v>
      </c>
      <c r="Z99" s="73" t="s">
        <v>193</v>
      </c>
    </row>
    <row r="100" ht="12.75" customHeight="1">
      <c r="A100" s="1" t="s">
        <v>194</v>
      </c>
      <c r="B100" s="2" t="s">
        <v>125</v>
      </c>
      <c r="C100" s="60" t="str">
        <f t="shared" si="37"/>
        <v>A.030.10.103</v>
      </c>
      <c r="D100" s="51" t="s">
        <v>191</v>
      </c>
      <c r="E100" s="62" t="s">
        <v>45</v>
      </c>
      <c r="F100" s="63" t="str">
        <f t="shared" si="38"/>
        <v>Carbon black</v>
      </c>
      <c r="G100" s="64">
        <v>0.697616353934</v>
      </c>
      <c r="H100" s="10">
        <f t="shared" si="39"/>
        <v>0.6976163539</v>
      </c>
      <c r="I100" s="65">
        <v>0.07016574757000002</v>
      </c>
      <c r="J100" s="65">
        <v>0.128944341664</v>
      </c>
      <c r="K100" s="65">
        <v>0.011100324699999999</v>
      </c>
      <c r="L100" s="65">
        <v>0.48740594</v>
      </c>
      <c r="N100" s="66">
        <v>3.2493729333333334</v>
      </c>
      <c r="O100" s="10">
        <f t="shared" si="40"/>
        <v>3.249372933</v>
      </c>
      <c r="Q100" s="67">
        <v>111.54289</v>
      </c>
      <c r="S100" s="68">
        <v>0.08458766</v>
      </c>
      <c r="T100" s="68">
        <v>0.073707286</v>
      </c>
      <c r="U100" s="68">
        <v>0.0030392481</v>
      </c>
      <c r="V100" s="68">
        <v>0.0078411262</v>
      </c>
      <c r="X100" s="69">
        <v>2.6877199E-4</v>
      </c>
      <c r="Y100" s="78" t="s">
        <v>181</v>
      </c>
      <c r="Z100" s="73" t="s">
        <v>195</v>
      </c>
    </row>
    <row r="101" ht="12.75" customHeight="1">
      <c r="A101" s="1" t="s">
        <v>196</v>
      </c>
      <c r="B101" s="2" t="s">
        <v>125</v>
      </c>
      <c r="C101" s="60" t="str">
        <f t="shared" si="37"/>
        <v>A.030.10.105</v>
      </c>
      <c r="D101" s="51" t="s">
        <v>191</v>
      </c>
      <c r="E101" s="62" t="s">
        <v>45</v>
      </c>
      <c r="F101" s="63" t="str">
        <f t="shared" si="38"/>
        <v>Cobalt oxide (CoO)</v>
      </c>
      <c r="G101" s="64">
        <v>35.961085010000005</v>
      </c>
      <c r="H101" s="10">
        <f t="shared" si="39"/>
        <v>35.96108501</v>
      </c>
      <c r="I101" s="65">
        <v>1.49281231</v>
      </c>
      <c r="J101" s="65">
        <v>5.1738642</v>
      </c>
      <c r="K101" s="65">
        <v>25.6671038</v>
      </c>
      <c r="L101" s="65">
        <v>3.6273047</v>
      </c>
      <c r="N101" s="66">
        <v>24.182031333333335</v>
      </c>
      <c r="O101" s="10">
        <f t="shared" si="40"/>
        <v>24.18203133</v>
      </c>
      <c r="Q101" s="67">
        <v>126.44531</v>
      </c>
      <c r="S101" s="68">
        <v>2.657357</v>
      </c>
      <c r="T101" s="68">
        <v>2.6063427</v>
      </c>
      <c r="U101" s="68">
        <v>0.045503081</v>
      </c>
      <c r="V101" s="68">
        <v>0.0055111875</v>
      </c>
      <c r="X101" s="69">
        <v>0.0033608986</v>
      </c>
      <c r="Y101" s="76" t="s">
        <v>197</v>
      </c>
      <c r="Z101" s="73" t="s">
        <v>198</v>
      </c>
    </row>
    <row r="102" ht="12.75" customHeight="1">
      <c r="A102" s="1" t="s">
        <v>199</v>
      </c>
      <c r="B102" s="2" t="s">
        <v>125</v>
      </c>
      <c r="C102" s="60" t="str">
        <f t="shared" si="37"/>
        <v>A.030.10.106</v>
      </c>
      <c r="D102" s="51" t="s">
        <v>191</v>
      </c>
      <c r="E102" s="62" t="s">
        <v>45</v>
      </c>
      <c r="F102" s="63" t="str">
        <f t="shared" si="38"/>
        <v>Graphite for batteries</v>
      </c>
      <c r="G102" s="64">
        <v>1.569641224655</v>
      </c>
      <c r="H102" s="10">
        <f t="shared" si="39"/>
        <v>1.569641225</v>
      </c>
      <c r="I102" s="65">
        <v>0.08048168899</v>
      </c>
      <c r="J102" s="65">
        <v>0.10393066450499999</v>
      </c>
      <c r="K102" s="65">
        <v>0.00969057116</v>
      </c>
      <c r="L102" s="65">
        <v>1.3755383</v>
      </c>
      <c r="N102" s="66">
        <v>9.170255333333335</v>
      </c>
      <c r="O102" s="10">
        <f t="shared" si="40"/>
        <v>9.170255333</v>
      </c>
      <c r="Q102" s="67">
        <v>122.25628</v>
      </c>
      <c r="S102" s="68">
        <v>0.17059173</v>
      </c>
      <c r="T102" s="68">
        <v>0.15731715</v>
      </c>
      <c r="U102" s="68">
        <v>0.0075245899</v>
      </c>
      <c r="V102" s="68">
        <v>0.0057499889</v>
      </c>
      <c r="X102" s="69">
        <v>4.4768586E-4</v>
      </c>
      <c r="Y102" s="78" t="s">
        <v>181</v>
      </c>
      <c r="Z102" s="73" t="s">
        <v>200</v>
      </c>
    </row>
    <row r="103" ht="12.75" customHeight="1">
      <c r="A103" s="1" t="s">
        <v>201</v>
      </c>
      <c r="B103" s="2" t="s">
        <v>125</v>
      </c>
      <c r="C103" s="60" t="str">
        <f t="shared" si="37"/>
        <v>A.030.10.107</v>
      </c>
      <c r="D103" s="51" t="s">
        <v>191</v>
      </c>
      <c r="E103" s="62" t="s">
        <v>45</v>
      </c>
      <c r="F103" s="63" t="str">
        <f t="shared" si="38"/>
        <v>H2O2 - hydrogen peroxide 70% in H2O</v>
      </c>
      <c r="G103" s="64">
        <v>0.08965119416985852</v>
      </c>
      <c r="H103" s="10">
        <f t="shared" si="39"/>
        <v>0.08965119417</v>
      </c>
      <c r="I103" s="65">
        <v>0.0012928678177619999</v>
      </c>
      <c r="J103" s="65">
        <v>0.00824991635209652</v>
      </c>
      <c r="K103" s="65">
        <v>0.0</v>
      </c>
      <c r="L103" s="65">
        <v>0.08010841</v>
      </c>
      <c r="N103" s="66">
        <v>0.5340560666666667</v>
      </c>
      <c r="O103" s="10">
        <f t="shared" si="40"/>
        <v>0.5340560667</v>
      </c>
      <c r="Q103" s="67">
        <v>7.754748</v>
      </c>
      <c r="S103" s="68">
        <v>0.011516792</v>
      </c>
      <c r="T103" s="68">
        <v>0.010513785</v>
      </c>
      <c r="U103" s="68">
        <v>4.493185E-4</v>
      </c>
      <c r="V103" s="68">
        <v>5.5368901E-4</v>
      </c>
      <c r="X103" s="69">
        <v>2.6555226E-5</v>
      </c>
      <c r="Y103" s="76" t="s">
        <v>172</v>
      </c>
      <c r="Z103" s="73" t="s">
        <v>202</v>
      </c>
    </row>
    <row r="104" ht="12.75" customHeight="1">
      <c r="A104" s="1" t="s">
        <v>203</v>
      </c>
      <c r="B104" s="2" t="s">
        <v>125</v>
      </c>
      <c r="C104" s="60" t="str">
        <f t="shared" si="37"/>
        <v>A.030.10.108</v>
      </c>
      <c r="D104" s="51" t="s">
        <v>191</v>
      </c>
      <c r="E104" s="62" t="s">
        <v>45</v>
      </c>
      <c r="F104" s="63" t="str">
        <f t="shared" si="38"/>
        <v>Hydrogen Sulfide</v>
      </c>
      <c r="G104" s="64">
        <v>0.15440139526193158</v>
      </c>
      <c r="H104" s="10">
        <f t="shared" si="39"/>
        <v>0.1544013953</v>
      </c>
      <c r="I104" s="65">
        <v>0.0061386560689999994</v>
      </c>
      <c r="J104" s="65">
        <v>0.0090110267979</v>
      </c>
      <c r="K104" s="65">
        <v>0.0028391523950315866</v>
      </c>
      <c r="L104" s="65">
        <v>0.13641256</v>
      </c>
      <c r="N104" s="66">
        <v>0.9094170666666667</v>
      </c>
      <c r="O104" s="10">
        <f t="shared" si="40"/>
        <v>0.9094170667</v>
      </c>
      <c r="Q104" s="67">
        <v>13.680175</v>
      </c>
      <c r="S104" s="68">
        <v>0.016924638</v>
      </c>
      <c r="T104" s="68">
        <v>0.015292329</v>
      </c>
      <c r="U104" s="68">
        <v>7.1779288E-4</v>
      </c>
      <c r="V104" s="68">
        <v>9.145164E-4</v>
      </c>
      <c r="X104" s="69">
        <v>4.4656667E-5</v>
      </c>
      <c r="Y104" s="76" t="s">
        <v>204</v>
      </c>
      <c r="Z104" s="73" t="s">
        <v>205</v>
      </c>
    </row>
    <row r="105" ht="12.75" customHeight="1">
      <c r="A105" s="1" t="s">
        <v>206</v>
      </c>
      <c r="B105" s="2" t="s">
        <v>125</v>
      </c>
      <c r="C105" s="60" t="str">
        <f t="shared" si="37"/>
        <v>A.030.10.109</v>
      </c>
      <c r="D105" s="51" t="s">
        <v>191</v>
      </c>
      <c r="E105" s="62" t="s">
        <v>45</v>
      </c>
      <c r="F105" s="63" t="str">
        <f t="shared" si="38"/>
        <v>KOH - Potassium hydroxide</v>
      </c>
      <c r="G105" s="64">
        <v>0.34293087400669997</v>
      </c>
      <c r="H105" s="10">
        <f t="shared" si="39"/>
        <v>0.342930874</v>
      </c>
      <c r="I105" s="65">
        <v>0.015310491025</v>
      </c>
      <c r="J105" s="65">
        <v>0.0424351949917</v>
      </c>
      <c r="K105" s="65">
        <v>0.03069054799</v>
      </c>
      <c r="L105" s="65">
        <v>0.25449464</v>
      </c>
      <c r="N105" s="66">
        <v>1.6966309333333334</v>
      </c>
      <c r="O105" s="10">
        <f t="shared" si="40"/>
        <v>1.696630933</v>
      </c>
      <c r="Q105" s="67">
        <v>27.916174</v>
      </c>
      <c r="S105" s="68">
        <v>0.037988623</v>
      </c>
      <c r="T105" s="68">
        <v>0.035488767</v>
      </c>
      <c r="U105" s="68">
        <v>0.0014652145</v>
      </c>
      <c r="V105" s="68">
        <v>0.0010346409</v>
      </c>
      <c r="X105" s="69">
        <v>9.0213631E-5</v>
      </c>
      <c r="Y105" s="76" t="s">
        <v>207</v>
      </c>
      <c r="Z105" s="73" t="s">
        <v>208</v>
      </c>
    </row>
    <row r="106" ht="12.75" customHeight="1">
      <c r="A106" s="1" t="s">
        <v>209</v>
      </c>
      <c r="B106" s="2" t="s">
        <v>125</v>
      </c>
      <c r="C106" s="60" t="str">
        <f t="shared" si="37"/>
        <v>A.030.10.110</v>
      </c>
      <c r="D106" s="51" t="s">
        <v>191</v>
      </c>
      <c r="E106" s="62" t="s">
        <v>45</v>
      </c>
      <c r="F106" s="63" t="str">
        <f t="shared" si="38"/>
        <v>Hydrated lime (Ca(OH)2), without transport</v>
      </c>
      <c r="G106" s="64">
        <v>0.17815939554546806</v>
      </c>
      <c r="H106" s="10">
        <f t="shared" si="39"/>
        <v>0.1781593955</v>
      </c>
      <c r="I106" s="65">
        <v>0.006398698919000001</v>
      </c>
      <c r="J106" s="65">
        <v>0.02401249273646</v>
      </c>
      <c r="K106" s="65">
        <v>0.0011610238900080444</v>
      </c>
      <c r="L106" s="65">
        <v>0.14658718</v>
      </c>
      <c r="N106" s="66">
        <v>0.9772478666666667</v>
      </c>
      <c r="O106" s="10">
        <f t="shared" si="40"/>
        <v>0.9772478667</v>
      </c>
      <c r="Q106" s="67">
        <v>4.9295256</v>
      </c>
      <c r="S106" s="68">
        <v>0.022151832</v>
      </c>
      <c r="T106" s="68">
        <v>0.020973236</v>
      </c>
      <c r="U106" s="68">
        <v>8.5032753E-4</v>
      </c>
      <c r="V106" s="68">
        <v>3.282679E-4</v>
      </c>
      <c r="X106" s="69">
        <v>4.0652272E-5</v>
      </c>
      <c r="Y106" s="76" t="s">
        <v>210</v>
      </c>
      <c r="Z106" s="73" t="s">
        <v>211</v>
      </c>
    </row>
    <row r="107" ht="12.75" customHeight="1">
      <c r="A107" s="1" t="s">
        <v>212</v>
      </c>
      <c r="B107" s="2" t="s">
        <v>125</v>
      </c>
      <c r="C107" s="60" t="str">
        <f t="shared" si="37"/>
        <v>A.030.10.111</v>
      </c>
      <c r="D107" s="51" t="s">
        <v>191</v>
      </c>
      <c r="E107" s="62" t="s">
        <v>45</v>
      </c>
      <c r="F107" s="63" t="str">
        <f t="shared" si="38"/>
        <v>Manganese dioxide</v>
      </c>
      <c r="G107" s="64">
        <v>1.729189866134</v>
      </c>
      <c r="H107" s="10">
        <f t="shared" si="39"/>
        <v>1.729189866</v>
      </c>
      <c r="I107" s="65">
        <v>0.4330520396</v>
      </c>
      <c r="J107" s="65">
        <v>0.623809683534</v>
      </c>
      <c r="K107" s="65">
        <v>0.333275453</v>
      </c>
      <c r="L107" s="65">
        <v>0.33905269</v>
      </c>
      <c r="N107" s="66">
        <v>2.2603512666666665</v>
      </c>
      <c r="O107" s="10">
        <f t="shared" si="40"/>
        <v>2.260351267</v>
      </c>
      <c r="Q107" s="67">
        <v>-7.0871296</v>
      </c>
      <c r="S107" s="68">
        <v>3.114662</v>
      </c>
      <c r="T107" s="68">
        <v>3.1115274</v>
      </c>
      <c r="U107" s="68">
        <v>0.0038757098</v>
      </c>
      <c r="V107" s="68">
        <v>-7.4111428E-4</v>
      </c>
      <c r="X107" s="69">
        <v>6.9764027E-4</v>
      </c>
      <c r="Y107" s="76" t="s">
        <v>213</v>
      </c>
      <c r="Z107" s="73" t="s">
        <v>214</v>
      </c>
    </row>
    <row r="108" ht="12.75" customHeight="1">
      <c r="A108" s="1" t="s">
        <v>215</v>
      </c>
      <c r="B108" s="2" t="s">
        <v>125</v>
      </c>
      <c r="C108" s="60" t="str">
        <f t="shared" si="37"/>
        <v>A.030.10.112</v>
      </c>
      <c r="D108" s="51" t="s">
        <v>191</v>
      </c>
      <c r="E108" s="62" t="s">
        <v>45</v>
      </c>
      <c r="F108" s="63" t="str">
        <f t="shared" si="38"/>
        <v>Nickel in FerroNickel (27%)</v>
      </c>
      <c r="G108" s="64">
        <v>22.18943462903549</v>
      </c>
      <c r="H108" s="10">
        <f t="shared" si="39"/>
        <v>22.18943463</v>
      </c>
      <c r="I108" s="65">
        <v>0.1037207410475</v>
      </c>
      <c r="J108" s="65">
        <v>1.7931176465879899</v>
      </c>
      <c r="K108" s="65">
        <v>13.528270041399999</v>
      </c>
      <c r="L108" s="65">
        <v>6.7643262</v>
      </c>
      <c r="N108" s="66">
        <v>45.095508</v>
      </c>
      <c r="O108" s="10">
        <f t="shared" si="40"/>
        <v>45.095508</v>
      </c>
      <c r="Q108" s="67">
        <v>1.254449</v>
      </c>
      <c r="S108" s="68">
        <v>1.264105</v>
      </c>
      <c r="T108" s="68">
        <v>1.2151366</v>
      </c>
      <c r="U108" s="68">
        <v>0.044111342</v>
      </c>
      <c r="V108" s="68">
        <v>0.0048570878</v>
      </c>
      <c r="X108" s="69">
        <v>0.0018263791</v>
      </c>
      <c r="Y108" s="76" t="s">
        <v>216</v>
      </c>
      <c r="Z108" s="72" t="s">
        <v>217</v>
      </c>
    </row>
    <row r="109" ht="12.75" customHeight="1">
      <c r="A109" s="1" t="s">
        <v>218</v>
      </c>
      <c r="B109" s="2" t="s">
        <v>125</v>
      </c>
      <c r="C109" s="60" t="str">
        <f t="shared" si="37"/>
        <v>A.030.10.113</v>
      </c>
      <c r="D109" s="51" t="s">
        <v>191</v>
      </c>
      <c r="E109" s="62" t="s">
        <v>45</v>
      </c>
      <c r="F109" s="63" t="str">
        <f t="shared" si="38"/>
        <v>Nickel in Nickel Sufate (22%) for car batteries</v>
      </c>
      <c r="G109" s="64">
        <v>40.54634303164255</v>
      </c>
      <c r="H109" s="10">
        <f t="shared" si="39"/>
        <v>40.54634303</v>
      </c>
      <c r="I109" s="65">
        <v>0.9311560857128001</v>
      </c>
      <c r="J109" s="65">
        <v>22.397590704529758</v>
      </c>
      <c r="K109" s="65">
        <v>13.528270041399999</v>
      </c>
      <c r="L109" s="65">
        <v>3.6893262</v>
      </c>
      <c r="N109" s="66">
        <v>24.595508000000002</v>
      </c>
      <c r="O109" s="10">
        <f t="shared" si="40"/>
        <v>24.595508</v>
      </c>
      <c r="Q109" s="67">
        <v>1.254449</v>
      </c>
      <c r="S109" s="68">
        <v>7.3050894</v>
      </c>
      <c r="T109" s="68">
        <v>7.1519222</v>
      </c>
      <c r="U109" s="68">
        <v>0.1483101</v>
      </c>
      <c r="V109" s="68">
        <v>0.0048570878</v>
      </c>
      <c r="X109" s="69">
        <v>0.0070994493</v>
      </c>
      <c r="Y109" s="76" t="s">
        <v>216</v>
      </c>
      <c r="Z109" s="48" t="s">
        <v>217</v>
      </c>
    </row>
    <row r="110" ht="12.75" customHeight="1">
      <c r="A110" s="1" t="s">
        <v>219</v>
      </c>
      <c r="B110" s="2" t="s">
        <v>125</v>
      </c>
      <c r="C110" s="60" t="str">
        <f t="shared" si="37"/>
        <v>A.030.10.114</v>
      </c>
      <c r="D110" s="51" t="s">
        <v>191</v>
      </c>
      <c r="E110" s="62" t="s">
        <v>45</v>
      </c>
      <c r="F110" s="63" t="str">
        <f t="shared" si="38"/>
        <v>Quicklime  (CaO), without transport</v>
      </c>
      <c r="G110" s="64">
        <v>0.23126964239989234</v>
      </c>
      <c r="H110" s="10">
        <f t="shared" si="39"/>
        <v>0.2312696424</v>
      </c>
      <c r="I110" s="65">
        <v>0.008308989451</v>
      </c>
      <c r="J110" s="65">
        <v>0.03118296472915</v>
      </c>
      <c r="K110" s="65">
        <v>0.0014284182197423472</v>
      </c>
      <c r="L110" s="65">
        <v>0.19034927</v>
      </c>
      <c r="N110" s="66">
        <v>1.2689951333333334</v>
      </c>
      <c r="O110" s="10">
        <f t="shared" si="40"/>
        <v>1.268995133</v>
      </c>
      <c r="Q110" s="67">
        <v>6.398966</v>
      </c>
      <c r="S110" s="68">
        <v>0.028765603</v>
      </c>
      <c r="T110" s="68">
        <v>0.027235143</v>
      </c>
      <c r="U110" s="68">
        <v>0.0011041939</v>
      </c>
      <c r="V110" s="68">
        <v>4.2626676E-4</v>
      </c>
      <c r="X110" s="69">
        <v>5.2787156E-5</v>
      </c>
      <c r="Y110" s="76" t="s">
        <v>210</v>
      </c>
      <c r="Z110" s="73" t="s">
        <v>220</v>
      </c>
    </row>
    <row r="111" ht="12.75" customHeight="1">
      <c r="A111" s="1" t="s">
        <v>221</v>
      </c>
      <c r="B111" s="2" t="s">
        <v>125</v>
      </c>
      <c r="C111" s="60" t="str">
        <f t="shared" si="37"/>
        <v>A.030.10.115</v>
      </c>
      <c r="D111" s="51" t="s">
        <v>191</v>
      </c>
      <c r="E111" s="62" t="s">
        <v>45</v>
      </c>
      <c r="F111" s="63" t="str">
        <f t="shared" si="38"/>
        <v>Silicagel</v>
      </c>
      <c r="G111" s="64">
        <v>0.582520550849</v>
      </c>
      <c r="H111" s="10">
        <f t="shared" si="39"/>
        <v>0.5825205508</v>
      </c>
      <c r="I111" s="65">
        <v>0.02488284125</v>
      </c>
      <c r="J111" s="65">
        <v>0.033218798899</v>
      </c>
      <c r="K111" s="65">
        <v>0.006147620699999999</v>
      </c>
      <c r="L111" s="65">
        <v>0.51827129</v>
      </c>
      <c r="N111" s="66">
        <v>3.455141933333334</v>
      </c>
      <c r="O111" s="10">
        <f t="shared" si="40"/>
        <v>3.455141933</v>
      </c>
      <c r="Q111" s="67">
        <v>51.276116</v>
      </c>
      <c r="S111" s="68">
        <v>0.064102331</v>
      </c>
      <c r="T111" s="68">
        <v>0.057784699</v>
      </c>
      <c r="U111" s="68">
        <v>0.0027201732</v>
      </c>
      <c r="V111" s="68">
        <v>0.0035974588</v>
      </c>
      <c r="X111" s="69">
        <v>1.6920856E-4</v>
      </c>
      <c r="Y111" s="76" t="s">
        <v>222</v>
      </c>
      <c r="Z111" s="73" t="s">
        <v>223</v>
      </c>
    </row>
    <row r="112" ht="12.75" customHeight="1">
      <c r="A112" s="1" t="s">
        <v>224</v>
      </c>
      <c r="B112" s="2" t="s">
        <v>125</v>
      </c>
      <c r="C112" s="60" t="str">
        <f t="shared" si="37"/>
        <v>A.030.10.116</v>
      </c>
      <c r="D112" s="51" t="s">
        <v>191</v>
      </c>
      <c r="E112" s="62" t="s">
        <v>45</v>
      </c>
      <c r="F112" s="63" t="str">
        <f t="shared" si="38"/>
        <v>Sodium Carbonate  (soda Na2CO3)</v>
      </c>
      <c r="G112" s="64">
        <v>0.25675661226839996</v>
      </c>
      <c r="H112" s="10">
        <f t="shared" si="39"/>
        <v>0.2567566123</v>
      </c>
      <c r="I112" s="65">
        <v>0.018081751526</v>
      </c>
      <c r="J112" s="65">
        <v>0.0672090802524</v>
      </c>
      <c r="K112" s="65">
        <v>5.4838049E-4</v>
      </c>
      <c r="L112" s="65">
        <v>0.1709174</v>
      </c>
      <c r="N112" s="66">
        <v>1.1394493333333333</v>
      </c>
      <c r="O112" s="10">
        <f t="shared" si="40"/>
        <v>1.139449333</v>
      </c>
      <c r="Q112" s="67">
        <v>13.834677</v>
      </c>
      <c r="S112" s="68">
        <v>0.036118804</v>
      </c>
      <c r="T112" s="68">
        <v>0.033965811</v>
      </c>
      <c r="U112" s="68">
        <v>0.0011712871</v>
      </c>
      <c r="V112" s="68">
        <v>9.8170618E-4</v>
      </c>
      <c r="X112" s="69">
        <v>6.9605066E-5</v>
      </c>
      <c r="Y112" s="76" t="s">
        <v>225</v>
      </c>
      <c r="Z112" s="73" t="s">
        <v>226</v>
      </c>
    </row>
    <row r="113" ht="12.75" customHeight="1">
      <c r="A113" s="1" t="s">
        <v>227</v>
      </c>
      <c r="B113" s="2" t="s">
        <v>125</v>
      </c>
      <c r="C113" s="60" t="str">
        <f t="shared" si="37"/>
        <v>A.030.10.117</v>
      </c>
      <c r="D113" s="51" t="s">
        <v>191</v>
      </c>
      <c r="E113" s="62" t="s">
        <v>45</v>
      </c>
      <c r="F113" s="63" t="str">
        <f t="shared" si="38"/>
        <v>Sodium Chloride (US)</v>
      </c>
      <c r="G113" s="64">
        <v>0.031094712233399997</v>
      </c>
      <c r="H113" s="10">
        <f t="shared" si="39"/>
        <v>0.03109471223</v>
      </c>
      <c r="I113" s="65">
        <v>0.0013063382843999998</v>
      </c>
      <c r="J113" s="65">
        <v>0.002699374508</v>
      </c>
      <c r="K113" s="65">
        <v>0.0032556024409999998</v>
      </c>
      <c r="L113" s="65">
        <v>0.023833397</v>
      </c>
      <c r="N113" s="66">
        <v>0.15888931333333334</v>
      </c>
      <c r="O113" s="10">
        <f t="shared" si="40"/>
        <v>0.1588893133</v>
      </c>
      <c r="Q113" s="67">
        <v>2.3770768</v>
      </c>
      <c r="S113" s="68">
        <v>0.003231881</v>
      </c>
      <c r="T113" s="68">
        <v>0.0029702487</v>
      </c>
      <c r="U113" s="68">
        <v>1.3324884E-4</v>
      </c>
      <c r="V113" s="68">
        <v>1.2838344E-4</v>
      </c>
      <c r="X113" s="69">
        <v>8.1757723E-6</v>
      </c>
      <c r="Y113" s="76" t="s">
        <v>228</v>
      </c>
      <c r="Z113" s="73" t="s">
        <v>229</v>
      </c>
    </row>
    <row r="114" ht="12.75" customHeight="1">
      <c r="A114" s="1" t="s">
        <v>230</v>
      </c>
      <c r="B114" s="2" t="s">
        <v>125</v>
      </c>
      <c r="C114" s="60" t="str">
        <f t="shared" si="37"/>
        <v>A.030.10.118</v>
      </c>
      <c r="D114" s="51" t="s">
        <v>191</v>
      </c>
      <c r="E114" s="62" t="s">
        <v>45</v>
      </c>
      <c r="F114" s="63" t="str">
        <f t="shared" si="38"/>
        <v>Sodium Chloride - NaCl (plasticseurope)</v>
      </c>
      <c r="G114" s="64">
        <v>0.01992881912545092</v>
      </c>
      <c r="H114" s="10">
        <f t="shared" si="39"/>
        <v>0.01992881913</v>
      </c>
      <c r="I114" s="65">
        <v>0.0012005654180832</v>
      </c>
      <c r="J114" s="65">
        <v>0.009728253707367723</v>
      </c>
      <c r="K114" s="65">
        <v>0.0</v>
      </c>
      <c r="L114" s="65">
        <v>0.009</v>
      </c>
      <c r="N114" s="66">
        <v>0.06</v>
      </c>
      <c r="O114" s="10">
        <f t="shared" si="40"/>
        <v>0.06</v>
      </c>
      <c r="Q114" s="67">
        <v>2.6</v>
      </c>
      <c r="S114" s="68">
        <v>0.0039437912</v>
      </c>
      <c r="T114" s="68">
        <v>0.003843127</v>
      </c>
      <c r="U114" s="68">
        <v>1.0066413E-4</v>
      </c>
      <c r="V114" s="68">
        <v>0.0</v>
      </c>
      <c r="X114" s="69">
        <v>5.3333865E-6</v>
      </c>
      <c r="Y114" s="76" t="s">
        <v>228</v>
      </c>
      <c r="Z114" s="73" t="s">
        <v>229</v>
      </c>
    </row>
    <row r="115" ht="12.75" customHeight="1">
      <c r="A115" s="1" t="s">
        <v>231</v>
      </c>
      <c r="B115" s="2" t="s">
        <v>125</v>
      </c>
      <c r="C115" s="60" t="str">
        <f t="shared" si="37"/>
        <v>A.030.10.119</v>
      </c>
      <c r="D115" s="51" t="s">
        <v>191</v>
      </c>
      <c r="E115" s="62" t="s">
        <v>45</v>
      </c>
      <c r="F115" s="63" t="str">
        <f t="shared" si="38"/>
        <v>Sodium Chlorite</v>
      </c>
      <c r="G115" s="64">
        <v>0.021429011599452513</v>
      </c>
      <c r="H115" s="10">
        <f t="shared" si="39"/>
        <v>0.0214290116</v>
      </c>
      <c r="I115" s="65">
        <v>1.4934847412659E-4</v>
      </c>
      <c r="J115" s="65">
        <v>0.010589163125325924</v>
      </c>
      <c r="K115" s="65">
        <v>0.0016905</v>
      </c>
      <c r="L115" s="65">
        <v>0.009</v>
      </c>
      <c r="N115" s="66">
        <v>0.06</v>
      </c>
      <c r="O115" s="10">
        <f t="shared" si="40"/>
        <v>0.06</v>
      </c>
      <c r="Q115" s="67">
        <v>5.09856</v>
      </c>
      <c r="S115" s="68">
        <v>0.0039759101</v>
      </c>
      <c r="T115" s="68">
        <v>0.0038431028</v>
      </c>
      <c r="U115" s="68">
        <v>1.0057442E-4</v>
      </c>
      <c r="V115" s="68">
        <v>3.2232816E-5</v>
      </c>
      <c r="X115" s="69">
        <v>7.4576804E-6</v>
      </c>
      <c r="Y115" s="76" t="s">
        <v>228</v>
      </c>
      <c r="Z115" s="73" t="s">
        <v>229</v>
      </c>
    </row>
    <row r="116" ht="12.75" customHeight="1">
      <c r="A116" s="1" t="s">
        <v>232</v>
      </c>
      <c r="B116" s="2" t="s">
        <v>125</v>
      </c>
      <c r="C116" s="60" t="str">
        <f t="shared" si="37"/>
        <v>A.030.10.120</v>
      </c>
      <c r="D116" s="51" t="s">
        <v>191</v>
      </c>
      <c r="E116" s="62" t="s">
        <v>45</v>
      </c>
      <c r="F116" s="63" t="str">
        <f t="shared" si="38"/>
        <v>Sodium Cumenesulphonate</v>
      </c>
      <c r="G116" s="64">
        <v>1.0561506509</v>
      </c>
      <c r="H116" s="10">
        <f t="shared" si="39"/>
        <v>1.056150651</v>
      </c>
      <c r="I116" s="65">
        <v>0.11124581070000002</v>
      </c>
      <c r="J116" s="65">
        <v>0.5485357241</v>
      </c>
      <c r="K116" s="65">
        <v>0.06475148609999999</v>
      </c>
      <c r="L116" s="65">
        <v>0.33161763</v>
      </c>
      <c r="N116" s="66">
        <v>2.2107842</v>
      </c>
      <c r="O116" s="10">
        <f t="shared" si="40"/>
        <v>2.2107842</v>
      </c>
      <c r="Q116" s="67">
        <v>62.571125</v>
      </c>
      <c r="S116" s="68">
        <v>0.079014951</v>
      </c>
      <c r="T116" s="68">
        <v>0.07266424</v>
      </c>
      <c r="U116" s="68">
        <v>0.0022958842</v>
      </c>
      <c r="V116" s="68">
        <v>0.0040548267</v>
      </c>
      <c r="X116" s="69">
        <v>2.9954713E-4</v>
      </c>
      <c r="Y116" s="76" t="s">
        <v>233</v>
      </c>
      <c r="Z116" s="73" t="s">
        <v>234</v>
      </c>
    </row>
    <row r="117" ht="12.75" customHeight="1">
      <c r="A117" s="1" t="s">
        <v>235</v>
      </c>
      <c r="B117" s="2" t="s">
        <v>125</v>
      </c>
      <c r="C117" s="60" t="str">
        <f t="shared" si="37"/>
        <v>A.030.10.121</v>
      </c>
      <c r="D117" s="51" t="s">
        <v>191</v>
      </c>
      <c r="E117" s="62" t="s">
        <v>45</v>
      </c>
      <c r="F117" s="63" t="str">
        <f t="shared" si="38"/>
        <v>Sodium Hydroxide (US 2011)</v>
      </c>
      <c r="G117" s="64">
        <v>0.141974841673</v>
      </c>
      <c r="H117" s="10">
        <f t="shared" si="39"/>
        <v>0.1419748417</v>
      </c>
      <c r="I117" s="65">
        <v>0.008314513837</v>
      </c>
      <c r="J117" s="65">
        <v>0.011678767636000002</v>
      </c>
      <c r="K117" s="65">
        <v>0.0179577002</v>
      </c>
      <c r="L117" s="65">
        <v>0.10402386</v>
      </c>
      <c r="N117" s="66">
        <v>0.6934924</v>
      </c>
      <c r="O117" s="10">
        <f t="shared" si="40"/>
        <v>0.6934924</v>
      </c>
      <c r="Q117" s="67">
        <v>15.588557</v>
      </c>
      <c r="S117" s="68">
        <v>0.013914472</v>
      </c>
      <c r="T117" s="68">
        <v>0.012732077</v>
      </c>
      <c r="U117" s="68">
        <v>5.7017188E-4</v>
      </c>
      <c r="V117" s="68">
        <v>6.1222279E-4</v>
      </c>
      <c r="X117" s="69">
        <v>4.1516839E-5</v>
      </c>
      <c r="Y117" s="76" t="s">
        <v>207</v>
      </c>
      <c r="Z117" s="73" t="s">
        <v>236</v>
      </c>
    </row>
    <row r="118" ht="12.75" customHeight="1">
      <c r="A118" s="1" t="s">
        <v>237</v>
      </c>
      <c r="B118" s="2" t="s">
        <v>125</v>
      </c>
      <c r="C118" s="60" t="str">
        <f t="shared" si="37"/>
        <v>A.030.10.122</v>
      </c>
      <c r="D118" s="51" t="s">
        <v>191</v>
      </c>
      <c r="E118" s="62" t="s">
        <v>45</v>
      </c>
      <c r="F118" s="63" t="str">
        <f t="shared" si="38"/>
        <v>Sodium Hydroxide - NaOH (European Chlor-Alkali Industry 2022)</v>
      </c>
      <c r="G118" s="64">
        <v>0.14284185821453316</v>
      </c>
      <c r="H118" s="10">
        <f t="shared" si="39"/>
        <v>0.1428418582</v>
      </c>
      <c r="I118" s="65">
        <v>0.012328728021482901</v>
      </c>
      <c r="J118" s="65">
        <v>0.03301313019305025</v>
      </c>
      <c r="K118" s="65">
        <v>0.0</v>
      </c>
      <c r="L118" s="65">
        <v>0.0975</v>
      </c>
      <c r="N118" s="66">
        <v>0.65</v>
      </c>
      <c r="O118" s="10">
        <f t="shared" si="40"/>
        <v>0.65</v>
      </c>
      <c r="Q118" s="67">
        <v>0.0</v>
      </c>
      <c r="S118" s="68">
        <v>0.017854078</v>
      </c>
      <c r="T118" s="68">
        <v>0.017225957</v>
      </c>
      <c r="U118" s="68">
        <v>6.2812117E-4</v>
      </c>
      <c r="V118" s="68">
        <v>0.0</v>
      </c>
      <c r="X118" s="69">
        <v>3.5520061E-5</v>
      </c>
      <c r="Y118" s="76" t="s">
        <v>207</v>
      </c>
      <c r="Z118" s="73" t="s">
        <v>236</v>
      </c>
    </row>
    <row r="119" ht="12.75" customHeight="1">
      <c r="A119" s="1" t="s">
        <v>238</v>
      </c>
      <c r="B119" s="2" t="s">
        <v>125</v>
      </c>
      <c r="C119" s="60" t="str">
        <f t="shared" si="37"/>
        <v>A.030.10.123</v>
      </c>
      <c r="D119" s="51" t="s">
        <v>191</v>
      </c>
      <c r="E119" s="62" t="s">
        <v>45</v>
      </c>
      <c r="F119" s="63" t="str">
        <f t="shared" si="38"/>
        <v>Sodium Hydroxide - NaOH (Plasticseurope 2013)</v>
      </c>
      <c r="G119" s="64">
        <v>0.1747900604636078</v>
      </c>
      <c r="H119" s="10">
        <f t="shared" si="39"/>
        <v>0.1747900605</v>
      </c>
      <c r="I119" s="65">
        <v>0.017010191344665998</v>
      </c>
      <c r="J119" s="65">
        <v>0.028779869118941783</v>
      </c>
      <c r="K119" s="65">
        <v>0.0</v>
      </c>
      <c r="L119" s="65">
        <v>0.129</v>
      </c>
      <c r="N119" s="66">
        <v>0.8600000000000001</v>
      </c>
      <c r="O119" s="10">
        <f t="shared" si="40"/>
        <v>0.86</v>
      </c>
      <c r="Q119" s="67">
        <v>0.0</v>
      </c>
      <c r="S119" s="68">
        <v>0.022316516</v>
      </c>
      <c r="T119" s="68">
        <v>0.021508967</v>
      </c>
      <c r="U119" s="68">
        <v>8.07549E-4</v>
      </c>
      <c r="V119" s="68">
        <v>0.0</v>
      </c>
      <c r="X119" s="69">
        <v>4.6202371E-5</v>
      </c>
      <c r="Y119" s="76" t="s">
        <v>207</v>
      </c>
      <c r="Z119" s="73" t="s">
        <v>236</v>
      </c>
    </row>
    <row r="120" ht="12.75" customHeight="1">
      <c r="A120" s="1" t="s">
        <v>239</v>
      </c>
      <c r="B120" s="2" t="s">
        <v>125</v>
      </c>
      <c r="C120" s="60" t="str">
        <f t="shared" si="37"/>
        <v>A.030.10.124</v>
      </c>
      <c r="D120" s="51" t="s">
        <v>191</v>
      </c>
      <c r="E120" s="62" t="s">
        <v>45</v>
      </c>
      <c r="F120" s="63" t="str">
        <f t="shared" si="38"/>
        <v>Sodium Hydroxide - NaOH (average of USLCI - Plasticseurope - EU Chlor-Alkali ind.)</v>
      </c>
      <c r="G120" s="64">
        <v>0.1516702274966</v>
      </c>
      <c r="H120" s="10">
        <f t="shared" si="39"/>
        <v>0.1516702275</v>
      </c>
      <c r="I120" s="65">
        <v>0.012425632991000002</v>
      </c>
      <c r="J120" s="65">
        <v>0.024245683515599997</v>
      </c>
      <c r="K120" s="65">
        <v>0.00592604099</v>
      </c>
      <c r="L120" s="65">
        <v>0.10907287</v>
      </c>
      <c r="N120" s="66">
        <v>0.7271524666666667</v>
      </c>
      <c r="O120" s="10">
        <f t="shared" si="40"/>
        <v>0.7271524667</v>
      </c>
      <c r="Q120" s="67">
        <v>5.1442237</v>
      </c>
      <c r="S120" s="68">
        <v>0.017848072</v>
      </c>
      <c r="T120" s="68">
        <v>0.01698411</v>
      </c>
      <c r="U120" s="68">
        <v>6.6192788E-4</v>
      </c>
      <c r="V120" s="68">
        <v>2.0203352E-4</v>
      </c>
      <c r="X120" s="69">
        <v>4.0668959E-5</v>
      </c>
      <c r="Y120" s="76" t="s">
        <v>207</v>
      </c>
      <c r="Z120" s="73" t="s">
        <v>236</v>
      </c>
    </row>
    <row r="121" ht="12.75" customHeight="1">
      <c r="A121" s="1" t="s">
        <v>240</v>
      </c>
      <c r="B121" s="2" t="s">
        <v>125</v>
      </c>
      <c r="C121" s="60" t="str">
        <f t="shared" si="37"/>
        <v>A.030.10.125</v>
      </c>
      <c r="D121" s="51" t="s">
        <v>191</v>
      </c>
      <c r="E121" s="62" t="s">
        <v>45</v>
      </c>
      <c r="F121" s="63" t="str">
        <f t="shared" si="38"/>
        <v>Sodium Hypochlorite - NaOCl (European Chlor-Alkali Industry 2022)</v>
      </c>
      <c r="G121" s="64">
        <v>0.14228828564907423</v>
      </c>
      <c r="H121" s="10">
        <f t="shared" si="39"/>
        <v>0.1422882856</v>
      </c>
      <c r="I121" s="65">
        <v>0.0140985473231827</v>
      </c>
      <c r="J121" s="65">
        <v>0.03368973832589152</v>
      </c>
      <c r="K121" s="65">
        <v>0.0</v>
      </c>
      <c r="L121" s="65">
        <v>0.0945</v>
      </c>
      <c r="N121" s="66">
        <v>0.63</v>
      </c>
      <c r="O121" s="10">
        <f t="shared" si="40"/>
        <v>0.63</v>
      </c>
      <c r="Q121" s="67">
        <v>0.0</v>
      </c>
      <c r="S121" s="68">
        <v>0.019199931</v>
      </c>
      <c r="T121" s="68">
        <v>0.018555752</v>
      </c>
      <c r="U121" s="68">
        <v>6.4417841E-4</v>
      </c>
      <c r="V121" s="68">
        <v>0.0</v>
      </c>
      <c r="X121" s="69">
        <v>3.7962729E-5</v>
      </c>
      <c r="Y121" s="76" t="s">
        <v>241</v>
      </c>
      <c r="Z121" s="73" t="s">
        <v>242</v>
      </c>
    </row>
    <row r="122" ht="12.75" customHeight="1">
      <c r="A122" s="1" t="s">
        <v>243</v>
      </c>
      <c r="B122" s="2" t="s">
        <v>125</v>
      </c>
      <c r="C122" s="60" t="str">
        <f t="shared" si="37"/>
        <v>A.030.10.126</v>
      </c>
      <c r="D122" s="51" t="s">
        <v>191</v>
      </c>
      <c r="E122" s="62" t="s">
        <v>45</v>
      </c>
      <c r="F122" s="63" t="str">
        <f t="shared" si="38"/>
        <v>Sodium Hypochlorite - NaOCl (Plasticseurope 2013)</v>
      </c>
      <c r="G122" s="64">
        <v>0.19415107675450924</v>
      </c>
      <c r="H122" s="10">
        <f t="shared" si="39"/>
        <v>0.1941510768</v>
      </c>
      <c r="I122" s="65">
        <v>0.021422738180832</v>
      </c>
      <c r="J122" s="65">
        <v>0.03322833857367722</v>
      </c>
      <c r="K122" s="65">
        <v>0.0</v>
      </c>
      <c r="L122" s="65">
        <v>0.1395</v>
      </c>
      <c r="N122" s="66">
        <v>0.9300000000000002</v>
      </c>
      <c r="O122" s="10">
        <f t="shared" si="40"/>
        <v>0.93</v>
      </c>
      <c r="Q122" s="67">
        <v>0.0</v>
      </c>
      <c r="S122" s="68">
        <v>0.024876385</v>
      </c>
      <c r="T122" s="68">
        <v>0.023989059</v>
      </c>
      <c r="U122" s="68">
        <v>8.8732602E-4</v>
      </c>
      <c r="V122" s="68">
        <v>0.0</v>
      </c>
      <c r="X122" s="69">
        <v>5.3260955E-5</v>
      </c>
      <c r="Y122" s="76" t="s">
        <v>241</v>
      </c>
      <c r="Z122" s="73" t="s">
        <v>244</v>
      </c>
    </row>
    <row r="123" ht="12.75" customHeight="1">
      <c r="A123" s="1" t="s">
        <v>245</v>
      </c>
      <c r="B123" s="2" t="s">
        <v>125</v>
      </c>
      <c r="C123" s="60" t="str">
        <f t="shared" si="37"/>
        <v>A.030.10.127</v>
      </c>
      <c r="D123" s="51" t="s">
        <v>191</v>
      </c>
      <c r="E123" s="62" t="s">
        <v>45</v>
      </c>
      <c r="F123" s="63" t="str">
        <f t="shared" si="38"/>
        <v>Sodium Silicate</v>
      </c>
      <c r="G123" s="64">
        <v>0.2189153553885</v>
      </c>
      <c r="H123" s="10">
        <f t="shared" si="39"/>
        <v>0.2189153554</v>
      </c>
      <c r="I123" s="65">
        <v>0.008818996530000001</v>
      </c>
      <c r="J123" s="65">
        <v>0.0126385647385</v>
      </c>
      <c r="K123" s="65">
        <v>0.00192213412</v>
      </c>
      <c r="L123" s="65">
        <v>0.19553566</v>
      </c>
      <c r="N123" s="66">
        <v>1.3035710666666667</v>
      </c>
      <c r="O123" s="10">
        <f t="shared" si="40"/>
        <v>1.303571067</v>
      </c>
      <c r="Q123" s="67">
        <v>19.314787</v>
      </c>
      <c r="S123" s="68">
        <v>0.024197268</v>
      </c>
      <c r="T123" s="68">
        <v>0.021813973</v>
      </c>
      <c r="U123" s="68">
        <v>0.0010255241</v>
      </c>
      <c r="V123" s="68">
        <v>0.0013577708</v>
      </c>
      <c r="X123" s="69">
        <v>6.3722668E-5</v>
      </c>
      <c r="Y123" s="76" t="s">
        <v>246</v>
      </c>
      <c r="Z123" s="73" t="s">
        <v>247</v>
      </c>
    </row>
    <row r="124" ht="12.75" customHeight="1">
      <c r="A124" s="1" t="s">
        <v>248</v>
      </c>
      <c r="B124" s="2" t="s">
        <v>125</v>
      </c>
      <c r="C124" s="60" t="str">
        <f t="shared" si="37"/>
        <v>A.030.10.128</v>
      </c>
      <c r="D124" s="51" t="s">
        <v>191</v>
      </c>
      <c r="E124" s="62" t="s">
        <v>45</v>
      </c>
      <c r="F124" s="63" t="str">
        <f t="shared" si="38"/>
        <v>Sodium Sulphate</v>
      </c>
      <c r="G124" s="64">
        <v>0.582520550849</v>
      </c>
      <c r="H124" s="10">
        <f t="shared" si="39"/>
        <v>0.5825205508</v>
      </c>
      <c r="I124" s="65">
        <v>0.02488284125</v>
      </c>
      <c r="J124" s="65">
        <v>0.033218798899</v>
      </c>
      <c r="K124" s="65">
        <v>0.006147620699999999</v>
      </c>
      <c r="L124" s="65">
        <v>0.51827129</v>
      </c>
      <c r="N124" s="66">
        <v>3.455141933333334</v>
      </c>
      <c r="O124" s="10">
        <f t="shared" si="40"/>
        <v>3.455141933</v>
      </c>
      <c r="Q124" s="67">
        <v>51.276116</v>
      </c>
      <c r="S124" s="68">
        <v>0.064102331</v>
      </c>
      <c r="T124" s="68">
        <v>0.057784699</v>
      </c>
      <c r="U124" s="68">
        <v>0.0027201732</v>
      </c>
      <c r="V124" s="68">
        <v>0.0035974588</v>
      </c>
      <c r="X124" s="69">
        <v>1.6920856E-4</v>
      </c>
      <c r="Y124" s="76" t="s">
        <v>249</v>
      </c>
      <c r="Z124" s="73" t="s">
        <v>250</v>
      </c>
    </row>
    <row r="125" ht="12.75" customHeight="1">
      <c r="A125" s="1" t="s">
        <v>251</v>
      </c>
      <c r="B125" s="2" t="s">
        <v>125</v>
      </c>
      <c r="C125" s="60" t="str">
        <f t="shared" si="37"/>
        <v>A.030.10.129</v>
      </c>
      <c r="D125" s="51" t="s">
        <v>191</v>
      </c>
      <c r="E125" s="62" t="s">
        <v>45</v>
      </c>
      <c r="F125" s="63" t="str">
        <f t="shared" si="38"/>
        <v>Sulphur (local waste at refinery, without transport)</v>
      </c>
      <c r="G125" s="64">
        <v>0.0</v>
      </c>
      <c r="H125" s="10">
        <f t="shared" si="39"/>
        <v>0</v>
      </c>
      <c r="I125" s="65">
        <v>0.0</v>
      </c>
      <c r="J125" s="65">
        <v>0.0</v>
      </c>
      <c r="K125" s="65">
        <v>0.0</v>
      </c>
      <c r="L125" s="65">
        <v>0.0</v>
      </c>
      <c r="N125" s="66">
        <v>0.0</v>
      </c>
      <c r="O125" s="10">
        <f t="shared" si="40"/>
        <v>0</v>
      </c>
      <c r="Q125" s="67">
        <v>0.0</v>
      </c>
      <c r="S125" s="68">
        <v>0.0</v>
      </c>
      <c r="T125" s="68">
        <v>0.0</v>
      </c>
      <c r="U125" s="68">
        <v>0.0</v>
      </c>
      <c r="V125" s="68">
        <v>0.0</v>
      </c>
      <c r="X125" s="69">
        <v>0.0</v>
      </c>
      <c r="Y125" s="76" t="s">
        <v>204</v>
      </c>
      <c r="Z125" s="73" t="s">
        <v>252</v>
      </c>
    </row>
    <row r="126" ht="12.75" customHeight="1">
      <c r="A126" s="1" t="s">
        <v>253</v>
      </c>
      <c r="B126" s="2" t="s">
        <v>125</v>
      </c>
      <c r="C126" s="60" t="str">
        <f t="shared" si="37"/>
        <v>A.030.10.130</v>
      </c>
      <c r="D126" s="51" t="s">
        <v>191</v>
      </c>
      <c r="E126" s="62" t="s">
        <v>45</v>
      </c>
      <c r="F126" s="63" t="str">
        <f t="shared" si="38"/>
        <v>Titanium dioxide</v>
      </c>
      <c r="G126" s="64">
        <v>10.380972542166</v>
      </c>
      <c r="H126" s="10">
        <f t="shared" si="39"/>
        <v>10.38097254</v>
      </c>
      <c r="I126" s="65">
        <v>0.05103994285999999</v>
      </c>
      <c r="J126" s="65">
        <v>0.073145693106</v>
      </c>
      <c r="K126" s="65">
        <v>9.1251243062</v>
      </c>
      <c r="L126" s="65">
        <v>1.1316626</v>
      </c>
      <c r="N126" s="66">
        <v>7.544417333333334</v>
      </c>
      <c r="O126" s="10">
        <f t="shared" si="40"/>
        <v>7.544417333</v>
      </c>
      <c r="Q126" s="67">
        <v>111.78433</v>
      </c>
      <c r="S126" s="68">
        <v>0.14091134</v>
      </c>
      <c r="T126" s="68">
        <v>0.12624837</v>
      </c>
      <c r="U126" s="68">
        <v>0.0059352209</v>
      </c>
      <c r="V126" s="68">
        <v>0.0087277503</v>
      </c>
      <c r="X126" s="69">
        <v>3.688148E-4</v>
      </c>
      <c r="Y126" s="80" t="s">
        <v>213</v>
      </c>
      <c r="Z126" s="73" t="s">
        <v>254</v>
      </c>
    </row>
    <row r="127" ht="12.75" customHeight="1">
      <c r="A127" s="1" t="s">
        <v>255</v>
      </c>
      <c r="B127" s="2" t="s">
        <v>125</v>
      </c>
      <c r="C127" s="60" t="str">
        <f t="shared" si="37"/>
        <v>A.030.10.131</v>
      </c>
      <c r="D127" s="51" t="s">
        <v>191</v>
      </c>
      <c r="E127" s="62" t="s">
        <v>45</v>
      </c>
      <c r="F127" s="63" t="str">
        <f t="shared" si="38"/>
        <v>Urea (AdBlue)</v>
      </c>
      <c r="G127" s="64">
        <v>0.8991755136421831</v>
      </c>
      <c r="H127" s="10">
        <f t="shared" si="39"/>
        <v>0.8991755136</v>
      </c>
      <c r="I127" s="65">
        <v>0.04313065637</v>
      </c>
      <c r="J127" s="65">
        <v>0.10181769894200002</v>
      </c>
      <c r="K127" s="65">
        <v>0.026754548330183082</v>
      </c>
      <c r="L127" s="65">
        <v>0.72747261</v>
      </c>
      <c r="N127" s="66">
        <v>4.8498174</v>
      </c>
      <c r="O127" s="10">
        <f t="shared" si="40"/>
        <v>4.8498174</v>
      </c>
      <c r="Q127" s="67">
        <v>69.884898</v>
      </c>
      <c r="S127" s="68">
        <v>0.10440369</v>
      </c>
      <c r="T127" s="68">
        <v>0.095783113</v>
      </c>
      <c r="U127" s="68">
        <v>0.0041068442</v>
      </c>
      <c r="V127" s="68">
        <v>0.0045137373</v>
      </c>
      <c r="X127" s="69">
        <v>2.5163513E-4</v>
      </c>
      <c r="Y127" s="76" t="s">
        <v>256</v>
      </c>
      <c r="Z127" s="73" t="s">
        <v>257</v>
      </c>
    </row>
    <row r="128" ht="12.75" customHeight="1">
      <c r="A128" s="1" t="s">
        <v>258</v>
      </c>
      <c r="B128" s="2" t="s">
        <v>125</v>
      </c>
      <c r="C128" s="60" t="str">
        <f t="shared" si="37"/>
        <v>A.030.10.132</v>
      </c>
      <c r="D128" s="51" t="s">
        <v>191</v>
      </c>
      <c r="E128" s="62" t="s">
        <v>45</v>
      </c>
      <c r="F128" s="63" t="str">
        <f t="shared" si="38"/>
        <v>V2O5 - Vanadium pentoxide</v>
      </c>
      <c r="G128" s="64">
        <v>19.643010866199997</v>
      </c>
      <c r="H128" s="10">
        <f t="shared" si="39"/>
        <v>19.64301087</v>
      </c>
      <c r="I128" s="65">
        <v>2.1143783648</v>
      </c>
      <c r="J128" s="65">
        <v>2.4987201013999996</v>
      </c>
      <c r="K128" s="65">
        <v>13.5828024</v>
      </c>
      <c r="L128" s="65">
        <v>1.44711</v>
      </c>
      <c r="N128" s="66">
        <v>9.6474</v>
      </c>
      <c r="O128" s="10">
        <f t="shared" si="40"/>
        <v>9.6474</v>
      </c>
      <c r="Q128" s="67">
        <v>0.0</v>
      </c>
      <c r="S128" s="68">
        <v>0.97232103</v>
      </c>
      <c r="T128" s="68">
        <v>0.94676325</v>
      </c>
      <c r="U128" s="68">
        <v>0.021904879</v>
      </c>
      <c r="V128" s="68">
        <v>0.0036529052</v>
      </c>
      <c r="X128" s="69">
        <v>0.0024691328</v>
      </c>
      <c r="Y128" s="76" t="s">
        <v>213</v>
      </c>
      <c r="Z128" s="73" t="s">
        <v>259</v>
      </c>
    </row>
    <row r="129" ht="12.75" customHeight="1">
      <c r="A129" s="1" t="s">
        <v>260</v>
      </c>
      <c r="B129" s="2" t="s">
        <v>125</v>
      </c>
      <c r="C129" s="60" t="str">
        <f t="shared" si="37"/>
        <v>A.030.10.133</v>
      </c>
      <c r="D129" s="51" t="s">
        <v>191</v>
      </c>
      <c r="E129" s="62" t="s">
        <v>45</v>
      </c>
      <c r="F129" s="63" t="str">
        <f t="shared" si="38"/>
        <v>Zinc Oxide</v>
      </c>
      <c r="G129" s="64">
        <v>1.9534733110163107</v>
      </c>
      <c r="H129" s="10">
        <f t="shared" si="39"/>
        <v>1.953473311</v>
      </c>
      <c r="I129" s="65">
        <v>0.011119014795</v>
      </c>
      <c r="J129" s="65">
        <v>0.2661513291875</v>
      </c>
      <c r="K129" s="65">
        <v>1.1258984370338108</v>
      </c>
      <c r="L129" s="65">
        <v>0.55030453</v>
      </c>
      <c r="N129" s="66">
        <v>3.668696866666667</v>
      </c>
      <c r="O129" s="10">
        <f t="shared" si="40"/>
        <v>3.668696867</v>
      </c>
      <c r="Q129" s="67">
        <v>68.966636</v>
      </c>
      <c r="S129" s="68">
        <v>0.14248902</v>
      </c>
      <c r="T129" s="68">
        <v>0.13336202</v>
      </c>
      <c r="U129" s="68">
        <v>0.0042272204</v>
      </c>
      <c r="V129" s="68">
        <v>0.0048997739</v>
      </c>
      <c r="X129" s="69">
        <v>6.9951962E-4</v>
      </c>
      <c r="Y129" s="76" t="s">
        <v>197</v>
      </c>
      <c r="Z129" s="73" t="s">
        <v>261</v>
      </c>
    </row>
    <row r="130" ht="12.75" customHeight="1">
      <c r="A130" s="1" t="s">
        <v>262</v>
      </c>
      <c r="B130" s="2" t="s">
        <v>125</v>
      </c>
      <c r="C130" s="60" t="str">
        <f t="shared" si="37"/>
        <v>A.030.10.134</v>
      </c>
      <c r="D130" s="51" t="s">
        <v>191</v>
      </c>
      <c r="E130" s="62" t="s">
        <v>45</v>
      </c>
      <c r="F130" s="63" t="str">
        <f t="shared" si="38"/>
        <v>LiFePO4 (lithium iron phosphate - LFP)</v>
      </c>
      <c r="G130" s="64">
        <v>3.324652444</v>
      </c>
      <c r="H130" s="10">
        <f t="shared" si="39"/>
        <v>3.324652444</v>
      </c>
      <c r="I130" s="65">
        <v>0.4278462539999999</v>
      </c>
      <c r="J130" s="65">
        <v>1.1135982899999999</v>
      </c>
      <c r="K130" s="65">
        <v>0.46328290000000005</v>
      </c>
      <c r="L130" s="65">
        <v>1.319925</v>
      </c>
      <c r="N130" s="66">
        <v>8.7995</v>
      </c>
      <c r="O130" s="10">
        <f t="shared" si="40"/>
        <v>8.7995</v>
      </c>
      <c r="Q130" s="67">
        <v>0.0</v>
      </c>
      <c r="S130" s="68">
        <v>0.30921183</v>
      </c>
      <c r="T130" s="68">
        <v>0.299256</v>
      </c>
      <c r="U130" s="68">
        <v>0.0098469745</v>
      </c>
      <c r="V130" s="68">
        <v>1.0885553E-4</v>
      </c>
      <c r="X130" s="69">
        <v>7.2272954E-4</v>
      </c>
      <c r="Y130" s="77"/>
      <c r="Z130" s="73" t="s">
        <v>263</v>
      </c>
    </row>
    <row r="131" ht="12.75" customHeight="1">
      <c r="A131" s="1" t="s">
        <v>264</v>
      </c>
      <c r="B131" s="2" t="s">
        <v>125</v>
      </c>
      <c r="C131" s="60" t="str">
        <f t="shared" si="37"/>
        <v>A.030.10.135</v>
      </c>
      <c r="D131" s="51" t="s">
        <v>191</v>
      </c>
      <c r="E131" s="62" t="s">
        <v>45</v>
      </c>
      <c r="F131" s="63" t="str">
        <f t="shared" si="38"/>
        <v>Chromium oxide</v>
      </c>
      <c r="G131" s="64">
        <v>3.1252377973</v>
      </c>
      <c r="H131" s="10">
        <f t="shared" si="39"/>
        <v>3.125237797</v>
      </c>
      <c r="I131" s="65">
        <v>0.830331225</v>
      </c>
      <c r="J131" s="65">
        <v>0.639355448</v>
      </c>
      <c r="K131" s="65">
        <v>0.8388035843</v>
      </c>
      <c r="L131" s="65">
        <v>0.81674754</v>
      </c>
      <c r="N131" s="66">
        <v>5.4449836000000005</v>
      </c>
      <c r="O131" s="10">
        <f t="shared" si="40"/>
        <v>5.4449836</v>
      </c>
      <c r="Q131" s="67">
        <v>3.1291823</v>
      </c>
      <c r="S131" s="68">
        <v>0.11464191</v>
      </c>
      <c r="T131" s="68">
        <v>0.10975944</v>
      </c>
      <c r="U131" s="68">
        <v>0.0046620979</v>
      </c>
      <c r="V131" s="68">
        <v>2.2037172E-4</v>
      </c>
      <c r="X131" s="69">
        <v>8.8780726E-4</v>
      </c>
      <c r="Y131" s="77"/>
      <c r="Z131" s="73" t="s">
        <v>265</v>
      </c>
    </row>
    <row r="132" ht="12.75" customHeight="1">
      <c r="A132" s="1" t="s">
        <v>266</v>
      </c>
      <c r="B132" s="2" t="s">
        <v>125</v>
      </c>
      <c r="C132" s="60" t="str">
        <f t="shared" si="37"/>
        <v>A.030.10.136</v>
      </c>
      <c r="D132" s="51" t="s">
        <v>191</v>
      </c>
      <c r="E132" s="62" t="s">
        <v>45</v>
      </c>
      <c r="F132" s="63" t="str">
        <f t="shared" si="38"/>
        <v>Magnesium oxide</v>
      </c>
      <c r="G132" s="64">
        <v>0.55631683864</v>
      </c>
      <c r="H132" s="10">
        <f t="shared" si="39"/>
        <v>0.5563168386</v>
      </c>
      <c r="I132" s="65">
        <v>0.1269463439</v>
      </c>
      <c r="J132" s="65">
        <v>0.10816629020000001</v>
      </c>
      <c r="K132" s="65">
        <v>0.05249312454</v>
      </c>
      <c r="L132" s="65">
        <v>0.26871108</v>
      </c>
      <c r="N132" s="66">
        <v>1.7914072</v>
      </c>
      <c r="O132" s="10">
        <f t="shared" si="40"/>
        <v>1.7914072</v>
      </c>
      <c r="Q132" s="67">
        <v>0.65262406</v>
      </c>
      <c r="S132" s="68">
        <v>0.043788374</v>
      </c>
      <c r="T132" s="68">
        <v>0.042326011</v>
      </c>
      <c r="U132" s="68">
        <v>0.0014496443</v>
      </c>
      <c r="V132" s="68">
        <v>1.2718653E-5</v>
      </c>
      <c r="X132" s="69">
        <v>1.3446869E-4</v>
      </c>
      <c r="Y132" s="70"/>
      <c r="Z132" s="73" t="s">
        <v>267</v>
      </c>
    </row>
    <row r="133" ht="12.75" customHeight="1">
      <c r="A133" s="1" t="s">
        <v>268</v>
      </c>
      <c r="B133" s="2" t="s">
        <v>125</v>
      </c>
      <c r="C133" s="60" t="str">
        <f t="shared" si="37"/>
        <v>A.030.10.137</v>
      </c>
      <c r="D133" s="51" t="s">
        <v>191</v>
      </c>
      <c r="E133" s="62" t="s">
        <v>45</v>
      </c>
      <c r="F133" s="63" t="str">
        <f t="shared" si="38"/>
        <v>Ferric Chloride</v>
      </c>
      <c r="G133" s="64">
        <v>0.0935086622869</v>
      </c>
      <c r="H133" s="10">
        <f t="shared" si="39"/>
        <v>0.09350866229</v>
      </c>
      <c r="I133" s="65">
        <v>0.0057844403788</v>
      </c>
      <c r="J133" s="65">
        <v>0.0157548732771</v>
      </c>
      <c r="K133" s="65">
        <v>0.003555624631</v>
      </c>
      <c r="L133" s="65">
        <v>0.068413724</v>
      </c>
      <c r="N133" s="66">
        <v>0.4560914933333333</v>
      </c>
      <c r="O133" s="10">
        <f t="shared" si="40"/>
        <v>0.4560914933</v>
      </c>
      <c r="Q133" s="67">
        <v>3.9775342</v>
      </c>
      <c r="S133" s="68">
        <v>0.011906172</v>
      </c>
      <c r="T133" s="68">
        <v>0.011356513</v>
      </c>
      <c r="U133" s="68">
        <v>4.2843961E-4</v>
      </c>
      <c r="V133" s="68">
        <v>1.2122011E-4</v>
      </c>
      <c r="X133" s="69">
        <v>3.0571944E-5</v>
      </c>
      <c r="Y133" s="70"/>
      <c r="Z133" s="73" t="s">
        <v>269</v>
      </c>
    </row>
    <row r="134" ht="12.75" customHeight="1">
      <c r="A134" s="1" t="s">
        <v>270</v>
      </c>
      <c r="B134" s="2" t="s">
        <v>125</v>
      </c>
      <c r="C134" s="60" t="str">
        <f t="shared" si="37"/>
        <v>A.030.10.138</v>
      </c>
      <c r="D134" s="51" t="s">
        <v>191</v>
      </c>
      <c r="E134" s="62" t="s">
        <v>45</v>
      </c>
      <c r="F134" s="63" t="str">
        <f t="shared" si="38"/>
        <v>Talc (Talcum, Mg3Si4O10(OH)2) in Rotterdam</v>
      </c>
      <c r="G134" s="64">
        <v>0.03336337377492536</v>
      </c>
      <c r="H134" s="10">
        <f t="shared" si="39"/>
        <v>0.03336337377</v>
      </c>
      <c r="I134" s="65">
        <v>0.0030666493816</v>
      </c>
      <c r="J134" s="65">
        <v>0.004160589581</v>
      </c>
      <c r="K134" s="65">
        <v>0.008127333812325364</v>
      </c>
      <c r="L134" s="65">
        <v>0.018008801</v>
      </c>
      <c r="N134" s="66">
        <v>0.12005867333333335</v>
      </c>
      <c r="O134" s="10">
        <f t="shared" si="40"/>
        <v>0.1200586733</v>
      </c>
      <c r="Q134" s="67">
        <v>2.0727169</v>
      </c>
      <c r="S134" s="68">
        <v>0.0025168649</v>
      </c>
      <c r="T134" s="68">
        <v>0.0022921399</v>
      </c>
      <c r="U134" s="68">
        <v>1.0366086E-4</v>
      </c>
      <c r="V134" s="68">
        <v>1.2106414E-4</v>
      </c>
      <c r="X134" s="69">
        <v>6.7684515E-6</v>
      </c>
      <c r="Y134" s="70"/>
      <c r="Z134" s="73" t="s">
        <v>271</v>
      </c>
    </row>
    <row r="135" ht="12.75" customHeight="1">
      <c r="A135" s="1" t="s">
        <v>272</v>
      </c>
      <c r="B135" s="2" t="s">
        <v>125</v>
      </c>
      <c r="C135" s="60" t="str">
        <f t="shared" si="37"/>
        <v>A.030.10.139</v>
      </c>
      <c r="D135" s="51" t="s">
        <v>191</v>
      </c>
      <c r="E135" s="62" t="s">
        <v>45</v>
      </c>
      <c r="F135" s="63" t="str">
        <f t="shared" si="38"/>
        <v>Milled Limestone (CaCO3), without transport</v>
      </c>
      <c r="G135" s="64">
        <v>0.0012760866731008206</v>
      </c>
      <c r="H135" s="10">
        <f t="shared" si="39"/>
        <v>0.001276086673</v>
      </c>
      <c r="I135" s="65">
        <v>3.7121907619999996E-5</v>
      </c>
      <c r="J135" s="65">
        <v>7.677875274E-5</v>
      </c>
      <c r="K135" s="65">
        <v>3.0309518274082055E-4</v>
      </c>
      <c r="L135" s="65">
        <v>8.5909083E-4</v>
      </c>
      <c r="N135" s="66">
        <v>0.0057272722</v>
      </c>
      <c r="O135" s="10">
        <f t="shared" si="40"/>
        <v>0.0057272722</v>
      </c>
      <c r="Q135" s="67">
        <v>0.1014712</v>
      </c>
      <c r="S135" s="68">
        <v>1.0916093E-4</v>
      </c>
      <c r="T135" s="68">
        <v>1.009489E-4</v>
      </c>
      <c r="U135" s="68">
        <v>4.5944953E-6</v>
      </c>
      <c r="V135" s="68">
        <v>3.6175421E-6</v>
      </c>
      <c r="X135" s="69">
        <v>2.9125355E-7</v>
      </c>
      <c r="Y135" s="70"/>
      <c r="Z135" s="73"/>
    </row>
    <row r="136" ht="12.75" customHeight="1">
      <c r="B136" s="2"/>
      <c r="C136" s="60"/>
      <c r="D136" s="75" t="s">
        <v>273</v>
      </c>
      <c r="E136" s="62"/>
      <c r="G136" s="10"/>
      <c r="H136" s="10"/>
      <c r="I136" s="10"/>
      <c r="J136" s="10"/>
      <c r="K136" s="10"/>
      <c r="L136" s="10"/>
      <c r="N136" s="10"/>
      <c r="O136" s="10"/>
      <c r="Q136" s="67"/>
      <c r="Y136" s="74"/>
      <c r="Z136" s="72"/>
    </row>
    <row r="137" ht="12.75" customHeight="1">
      <c r="A137" s="1" t="s">
        <v>274</v>
      </c>
      <c r="B137" s="2" t="s">
        <v>125</v>
      </c>
      <c r="C137" s="60" t="str">
        <f t="shared" ref="C137:C170" si="41">MID(A137,1,12)</f>
        <v>A.030.14.101</v>
      </c>
      <c r="D137" s="51" t="s">
        <v>273</v>
      </c>
      <c r="E137" s="62" t="s">
        <v>45</v>
      </c>
      <c r="F137" s="63" t="str">
        <f t="shared" ref="F137:F170" si="42">MID(A137, 21,85)</f>
        <v>Acetone</v>
      </c>
      <c r="G137" s="64">
        <v>0.2915432013178786</v>
      </c>
      <c r="H137" s="10">
        <f t="shared" ref="H137:H170" si="43">G137</f>
        <v>0.2915432013</v>
      </c>
      <c r="I137" s="65">
        <v>0.009648065118990001</v>
      </c>
      <c r="J137" s="65">
        <v>0.0358951361988886</v>
      </c>
      <c r="K137" s="65">
        <v>0.0</v>
      </c>
      <c r="L137" s="65">
        <v>0.246</v>
      </c>
      <c r="N137" s="66">
        <v>1.6400000000000001</v>
      </c>
      <c r="O137" s="10">
        <f t="shared" ref="O137:O170" si="44">N137</f>
        <v>1.64</v>
      </c>
      <c r="Q137" s="67">
        <v>34.089</v>
      </c>
      <c r="S137" s="68">
        <v>0.039563901</v>
      </c>
      <c r="T137" s="68">
        <v>0.035742191</v>
      </c>
      <c r="U137" s="68">
        <v>0.0014543143</v>
      </c>
      <c r="V137" s="68">
        <v>0.0023673955</v>
      </c>
      <c r="X137" s="69">
        <v>9.7704041E-5</v>
      </c>
      <c r="Y137" s="76" t="s">
        <v>275</v>
      </c>
      <c r="Z137" s="73" t="s">
        <v>276</v>
      </c>
    </row>
    <row r="138" ht="12.75" customHeight="1">
      <c r="A138" s="1" t="s">
        <v>277</v>
      </c>
      <c r="B138" s="2" t="s">
        <v>125</v>
      </c>
      <c r="C138" s="60" t="str">
        <f t="shared" si="41"/>
        <v>A.030.14.102</v>
      </c>
      <c r="D138" s="51" t="s">
        <v>273</v>
      </c>
      <c r="E138" s="62" t="s">
        <v>45</v>
      </c>
      <c r="F138" s="63" t="str">
        <f t="shared" si="42"/>
        <v>Acetylene (Ethyne)</v>
      </c>
      <c r="G138" s="64">
        <v>0.2915432013178786</v>
      </c>
      <c r="H138" s="10">
        <f t="shared" si="43"/>
        <v>0.2915432013</v>
      </c>
      <c r="I138" s="65">
        <v>0.009648065118990001</v>
      </c>
      <c r="J138" s="65">
        <v>0.0358951361988886</v>
      </c>
      <c r="K138" s="65">
        <v>0.0</v>
      </c>
      <c r="L138" s="65">
        <v>0.246</v>
      </c>
      <c r="N138" s="66">
        <v>1.6400000000000001</v>
      </c>
      <c r="O138" s="10">
        <f t="shared" si="44"/>
        <v>1.64</v>
      </c>
      <c r="Q138" s="67">
        <v>34.089</v>
      </c>
      <c r="S138" s="68">
        <v>0.039563901</v>
      </c>
      <c r="T138" s="68">
        <v>0.035742191</v>
      </c>
      <c r="U138" s="68">
        <v>0.0014543143</v>
      </c>
      <c r="V138" s="68">
        <v>0.0023673955</v>
      </c>
      <c r="X138" s="69">
        <v>9.7704041E-5</v>
      </c>
      <c r="Y138" s="76" t="s">
        <v>278</v>
      </c>
      <c r="Z138" s="73" t="s">
        <v>279</v>
      </c>
    </row>
    <row r="139" ht="12.75" customHeight="1">
      <c r="A139" s="1" t="s">
        <v>280</v>
      </c>
      <c r="B139" s="2" t="s">
        <v>125</v>
      </c>
      <c r="C139" s="60" t="str">
        <f t="shared" si="41"/>
        <v>A.030.14.103</v>
      </c>
      <c r="D139" s="51" t="s">
        <v>273</v>
      </c>
      <c r="E139" s="62" t="s">
        <v>45</v>
      </c>
      <c r="F139" s="63" t="str">
        <f t="shared" si="42"/>
        <v>Acrylonitrile</v>
      </c>
      <c r="G139" s="64">
        <v>0.6910367515547</v>
      </c>
      <c r="H139" s="10">
        <f t="shared" si="43"/>
        <v>0.6910367516</v>
      </c>
      <c r="I139" s="65">
        <v>0.0402640895547</v>
      </c>
      <c r="J139" s="65">
        <v>0.142108322</v>
      </c>
      <c r="K139" s="65">
        <v>0.012648900000000001</v>
      </c>
      <c r="L139" s="65">
        <v>0.49601544</v>
      </c>
      <c r="N139" s="66">
        <v>3.3067696</v>
      </c>
      <c r="O139" s="10">
        <f t="shared" si="44"/>
        <v>3.3067696</v>
      </c>
      <c r="Q139" s="67">
        <v>1.5688</v>
      </c>
      <c r="S139" s="68">
        <v>0.055922767</v>
      </c>
      <c r="T139" s="68">
        <v>0.053366307</v>
      </c>
      <c r="U139" s="68">
        <v>0.002556448</v>
      </c>
      <c r="V139" s="68">
        <v>1.201662E-8</v>
      </c>
      <c r="X139" s="69">
        <v>1.1017285E-4</v>
      </c>
      <c r="Y139" s="76" t="s">
        <v>281</v>
      </c>
      <c r="Z139" s="73" t="s">
        <v>282</v>
      </c>
    </row>
    <row r="140" ht="12.75" customHeight="1">
      <c r="A140" s="1" t="s">
        <v>283</v>
      </c>
      <c r="B140" s="2" t="s">
        <v>125</v>
      </c>
      <c r="C140" s="60" t="str">
        <f t="shared" si="41"/>
        <v>A.030.14.104</v>
      </c>
      <c r="D140" s="51" t="s">
        <v>273</v>
      </c>
      <c r="E140" s="62" t="s">
        <v>45</v>
      </c>
      <c r="F140" s="63" t="str">
        <f t="shared" si="42"/>
        <v>Alkenyl Succinic Anhydride (ASA)</v>
      </c>
      <c r="G140" s="64">
        <v>1.790220237313</v>
      </c>
      <c r="H140" s="10">
        <f t="shared" si="43"/>
        <v>1.790220237</v>
      </c>
      <c r="I140" s="65">
        <v>0.07072115886</v>
      </c>
      <c r="J140" s="65">
        <v>0.203702659153</v>
      </c>
      <c r="K140" s="65">
        <v>0.1337463193</v>
      </c>
      <c r="L140" s="65">
        <v>1.3820501</v>
      </c>
      <c r="N140" s="66">
        <v>9.213667333333333</v>
      </c>
      <c r="O140" s="10">
        <f t="shared" si="44"/>
        <v>9.213667333</v>
      </c>
      <c r="Q140" s="67">
        <v>176.70652</v>
      </c>
      <c r="S140" s="68">
        <v>0.20322914</v>
      </c>
      <c r="T140" s="68">
        <v>0.18693365</v>
      </c>
      <c r="U140" s="68">
        <v>0.0078525453</v>
      </c>
      <c r="V140" s="68">
        <v>0.0084429393</v>
      </c>
      <c r="X140" s="69">
        <v>5.1537268E-4</v>
      </c>
      <c r="Y140" s="78" t="s">
        <v>181</v>
      </c>
      <c r="Z140" s="73" t="s">
        <v>284</v>
      </c>
    </row>
    <row r="141" ht="12.75" customHeight="1">
      <c r="A141" s="1" t="s">
        <v>285</v>
      </c>
      <c r="B141" s="2" t="s">
        <v>125</v>
      </c>
      <c r="C141" s="60" t="str">
        <f t="shared" si="41"/>
        <v>A.030.14.105</v>
      </c>
      <c r="D141" s="51" t="s">
        <v>273</v>
      </c>
      <c r="E141" s="62" t="s">
        <v>45</v>
      </c>
      <c r="F141" s="63" t="str">
        <f t="shared" si="42"/>
        <v>Alkyl Ketene Dimer (AKD)</v>
      </c>
      <c r="G141" s="64">
        <v>0.8425479548119</v>
      </c>
      <c r="H141" s="10">
        <f t="shared" si="43"/>
        <v>0.8425479548</v>
      </c>
      <c r="I141" s="65">
        <v>0.029180904599999998</v>
      </c>
      <c r="J141" s="65">
        <v>0.0530224375119</v>
      </c>
      <c r="K141" s="65">
        <v>0.09040038269999999</v>
      </c>
      <c r="L141" s="65">
        <v>0.66994423</v>
      </c>
      <c r="N141" s="66">
        <v>4.466294866666667</v>
      </c>
      <c r="O141" s="10">
        <f t="shared" si="44"/>
        <v>4.466294867</v>
      </c>
      <c r="Q141" s="67">
        <v>77.902337</v>
      </c>
      <c r="S141" s="68">
        <v>0.084236033</v>
      </c>
      <c r="T141" s="68">
        <v>0.077914349</v>
      </c>
      <c r="U141" s="68">
        <v>0.0035708334</v>
      </c>
      <c r="V141" s="68">
        <v>0.0027508505</v>
      </c>
      <c r="X141" s="69">
        <v>2.2320004E-4</v>
      </c>
      <c r="Y141" s="78" t="s">
        <v>181</v>
      </c>
      <c r="Z141" s="73" t="s">
        <v>286</v>
      </c>
    </row>
    <row r="142" ht="12.75" customHeight="1">
      <c r="A142" s="1" t="s">
        <v>287</v>
      </c>
      <c r="B142" s="2" t="s">
        <v>125</v>
      </c>
      <c r="C142" s="60" t="str">
        <f t="shared" si="41"/>
        <v>A.030.14.106</v>
      </c>
      <c r="D142" s="51" t="s">
        <v>273</v>
      </c>
      <c r="E142" s="62" t="s">
        <v>45</v>
      </c>
      <c r="F142" s="63" t="str">
        <f t="shared" si="42"/>
        <v>Benzene</v>
      </c>
      <c r="G142" s="64">
        <v>0.3514570883180369</v>
      </c>
      <c r="H142" s="10">
        <f t="shared" si="43"/>
        <v>0.3514570883</v>
      </c>
      <c r="I142" s="65">
        <v>0.0066057327233279995</v>
      </c>
      <c r="J142" s="65">
        <v>0.06585135559470891</v>
      </c>
      <c r="K142" s="65">
        <v>0.0</v>
      </c>
      <c r="L142" s="65">
        <v>0.279</v>
      </c>
      <c r="N142" s="66">
        <v>1.8600000000000003</v>
      </c>
      <c r="O142" s="10">
        <f t="shared" si="44"/>
        <v>1.86</v>
      </c>
      <c r="Q142" s="67">
        <v>54.202</v>
      </c>
      <c r="S142" s="68">
        <v>0.052984079</v>
      </c>
      <c r="T142" s="68">
        <v>0.047372067</v>
      </c>
      <c r="U142" s="68">
        <v>0.0017672647</v>
      </c>
      <c r="V142" s="68">
        <v>0.0038447472</v>
      </c>
      <c r="X142" s="69">
        <v>1.3679513E-4</v>
      </c>
      <c r="Y142" s="76" t="s">
        <v>288</v>
      </c>
      <c r="Z142" s="73" t="s">
        <v>289</v>
      </c>
    </row>
    <row r="143" ht="12.75" customHeight="1">
      <c r="A143" s="1" t="s">
        <v>290</v>
      </c>
      <c r="B143" s="2" t="s">
        <v>125</v>
      </c>
      <c r="C143" s="60" t="str">
        <f t="shared" si="41"/>
        <v>A.030.14.107</v>
      </c>
      <c r="D143" s="51" t="s">
        <v>273</v>
      </c>
      <c r="E143" s="62" t="s">
        <v>45</v>
      </c>
      <c r="F143" s="63" t="str">
        <f t="shared" si="42"/>
        <v>Butadiene</v>
      </c>
      <c r="G143" s="64">
        <v>0.35064833543623297</v>
      </c>
      <c r="H143" s="10">
        <f t="shared" si="43"/>
        <v>0.3506483354</v>
      </c>
      <c r="I143" s="65">
        <v>0.005917731050995</v>
      </c>
      <c r="J143" s="65">
        <v>0.04773060438523799</v>
      </c>
      <c r="K143" s="65">
        <v>0.0</v>
      </c>
      <c r="L143" s="65">
        <v>0.297</v>
      </c>
      <c r="N143" s="66">
        <v>1.98</v>
      </c>
      <c r="O143" s="10">
        <f t="shared" si="44"/>
        <v>1.98</v>
      </c>
      <c r="Q143" s="67">
        <v>53.284</v>
      </c>
      <c r="S143" s="68">
        <v>0.048716257</v>
      </c>
      <c r="T143" s="68">
        <v>0.043218527</v>
      </c>
      <c r="U143" s="68">
        <v>0.001743803</v>
      </c>
      <c r="V143" s="68">
        <v>0.0037539264</v>
      </c>
      <c r="X143" s="69">
        <v>1.3281275E-4</v>
      </c>
      <c r="Y143" s="76" t="s">
        <v>291</v>
      </c>
      <c r="Z143" s="73" t="s">
        <v>292</v>
      </c>
    </row>
    <row r="144" ht="12.75" customHeight="1">
      <c r="A144" s="1" t="s">
        <v>293</v>
      </c>
      <c r="B144" s="2" t="s">
        <v>125</v>
      </c>
      <c r="C144" s="60" t="str">
        <f t="shared" si="41"/>
        <v>A.030.14.108</v>
      </c>
      <c r="D144" s="51" t="s">
        <v>273</v>
      </c>
      <c r="E144" s="62" t="s">
        <v>45</v>
      </c>
      <c r="F144" s="63" t="str">
        <f t="shared" si="42"/>
        <v>Butane</v>
      </c>
      <c r="G144" s="64">
        <v>0.119195355576346</v>
      </c>
      <c r="H144" s="10">
        <f t="shared" si="43"/>
        <v>0.1191953556</v>
      </c>
      <c r="I144" s="65">
        <v>0.023447678656345998</v>
      </c>
      <c r="J144" s="65">
        <v>0.04136230922</v>
      </c>
      <c r="K144" s="65">
        <v>0.0018853677</v>
      </c>
      <c r="L144" s="65">
        <v>0.0525</v>
      </c>
      <c r="N144" s="66">
        <v>0.35</v>
      </c>
      <c r="O144" s="10">
        <f t="shared" si="44"/>
        <v>0.35</v>
      </c>
      <c r="Q144" s="67">
        <v>52.756089</v>
      </c>
      <c r="S144" s="68">
        <v>0.018685444</v>
      </c>
      <c r="T144" s="68">
        <v>0.014396053</v>
      </c>
      <c r="U144" s="68">
        <v>5.410043E-4</v>
      </c>
      <c r="V144" s="68">
        <v>0.0037483864</v>
      </c>
      <c r="X144" s="69">
        <v>9.2310897E-5</v>
      </c>
      <c r="Y144" s="76" t="s">
        <v>294</v>
      </c>
      <c r="Z144" s="73" t="s">
        <v>295</v>
      </c>
    </row>
    <row r="145" ht="12.75" customHeight="1">
      <c r="A145" s="1" t="s">
        <v>296</v>
      </c>
      <c r="B145" s="2" t="s">
        <v>125</v>
      </c>
      <c r="C145" s="60" t="str">
        <f t="shared" si="41"/>
        <v>A.030.14.109</v>
      </c>
      <c r="D145" s="51" t="s">
        <v>273</v>
      </c>
      <c r="E145" s="62" t="s">
        <v>45</v>
      </c>
      <c r="F145" s="63" t="str">
        <f t="shared" si="42"/>
        <v>Cumene hydroperoxide</v>
      </c>
      <c r="G145" s="64">
        <v>0.31856027100086537</v>
      </c>
      <c r="H145" s="10">
        <f t="shared" si="43"/>
        <v>0.318560271</v>
      </c>
      <c r="I145" s="65">
        <v>0.006119725980323</v>
      </c>
      <c r="J145" s="65">
        <v>0.0570205450205424</v>
      </c>
      <c r="K145" s="65">
        <v>0.0</v>
      </c>
      <c r="L145" s="65">
        <v>0.25542</v>
      </c>
      <c r="N145" s="66">
        <v>1.7027999999999999</v>
      </c>
      <c r="O145" s="10">
        <f t="shared" si="44"/>
        <v>1.7028</v>
      </c>
      <c r="Q145" s="67">
        <v>52.61058</v>
      </c>
      <c r="S145" s="68">
        <v>0.047474512</v>
      </c>
      <c r="T145" s="68">
        <v>0.042148143</v>
      </c>
      <c r="U145" s="68">
        <v>0.0015949967</v>
      </c>
      <c r="V145" s="68">
        <v>0.0037313726</v>
      </c>
      <c r="X145" s="69">
        <v>1.2771795E-4</v>
      </c>
      <c r="Y145" s="76" t="s">
        <v>297</v>
      </c>
      <c r="Z145" s="73" t="s">
        <v>298</v>
      </c>
    </row>
    <row r="146" ht="12.75" customHeight="1">
      <c r="A146" s="1" t="s">
        <v>299</v>
      </c>
      <c r="B146" s="2" t="s">
        <v>125</v>
      </c>
      <c r="C146" s="60" t="str">
        <f t="shared" si="41"/>
        <v>A.030.14.110</v>
      </c>
      <c r="D146" s="51" t="s">
        <v>273</v>
      </c>
      <c r="E146" s="62" t="s">
        <v>45</v>
      </c>
      <c r="F146" s="63" t="str">
        <f t="shared" si="42"/>
        <v>Diethylene glycol (DEG)</v>
      </c>
      <c r="G146" s="64">
        <v>0.3273165143361929</v>
      </c>
      <c r="H146" s="10">
        <f t="shared" si="43"/>
        <v>0.3273165143</v>
      </c>
      <c r="I146" s="65">
        <v>0.00696402664991</v>
      </c>
      <c r="J146" s="65">
        <v>0.0413524876862829</v>
      </c>
      <c r="K146" s="65">
        <v>0.0</v>
      </c>
      <c r="L146" s="65">
        <v>0.279</v>
      </c>
      <c r="N146" s="66">
        <v>1.8600000000000003</v>
      </c>
      <c r="O146" s="10">
        <f t="shared" si="44"/>
        <v>1.86</v>
      </c>
      <c r="Q146" s="67">
        <v>28.588</v>
      </c>
      <c r="S146" s="68">
        <v>0.043477892</v>
      </c>
      <c r="T146" s="68">
        <v>0.039934841</v>
      </c>
      <c r="U146" s="68">
        <v>0.0016282461</v>
      </c>
      <c r="V146" s="68">
        <v>0.0019148052</v>
      </c>
      <c r="X146" s="69">
        <v>9.72024E-5</v>
      </c>
      <c r="Y146" s="76" t="s">
        <v>300</v>
      </c>
      <c r="Z146" s="73" t="s">
        <v>301</v>
      </c>
    </row>
    <row r="147" ht="12.75" customHeight="1">
      <c r="A147" s="1" t="s">
        <v>302</v>
      </c>
      <c r="B147" s="2" t="s">
        <v>125</v>
      </c>
      <c r="C147" s="60" t="str">
        <f t="shared" si="41"/>
        <v>A.030.14.111</v>
      </c>
      <c r="D147" s="51" t="s">
        <v>273</v>
      </c>
      <c r="E147" s="62" t="s">
        <v>45</v>
      </c>
      <c r="F147" s="63" t="str">
        <f t="shared" si="42"/>
        <v>Dipropylene glycol monomethyl ether</v>
      </c>
      <c r="G147" s="64">
        <v>1.503353124</v>
      </c>
      <c r="H147" s="10">
        <f t="shared" si="43"/>
        <v>1.503353124</v>
      </c>
      <c r="I147" s="65">
        <v>0.231034839</v>
      </c>
      <c r="J147" s="65">
        <v>0.47919583299999996</v>
      </c>
      <c r="K147" s="65">
        <v>0.18315774199999998</v>
      </c>
      <c r="L147" s="65">
        <v>0.60996471</v>
      </c>
      <c r="N147" s="66">
        <v>4.0664314</v>
      </c>
      <c r="O147" s="10">
        <f t="shared" si="44"/>
        <v>4.0664314</v>
      </c>
      <c r="Q147" s="67">
        <v>106.10521</v>
      </c>
      <c r="S147" s="68">
        <v>0.11815549</v>
      </c>
      <c r="T147" s="68">
        <v>0.10803727</v>
      </c>
      <c r="U147" s="68">
        <v>0.0038191965</v>
      </c>
      <c r="V147" s="68">
        <v>0.006299019</v>
      </c>
      <c r="X147" s="69">
        <v>4.7364731E-4</v>
      </c>
      <c r="Y147" s="76" t="s">
        <v>300</v>
      </c>
      <c r="Z147" s="73" t="s">
        <v>303</v>
      </c>
    </row>
    <row r="148" ht="12.75" customHeight="1">
      <c r="A148" s="1" t="s">
        <v>304</v>
      </c>
      <c r="B148" s="2" t="s">
        <v>125</v>
      </c>
      <c r="C148" s="60" t="str">
        <f t="shared" si="41"/>
        <v>A.030.14.112</v>
      </c>
      <c r="D148" s="51" t="s">
        <v>273</v>
      </c>
      <c r="E148" s="62" t="s">
        <v>45</v>
      </c>
      <c r="F148" s="63" t="str">
        <f t="shared" si="42"/>
        <v>Ethanol (alcohol) bio-based from agricultural waste</v>
      </c>
      <c r="G148" s="64">
        <v>0.2430810818231</v>
      </c>
      <c r="H148" s="10">
        <f t="shared" si="43"/>
        <v>0.2430810818</v>
      </c>
      <c r="I148" s="65">
        <v>0.009467069172000001</v>
      </c>
      <c r="J148" s="65">
        <v>0.0143331023011</v>
      </c>
      <c r="K148" s="65">
        <v>0.007807910350000001</v>
      </c>
      <c r="L148" s="65">
        <v>0.211473</v>
      </c>
      <c r="N148" s="66">
        <v>1.40982</v>
      </c>
      <c r="O148" s="10">
        <f t="shared" si="44"/>
        <v>1.40982</v>
      </c>
      <c r="Q148" s="67">
        <v>50.690584</v>
      </c>
      <c r="S148" s="68">
        <v>0.026260496</v>
      </c>
      <c r="T148" s="68">
        <v>0.023808991</v>
      </c>
      <c r="U148" s="68">
        <v>0.0011130193</v>
      </c>
      <c r="V148" s="68">
        <v>0.0013384857</v>
      </c>
      <c r="X148" s="69">
        <v>6.9249574E-5</v>
      </c>
      <c r="Y148" s="76" t="s">
        <v>305</v>
      </c>
      <c r="Z148" s="73" t="s">
        <v>306</v>
      </c>
    </row>
    <row r="149" ht="12.75" customHeight="1">
      <c r="A149" s="1" t="s">
        <v>307</v>
      </c>
      <c r="B149" s="2" t="s">
        <v>125</v>
      </c>
      <c r="C149" s="60" t="str">
        <f t="shared" si="41"/>
        <v>A.030.14.113</v>
      </c>
      <c r="D149" s="51" t="s">
        <v>273</v>
      </c>
      <c r="E149" s="62" t="s">
        <v>45</v>
      </c>
      <c r="F149" s="63" t="str">
        <f t="shared" si="42"/>
        <v>Ethanol (alcohol) synthetic</v>
      </c>
      <c r="G149" s="64">
        <v>0.19152356370731</v>
      </c>
      <c r="H149" s="10">
        <f t="shared" si="43"/>
        <v>0.1915235637</v>
      </c>
      <c r="I149" s="65">
        <v>0.0064365069809</v>
      </c>
      <c r="J149" s="65">
        <v>0.02268594334241</v>
      </c>
      <c r="K149" s="65">
        <v>1.20133384E-4</v>
      </c>
      <c r="L149" s="65">
        <v>0.16228098</v>
      </c>
      <c r="N149" s="66">
        <v>1.0818732</v>
      </c>
      <c r="O149" s="10">
        <f t="shared" si="44"/>
        <v>1.0818732</v>
      </c>
      <c r="Q149" s="67">
        <v>22.001464</v>
      </c>
      <c r="S149" s="68">
        <v>0.025646309</v>
      </c>
      <c r="T149" s="68">
        <v>0.02316611</v>
      </c>
      <c r="U149" s="68">
        <v>9.5122701E-4</v>
      </c>
      <c r="V149" s="68">
        <v>0.0015289719</v>
      </c>
      <c r="X149" s="69">
        <v>6.3582132E-5</v>
      </c>
      <c r="Y149" s="76" t="s">
        <v>305</v>
      </c>
      <c r="Z149" s="73" t="s">
        <v>306</v>
      </c>
    </row>
    <row r="150" ht="12.75" customHeight="1">
      <c r="A150" s="1" t="s">
        <v>308</v>
      </c>
      <c r="B150" s="2" t="s">
        <v>125</v>
      </c>
      <c r="C150" s="60" t="str">
        <f t="shared" si="41"/>
        <v>A.030.14.114</v>
      </c>
      <c r="D150" s="51" t="s">
        <v>273</v>
      </c>
      <c r="E150" s="62" t="s">
        <v>45</v>
      </c>
      <c r="F150" s="63" t="str">
        <f t="shared" si="42"/>
        <v>Ethylbenzene</v>
      </c>
      <c r="G150" s="64">
        <v>0.3843104131738503</v>
      </c>
      <c r="H150" s="10">
        <f t="shared" si="43"/>
        <v>0.3843104132</v>
      </c>
      <c r="I150" s="65">
        <v>0.024602403085128</v>
      </c>
      <c r="J150" s="65">
        <v>0.025208010088722248</v>
      </c>
      <c r="K150" s="65">
        <v>0.0</v>
      </c>
      <c r="L150" s="65">
        <v>0.3345</v>
      </c>
      <c r="N150" s="66">
        <v>2.2300000000000004</v>
      </c>
      <c r="O150" s="10">
        <f t="shared" si="44"/>
        <v>2.23</v>
      </c>
      <c r="Q150" s="67">
        <v>44.732</v>
      </c>
      <c r="S150" s="68">
        <v>0.047218935</v>
      </c>
      <c r="T150" s="68">
        <v>0.042152049</v>
      </c>
      <c r="U150" s="68">
        <v>0.0018730204</v>
      </c>
      <c r="V150" s="68">
        <v>0.0031938648</v>
      </c>
      <c r="X150" s="69">
        <v>1.2787255E-4</v>
      </c>
      <c r="Y150" s="76" t="s">
        <v>288</v>
      </c>
      <c r="Z150" s="73" t="s">
        <v>309</v>
      </c>
    </row>
    <row r="151" ht="12.75" customHeight="1">
      <c r="A151" s="1" t="s">
        <v>310</v>
      </c>
      <c r="B151" s="2" t="s">
        <v>125</v>
      </c>
      <c r="C151" s="60" t="str">
        <f t="shared" si="41"/>
        <v>A.030.14.115</v>
      </c>
      <c r="D151" s="51" t="s">
        <v>273</v>
      </c>
      <c r="E151" s="62" t="s">
        <v>45</v>
      </c>
      <c r="F151" s="63" t="str">
        <f t="shared" si="42"/>
        <v>Ethylene (Ethene)</v>
      </c>
      <c r="G151" s="64">
        <v>0.26241997839988085</v>
      </c>
      <c r="H151" s="10">
        <f t="shared" si="43"/>
        <v>0.2624199784</v>
      </c>
      <c r="I151" s="65">
        <v>0.005333158796746</v>
      </c>
      <c r="J151" s="65">
        <v>0.04108681960313483</v>
      </c>
      <c r="K151" s="65">
        <v>0.0</v>
      </c>
      <c r="L151" s="65">
        <v>0.216</v>
      </c>
      <c r="N151" s="66">
        <v>1.44</v>
      </c>
      <c r="O151" s="10">
        <f t="shared" si="44"/>
        <v>1.44</v>
      </c>
      <c r="Q151" s="67">
        <v>51.022</v>
      </c>
      <c r="S151" s="68">
        <v>0.037893998</v>
      </c>
      <c r="T151" s="68">
        <v>0.032977509</v>
      </c>
      <c r="U151" s="68">
        <v>0.001298794</v>
      </c>
      <c r="V151" s="68">
        <v>0.0036176952</v>
      </c>
      <c r="X151" s="69">
        <v>1.1343382E-4</v>
      </c>
      <c r="Y151" s="76" t="s">
        <v>311</v>
      </c>
      <c r="Z151" s="73" t="s">
        <v>312</v>
      </c>
    </row>
    <row r="152" ht="12.75" customHeight="1">
      <c r="A152" s="1" t="s">
        <v>313</v>
      </c>
      <c r="B152" s="2" t="s">
        <v>125</v>
      </c>
      <c r="C152" s="60" t="str">
        <f t="shared" si="41"/>
        <v>A.030.14.116</v>
      </c>
      <c r="D152" s="51" t="s">
        <v>273</v>
      </c>
      <c r="E152" s="62" t="s">
        <v>45</v>
      </c>
      <c r="F152" s="63" t="str">
        <f t="shared" si="42"/>
        <v>Ethylene dichloride</v>
      </c>
      <c r="G152" s="64">
        <v>0.231325054935221</v>
      </c>
      <c r="H152" s="10">
        <f t="shared" si="43"/>
        <v>0.2313250549</v>
      </c>
      <c r="I152" s="65">
        <v>0.017496104021571</v>
      </c>
      <c r="J152" s="65">
        <v>0.037574284441699995</v>
      </c>
      <c r="K152" s="65">
        <v>9.776647195E-5</v>
      </c>
      <c r="L152" s="65">
        <v>0.1761569</v>
      </c>
      <c r="N152" s="66">
        <v>1.1743793333333334</v>
      </c>
      <c r="O152" s="10">
        <f t="shared" si="44"/>
        <v>1.174379333</v>
      </c>
      <c r="Q152" s="67">
        <v>13.365076</v>
      </c>
      <c r="S152" s="68">
        <v>0.030779399</v>
      </c>
      <c r="T152" s="68">
        <v>0.028980102</v>
      </c>
      <c r="U152" s="68">
        <v>0.0011008339</v>
      </c>
      <c r="V152" s="68">
        <v>6.9846375E-4</v>
      </c>
      <c r="X152" s="69">
        <v>9.1195306E-5</v>
      </c>
      <c r="Y152" s="76" t="s">
        <v>314</v>
      </c>
      <c r="Z152" s="73" t="s">
        <v>315</v>
      </c>
    </row>
    <row r="153" ht="12.75" customHeight="1">
      <c r="A153" s="1" t="s">
        <v>316</v>
      </c>
      <c r="B153" s="2" t="s">
        <v>125</v>
      </c>
      <c r="C153" s="60" t="str">
        <f t="shared" si="41"/>
        <v>A.030.14.117</v>
      </c>
      <c r="D153" s="51" t="s">
        <v>273</v>
      </c>
      <c r="E153" s="62" t="s">
        <v>45</v>
      </c>
      <c r="F153" s="63" t="str">
        <f t="shared" si="42"/>
        <v>Ethylene oxide</v>
      </c>
      <c r="G153" s="64">
        <v>0.3503232875088993</v>
      </c>
      <c r="H153" s="10">
        <f t="shared" si="43"/>
        <v>0.3503232875</v>
      </c>
      <c r="I153" s="65">
        <v>0.00758460315841</v>
      </c>
      <c r="J153" s="65">
        <v>0.042738684350489296</v>
      </c>
      <c r="K153" s="65">
        <v>0.0</v>
      </c>
      <c r="L153" s="65">
        <v>0.3</v>
      </c>
      <c r="N153" s="66">
        <v>2.0</v>
      </c>
      <c r="O153" s="10">
        <f t="shared" si="44"/>
        <v>2</v>
      </c>
      <c r="Q153" s="67">
        <v>33.64</v>
      </c>
      <c r="S153" s="68">
        <v>0.046416877</v>
      </c>
      <c r="T153" s="68">
        <v>0.042375455</v>
      </c>
      <c r="U153" s="68">
        <v>0.0017406283</v>
      </c>
      <c r="V153" s="68">
        <v>0.0023007936</v>
      </c>
      <c r="X153" s="69">
        <v>1.0800061E-4</v>
      </c>
      <c r="Y153" s="76" t="s">
        <v>317</v>
      </c>
      <c r="Z153" s="73" t="s">
        <v>318</v>
      </c>
    </row>
    <row r="154" ht="12.75" customHeight="1">
      <c r="A154" s="1" t="s">
        <v>319</v>
      </c>
      <c r="B154" s="2" t="s">
        <v>125</v>
      </c>
      <c r="C154" s="60" t="str">
        <f t="shared" si="41"/>
        <v>A.030.14.118</v>
      </c>
      <c r="D154" s="51" t="s">
        <v>273</v>
      </c>
      <c r="E154" s="62" t="s">
        <v>45</v>
      </c>
      <c r="F154" s="63" t="str">
        <f t="shared" si="42"/>
        <v>Methanol</v>
      </c>
      <c r="G154" s="64">
        <v>0.19029985927716583</v>
      </c>
      <c r="H154" s="10">
        <f t="shared" si="43"/>
        <v>0.1902998593</v>
      </c>
      <c r="I154" s="65">
        <v>0.01564706984</v>
      </c>
      <c r="J154" s="65">
        <v>0.0237177458984</v>
      </c>
      <c r="K154" s="65">
        <v>0.01331619353876584</v>
      </c>
      <c r="L154" s="65">
        <v>0.13761885</v>
      </c>
      <c r="N154" s="66">
        <v>0.9174589999999999</v>
      </c>
      <c r="O154" s="10">
        <f t="shared" si="44"/>
        <v>0.917459</v>
      </c>
      <c r="Q154" s="67">
        <v>35.83099</v>
      </c>
      <c r="S154" s="68">
        <v>0.020464854</v>
      </c>
      <c r="T154" s="68">
        <v>0.017495675</v>
      </c>
      <c r="U154" s="68">
        <v>7.7023656E-4</v>
      </c>
      <c r="V154" s="68">
        <v>0.0021989427</v>
      </c>
      <c r="X154" s="69">
        <v>7.4998841E-5</v>
      </c>
      <c r="Y154" s="76" t="s">
        <v>320</v>
      </c>
      <c r="Z154" s="73" t="s">
        <v>321</v>
      </c>
    </row>
    <row r="155" ht="12.75" customHeight="1">
      <c r="A155" s="1" t="s">
        <v>322</v>
      </c>
      <c r="B155" s="2" t="s">
        <v>125</v>
      </c>
      <c r="C155" s="60" t="str">
        <f t="shared" si="41"/>
        <v>A.030.14.119</v>
      </c>
      <c r="D155" s="51" t="s">
        <v>273</v>
      </c>
      <c r="E155" s="62" t="s">
        <v>45</v>
      </c>
      <c r="F155" s="63" t="str">
        <f t="shared" si="42"/>
        <v>Methylamine</v>
      </c>
      <c r="G155" s="64">
        <v>0.7021284094837157</v>
      </c>
      <c r="H155" s="10">
        <f t="shared" si="43"/>
        <v>0.7021284095</v>
      </c>
      <c r="I155" s="65">
        <v>0.040013455350000005</v>
      </c>
      <c r="J155" s="65">
        <v>0.117511608374</v>
      </c>
      <c r="K155" s="65">
        <v>0.030931555759715755</v>
      </c>
      <c r="L155" s="65">
        <v>0.51367179</v>
      </c>
      <c r="N155" s="66">
        <v>3.4244786</v>
      </c>
      <c r="O155" s="10">
        <f t="shared" si="44"/>
        <v>3.4244786</v>
      </c>
      <c r="Q155" s="67">
        <v>73.048578</v>
      </c>
      <c r="S155" s="68">
        <v>0.075776332</v>
      </c>
      <c r="T155" s="68">
        <v>0.068304358</v>
      </c>
      <c r="U155" s="68">
        <v>0.0030137498</v>
      </c>
      <c r="V155" s="68">
        <v>0.0044582247</v>
      </c>
      <c r="X155" s="69">
        <v>2.2037489E-4</v>
      </c>
      <c r="Y155" s="76" t="s">
        <v>323</v>
      </c>
      <c r="Z155" s="73" t="s">
        <v>324</v>
      </c>
    </row>
    <row r="156" ht="12.75" customHeight="1">
      <c r="A156" s="1" t="s">
        <v>325</v>
      </c>
      <c r="B156" s="2" t="s">
        <v>125</v>
      </c>
      <c r="C156" s="60" t="str">
        <f t="shared" si="41"/>
        <v>A.030.14.120</v>
      </c>
      <c r="D156" s="51" t="s">
        <v>273</v>
      </c>
      <c r="E156" s="62" t="s">
        <v>45</v>
      </c>
      <c r="F156" s="63" t="str">
        <f t="shared" si="42"/>
        <v>Monoethylene glycol (MEG)</v>
      </c>
      <c r="G156" s="64">
        <v>0.2778150523180369</v>
      </c>
      <c r="H156" s="10">
        <f t="shared" si="43"/>
        <v>0.2778150523</v>
      </c>
      <c r="I156" s="65">
        <v>0.005874308723328</v>
      </c>
      <c r="J156" s="65">
        <v>0.0349407435947089</v>
      </c>
      <c r="K156" s="65">
        <v>0.0</v>
      </c>
      <c r="L156" s="65">
        <v>0.237</v>
      </c>
      <c r="N156" s="66">
        <v>1.58</v>
      </c>
      <c r="O156" s="10">
        <f t="shared" si="44"/>
        <v>1.58</v>
      </c>
      <c r="Q156" s="67">
        <v>24.43</v>
      </c>
      <c r="S156" s="68">
        <v>0.03688686</v>
      </c>
      <c r="T156" s="68">
        <v>0.033869941</v>
      </c>
      <c r="U156" s="68">
        <v>0.0013821444</v>
      </c>
      <c r="V156" s="68">
        <v>0.0016347744</v>
      </c>
      <c r="X156" s="69">
        <v>8.2617505E-5</v>
      </c>
      <c r="Y156" s="76" t="s">
        <v>305</v>
      </c>
      <c r="Z156" s="73" t="s">
        <v>326</v>
      </c>
    </row>
    <row r="157" ht="12.75" customHeight="1">
      <c r="A157" s="1" t="s">
        <v>327</v>
      </c>
      <c r="B157" s="2" t="s">
        <v>125</v>
      </c>
      <c r="C157" s="60" t="str">
        <f t="shared" si="41"/>
        <v>A.030.14.121</v>
      </c>
      <c r="D157" s="51" t="s">
        <v>273</v>
      </c>
      <c r="E157" s="62" t="s">
        <v>45</v>
      </c>
      <c r="F157" s="63" t="str">
        <f t="shared" si="42"/>
        <v>Pentane blowing agent</v>
      </c>
      <c r="G157" s="64">
        <v>0.23811840986668</v>
      </c>
      <c r="H157" s="10">
        <f t="shared" si="43"/>
        <v>0.2381184099</v>
      </c>
      <c r="I157" s="65">
        <v>0.02101090582668</v>
      </c>
      <c r="J157" s="65">
        <v>0.042846690039999996</v>
      </c>
      <c r="K157" s="65">
        <v>0.004567494</v>
      </c>
      <c r="L157" s="65">
        <v>0.16969332</v>
      </c>
      <c r="N157" s="66">
        <v>1.1312888</v>
      </c>
      <c r="O157" s="10">
        <f t="shared" si="44"/>
        <v>1.1312888</v>
      </c>
      <c r="Q157" s="67">
        <v>95.524772</v>
      </c>
      <c r="S157" s="68">
        <v>0.036265762</v>
      </c>
      <c r="T157" s="68">
        <v>0.028377073</v>
      </c>
      <c r="U157" s="68">
        <v>0.0011135825</v>
      </c>
      <c r="V157" s="68">
        <v>0.0067751066</v>
      </c>
      <c r="X157" s="69">
        <v>1.6947574E-4</v>
      </c>
      <c r="Y157" s="76" t="s">
        <v>294</v>
      </c>
      <c r="Z157" s="73" t="s">
        <v>328</v>
      </c>
    </row>
    <row r="158" ht="12.75" customHeight="1">
      <c r="A158" s="1" t="s">
        <v>329</v>
      </c>
      <c r="B158" s="2" t="s">
        <v>125</v>
      </c>
      <c r="C158" s="60" t="str">
        <f t="shared" si="41"/>
        <v>A.030.14.122</v>
      </c>
      <c r="D158" s="51" t="s">
        <v>273</v>
      </c>
      <c r="E158" s="62" t="s">
        <v>45</v>
      </c>
      <c r="F158" s="63" t="str">
        <f t="shared" si="42"/>
        <v>Propane</v>
      </c>
      <c r="G158" s="64">
        <v>0.119195355576346</v>
      </c>
      <c r="H158" s="10">
        <f t="shared" si="43"/>
        <v>0.1191953556</v>
      </c>
      <c r="I158" s="65">
        <v>0.023447678656345998</v>
      </c>
      <c r="J158" s="65">
        <v>0.04136230922</v>
      </c>
      <c r="K158" s="65">
        <v>0.0018853677</v>
      </c>
      <c r="L158" s="65">
        <v>0.0525</v>
      </c>
      <c r="N158" s="66">
        <v>0.35</v>
      </c>
      <c r="O158" s="10">
        <f t="shared" si="44"/>
        <v>0.35</v>
      </c>
      <c r="Q158" s="67">
        <v>52.756089</v>
      </c>
      <c r="S158" s="68">
        <v>0.018685444</v>
      </c>
      <c r="T158" s="68">
        <v>0.014396053</v>
      </c>
      <c r="U158" s="68">
        <v>5.410043E-4</v>
      </c>
      <c r="V158" s="68">
        <v>0.0037483864</v>
      </c>
      <c r="X158" s="69">
        <v>9.2310897E-5</v>
      </c>
      <c r="Y158" s="76" t="s">
        <v>294</v>
      </c>
      <c r="Z158" s="73" t="s">
        <v>330</v>
      </c>
    </row>
    <row r="159" ht="12.75" customHeight="1">
      <c r="A159" s="1" t="s">
        <v>331</v>
      </c>
      <c r="B159" s="2" t="s">
        <v>125</v>
      </c>
      <c r="C159" s="60" t="str">
        <f t="shared" si="41"/>
        <v>A.030.14.123</v>
      </c>
      <c r="D159" s="51" t="s">
        <v>273</v>
      </c>
      <c r="E159" s="62" t="s">
        <v>45</v>
      </c>
      <c r="F159" s="63" t="str">
        <f t="shared" si="42"/>
        <v>Propylene (Propene)</v>
      </c>
      <c r="G159" s="64">
        <v>0.26241997839988085</v>
      </c>
      <c r="H159" s="10">
        <f t="shared" si="43"/>
        <v>0.2624199784</v>
      </c>
      <c r="I159" s="65">
        <v>0.005333158796746</v>
      </c>
      <c r="J159" s="65">
        <v>0.04108681960313483</v>
      </c>
      <c r="K159" s="65">
        <v>0.0</v>
      </c>
      <c r="L159" s="65">
        <v>0.216</v>
      </c>
      <c r="N159" s="66">
        <v>1.44</v>
      </c>
      <c r="O159" s="10">
        <f t="shared" si="44"/>
        <v>1.44</v>
      </c>
      <c r="Q159" s="67">
        <v>51.022</v>
      </c>
      <c r="S159" s="68">
        <v>0.037893998</v>
      </c>
      <c r="T159" s="68">
        <v>0.032977509</v>
      </c>
      <c r="U159" s="68">
        <v>0.001298794</v>
      </c>
      <c r="V159" s="68">
        <v>0.0036176952</v>
      </c>
      <c r="X159" s="69">
        <v>1.1343382E-4</v>
      </c>
      <c r="Y159" s="76" t="s">
        <v>311</v>
      </c>
      <c r="Z159" s="73" t="s">
        <v>332</v>
      </c>
    </row>
    <row r="160" ht="12.75" customHeight="1">
      <c r="A160" s="1" t="s">
        <v>333</v>
      </c>
      <c r="B160" s="2" t="s">
        <v>125</v>
      </c>
      <c r="C160" s="60" t="str">
        <f t="shared" si="41"/>
        <v>A.030.14.124</v>
      </c>
      <c r="D160" s="51" t="s">
        <v>273</v>
      </c>
      <c r="E160" s="62" t="s">
        <v>45</v>
      </c>
      <c r="F160" s="63" t="str">
        <f t="shared" si="42"/>
        <v>Phenol</v>
      </c>
      <c r="G160" s="64">
        <v>0.3187041701814804</v>
      </c>
      <c r="H160" s="10">
        <f t="shared" si="43"/>
        <v>0.3187041702</v>
      </c>
      <c r="I160" s="65">
        <v>0.01088692646365</v>
      </c>
      <c r="J160" s="65">
        <v>0.0393172437178304</v>
      </c>
      <c r="K160" s="65">
        <v>0.0</v>
      </c>
      <c r="L160" s="65">
        <v>0.2685</v>
      </c>
      <c r="N160" s="66">
        <v>1.7900000000000003</v>
      </c>
      <c r="O160" s="10">
        <f t="shared" si="44"/>
        <v>1.79</v>
      </c>
      <c r="Q160" s="67">
        <v>38.805</v>
      </c>
      <c r="S160" s="68">
        <v>0.043321169</v>
      </c>
      <c r="T160" s="68">
        <v>0.03903593</v>
      </c>
      <c r="U160" s="68">
        <v>0.0015878604</v>
      </c>
      <c r="V160" s="68">
        <v>0.0026973778</v>
      </c>
      <c r="X160" s="69">
        <v>1.0887988E-4</v>
      </c>
      <c r="Y160" s="76" t="s">
        <v>334</v>
      </c>
      <c r="Z160" s="73" t="s">
        <v>335</v>
      </c>
    </row>
    <row r="161" ht="12.75" customHeight="1">
      <c r="A161" s="1" t="s">
        <v>336</v>
      </c>
      <c r="B161" s="2" t="s">
        <v>125</v>
      </c>
      <c r="C161" s="60" t="str">
        <f t="shared" si="41"/>
        <v>A.030.14.125</v>
      </c>
      <c r="D161" s="51" t="s">
        <v>273</v>
      </c>
      <c r="E161" s="62" t="s">
        <v>45</v>
      </c>
      <c r="F161" s="63" t="str">
        <f t="shared" si="42"/>
        <v>Rosin</v>
      </c>
      <c r="G161" s="64">
        <v>1.2812414445876001</v>
      </c>
      <c r="H161" s="10">
        <f t="shared" si="43"/>
        <v>1.281241445</v>
      </c>
      <c r="I161" s="65">
        <v>0.052210498800000005</v>
      </c>
      <c r="J161" s="65">
        <v>0.14077406458760003</v>
      </c>
      <c r="K161" s="65">
        <v>0.1516312912</v>
      </c>
      <c r="L161" s="65">
        <v>0.93662559</v>
      </c>
      <c r="N161" s="66">
        <v>6.2441706</v>
      </c>
      <c r="O161" s="10">
        <f t="shared" si="44"/>
        <v>6.2441706</v>
      </c>
      <c r="Q161" s="67">
        <v>109.17333</v>
      </c>
      <c r="S161" s="68">
        <v>0.13513095</v>
      </c>
      <c r="T161" s="68">
        <v>0.12679747</v>
      </c>
      <c r="U161" s="68">
        <v>0.0053214869</v>
      </c>
      <c r="V161" s="68">
        <v>0.0030119991</v>
      </c>
      <c r="X161" s="69">
        <v>3.2932972E-4</v>
      </c>
      <c r="Y161" s="79" t="s">
        <v>181</v>
      </c>
      <c r="Z161" s="73" t="s">
        <v>337</v>
      </c>
    </row>
    <row r="162" ht="12.75" customHeight="1">
      <c r="A162" s="1" t="s">
        <v>338</v>
      </c>
      <c r="B162" s="2" t="s">
        <v>125</v>
      </c>
      <c r="C162" s="60" t="str">
        <f t="shared" si="41"/>
        <v>A.030.14.126</v>
      </c>
      <c r="D162" s="51" t="s">
        <v>273</v>
      </c>
      <c r="E162" s="62" t="s">
        <v>45</v>
      </c>
      <c r="F162" s="63" t="str">
        <f t="shared" si="42"/>
        <v>Styrene</v>
      </c>
      <c r="G162" s="64">
        <v>0.36331041317385027</v>
      </c>
      <c r="H162" s="10">
        <f t="shared" si="43"/>
        <v>0.3633104132</v>
      </c>
      <c r="I162" s="65">
        <v>0.024602403085128</v>
      </c>
      <c r="J162" s="65">
        <v>0.025208010088722248</v>
      </c>
      <c r="K162" s="65">
        <v>0.0</v>
      </c>
      <c r="L162" s="65">
        <v>0.3135</v>
      </c>
      <c r="N162" s="66">
        <v>2.0900000000000003</v>
      </c>
      <c r="O162" s="10">
        <f t="shared" si="44"/>
        <v>2.09</v>
      </c>
      <c r="Q162" s="67">
        <v>44.732</v>
      </c>
      <c r="S162" s="68">
        <v>0.044945869</v>
      </c>
      <c r="T162" s="68">
        <v>0.039984984</v>
      </c>
      <c r="U162" s="68">
        <v>0.0017670207</v>
      </c>
      <c r="V162" s="68">
        <v>0.0031938648</v>
      </c>
      <c r="X162" s="69">
        <v>1.2396898E-4</v>
      </c>
      <c r="Y162" s="76" t="s">
        <v>339</v>
      </c>
      <c r="Z162" s="73" t="s">
        <v>340</v>
      </c>
    </row>
    <row r="163" ht="12.75" customHeight="1">
      <c r="A163" s="1" t="s">
        <v>341</v>
      </c>
      <c r="B163" s="2" t="s">
        <v>125</v>
      </c>
      <c r="C163" s="60" t="str">
        <f t="shared" si="41"/>
        <v>A.030.14.127</v>
      </c>
      <c r="D163" s="51" t="s">
        <v>273</v>
      </c>
      <c r="E163" s="62" t="s">
        <v>45</v>
      </c>
      <c r="F163" s="63" t="str">
        <f t="shared" si="42"/>
        <v>Toluene</v>
      </c>
      <c r="G163" s="64">
        <v>0.2374680471726262</v>
      </c>
      <c r="H163" s="10">
        <f t="shared" si="43"/>
        <v>0.2374680472</v>
      </c>
      <c r="I163" s="65">
        <v>0.00509029570633</v>
      </c>
      <c r="J163" s="65">
        <v>0.04937775146629622</v>
      </c>
      <c r="K163" s="65">
        <v>0.0</v>
      </c>
      <c r="L163" s="65">
        <v>0.183</v>
      </c>
      <c r="N163" s="66">
        <v>1.22</v>
      </c>
      <c r="O163" s="10">
        <f t="shared" si="44"/>
        <v>1.22</v>
      </c>
      <c r="Q163" s="67">
        <v>52.706</v>
      </c>
      <c r="S163" s="68">
        <v>0.038253901</v>
      </c>
      <c r="T163" s="68">
        <v>0.03330583</v>
      </c>
      <c r="U163" s="68">
        <v>0.0012017131</v>
      </c>
      <c r="V163" s="68">
        <v>0.003746358</v>
      </c>
      <c r="X163" s="69">
        <v>1.1301963E-4</v>
      </c>
      <c r="Y163" s="76" t="s">
        <v>342</v>
      </c>
      <c r="Z163" s="73" t="s">
        <v>343</v>
      </c>
    </row>
    <row r="164" ht="12.75" customHeight="1">
      <c r="A164" s="1" t="s">
        <v>344</v>
      </c>
      <c r="B164" s="2" t="s">
        <v>125</v>
      </c>
      <c r="C164" s="60" t="str">
        <f t="shared" si="41"/>
        <v>A.030.14.128</v>
      </c>
      <c r="D164" s="51" t="s">
        <v>273</v>
      </c>
      <c r="E164" s="62" t="s">
        <v>45</v>
      </c>
      <c r="F164" s="63" t="str">
        <f t="shared" si="42"/>
        <v>Triethylene glycol (TEG)</v>
      </c>
      <c r="G164" s="64">
        <v>0.3466919948725461</v>
      </c>
      <c r="H164" s="10">
        <f t="shared" si="43"/>
        <v>0.3466919949</v>
      </c>
      <c r="I164" s="65">
        <v>0.00736574290416</v>
      </c>
      <c r="J164" s="65">
        <v>0.043826251968386104</v>
      </c>
      <c r="K164" s="65">
        <v>0.0</v>
      </c>
      <c r="L164" s="65">
        <v>0.2955</v>
      </c>
      <c r="N164" s="66">
        <v>1.97</v>
      </c>
      <c r="O164" s="10">
        <f t="shared" si="44"/>
        <v>1.97</v>
      </c>
      <c r="Q164" s="67">
        <v>30.296</v>
      </c>
      <c r="S164" s="68">
        <v>0.046058653</v>
      </c>
      <c r="T164" s="68">
        <v>0.042305567</v>
      </c>
      <c r="U164" s="68">
        <v>0.0017247547</v>
      </c>
      <c r="V164" s="68">
        <v>0.0020283312</v>
      </c>
      <c r="X164" s="69">
        <v>1.0293853E-4</v>
      </c>
      <c r="Y164" s="76" t="s">
        <v>300</v>
      </c>
      <c r="Z164" s="73" t="s">
        <v>345</v>
      </c>
    </row>
    <row r="165" ht="12.75" customHeight="1">
      <c r="A165" s="1" t="s">
        <v>346</v>
      </c>
      <c r="B165" s="2" t="s">
        <v>125</v>
      </c>
      <c r="C165" s="60" t="str">
        <f t="shared" si="41"/>
        <v>A.030.14.129</v>
      </c>
      <c r="D165" s="51" t="s">
        <v>273</v>
      </c>
      <c r="E165" s="62" t="s">
        <v>45</v>
      </c>
      <c r="F165" s="63" t="str">
        <f t="shared" si="42"/>
        <v>Xylene</v>
      </c>
      <c r="G165" s="64">
        <v>0.2788071290180769</v>
      </c>
      <c r="H165" s="10">
        <f t="shared" si="43"/>
        <v>0.278807129</v>
      </c>
      <c r="I165" s="65">
        <v>0.0051937251244130005</v>
      </c>
      <c r="J165" s="65">
        <v>0.05911340389366394</v>
      </c>
      <c r="K165" s="65">
        <v>0.0</v>
      </c>
      <c r="L165" s="65">
        <v>0.2145</v>
      </c>
      <c r="N165" s="66">
        <v>1.43</v>
      </c>
      <c r="O165" s="10">
        <f t="shared" si="44"/>
        <v>1.43</v>
      </c>
      <c r="Q165" s="67">
        <v>52.388</v>
      </c>
      <c r="S165" s="68">
        <v>0.044579483</v>
      </c>
      <c r="T165" s="68">
        <v>0.039440455</v>
      </c>
      <c r="U165" s="68">
        <v>0.0014153751</v>
      </c>
      <c r="V165" s="68">
        <v>0.0037236528</v>
      </c>
      <c r="X165" s="69">
        <v>1.2113319E-4</v>
      </c>
      <c r="Y165" s="76" t="s">
        <v>347</v>
      </c>
      <c r="Z165" s="73" t="s">
        <v>348</v>
      </c>
    </row>
    <row r="166" ht="12.75" customHeight="1">
      <c r="A166" s="1" t="s">
        <v>349</v>
      </c>
      <c r="B166" s="2" t="s">
        <v>125</v>
      </c>
      <c r="C166" s="60" t="str">
        <f t="shared" si="41"/>
        <v>A.030.14.130</v>
      </c>
      <c r="D166" s="51" t="s">
        <v>273</v>
      </c>
      <c r="E166" s="62" t="s">
        <v>45</v>
      </c>
      <c r="F166" s="63" t="str">
        <f t="shared" si="42"/>
        <v>Acrylonitrile from propylene ammoxidation</v>
      </c>
      <c r="G166" s="64">
        <v>0.8343886597634413</v>
      </c>
      <c r="H166" s="10">
        <f t="shared" si="43"/>
        <v>0.8343886598</v>
      </c>
      <c r="I166" s="65">
        <v>0.020652874820000004</v>
      </c>
      <c r="J166" s="65">
        <v>0.258971311651</v>
      </c>
      <c r="K166" s="65">
        <v>0.013770553292441274</v>
      </c>
      <c r="L166" s="65">
        <v>0.54099392</v>
      </c>
      <c r="N166" s="66">
        <v>3.6066261333333336</v>
      </c>
      <c r="O166" s="10">
        <f t="shared" si="44"/>
        <v>3.606626133</v>
      </c>
      <c r="Q166" s="67">
        <v>73.207549</v>
      </c>
      <c r="S166" s="68">
        <v>0.089839574</v>
      </c>
      <c r="T166" s="68">
        <v>0.081369295</v>
      </c>
      <c r="U166" s="68">
        <v>0.0035148735</v>
      </c>
      <c r="V166" s="68">
        <v>0.0049554053</v>
      </c>
      <c r="X166" s="69">
        <v>2.7204309E-4</v>
      </c>
      <c r="Y166" s="76" t="s">
        <v>281</v>
      </c>
      <c r="Z166" s="73" t="s">
        <v>350</v>
      </c>
    </row>
    <row r="167" ht="12.75" customHeight="1">
      <c r="A167" s="1" t="s">
        <v>351</v>
      </c>
      <c r="B167" s="2" t="s">
        <v>125</v>
      </c>
      <c r="C167" s="60" t="str">
        <f t="shared" si="41"/>
        <v>A.030.14.132</v>
      </c>
      <c r="D167" s="51" t="s">
        <v>273</v>
      </c>
      <c r="E167" s="62" t="s">
        <v>45</v>
      </c>
      <c r="F167" s="63" t="str">
        <f t="shared" si="42"/>
        <v>Hydrogen cyanide from propylene ammoxidation</v>
      </c>
      <c r="G167" s="64">
        <v>0.8343886597634413</v>
      </c>
      <c r="H167" s="10">
        <f t="shared" si="43"/>
        <v>0.8343886598</v>
      </c>
      <c r="I167" s="65">
        <v>0.020652874820000004</v>
      </c>
      <c r="J167" s="65">
        <v>0.258971311651</v>
      </c>
      <c r="K167" s="65">
        <v>0.013770553292441274</v>
      </c>
      <c r="L167" s="65">
        <v>0.54099392</v>
      </c>
      <c r="N167" s="66">
        <v>3.6066261333333336</v>
      </c>
      <c r="O167" s="10">
        <f t="shared" si="44"/>
        <v>3.606626133</v>
      </c>
      <c r="Q167" s="67">
        <v>73.207549</v>
      </c>
      <c r="S167" s="68">
        <v>0.089839574</v>
      </c>
      <c r="T167" s="68">
        <v>0.081369295</v>
      </c>
      <c r="U167" s="68">
        <v>0.0035148735</v>
      </c>
      <c r="V167" s="68">
        <v>0.0049554053</v>
      </c>
      <c r="X167" s="69">
        <v>2.7204309E-4</v>
      </c>
      <c r="Y167" s="76" t="s">
        <v>281</v>
      </c>
      <c r="Z167" s="73" t="s">
        <v>352</v>
      </c>
    </row>
    <row r="168" ht="12.75" customHeight="1">
      <c r="A168" s="1" t="s">
        <v>353</v>
      </c>
      <c r="B168" s="2" t="s">
        <v>125</v>
      </c>
      <c r="C168" s="60" t="str">
        <f t="shared" si="41"/>
        <v>A.030.14.133</v>
      </c>
      <c r="D168" s="51" t="s">
        <v>273</v>
      </c>
      <c r="E168" s="62" t="s">
        <v>45</v>
      </c>
      <c r="F168" s="63" t="str">
        <f t="shared" si="42"/>
        <v>Grease - Lithium-based</v>
      </c>
      <c r="G168" s="64">
        <v>1.27180397</v>
      </c>
      <c r="H168" s="10">
        <f t="shared" si="43"/>
        <v>1.27180397</v>
      </c>
      <c r="I168" s="65">
        <v>0.39977019999999996</v>
      </c>
      <c r="J168" s="65">
        <v>0.58504627</v>
      </c>
      <c r="K168" s="65">
        <v>0.0</v>
      </c>
      <c r="L168" s="65">
        <v>0.2869875</v>
      </c>
      <c r="N168" s="66">
        <v>1.9132500000000001</v>
      </c>
      <c r="O168" s="10">
        <f t="shared" si="44"/>
        <v>1.91325</v>
      </c>
      <c r="Q168" s="67">
        <v>34.82125</v>
      </c>
      <c r="S168" s="68">
        <v>0.17449555</v>
      </c>
      <c r="T168" s="68">
        <v>0.16978019</v>
      </c>
      <c r="U168" s="68">
        <v>0.0022347054</v>
      </c>
      <c r="V168" s="68">
        <v>0.0024806502</v>
      </c>
      <c r="X168" s="69">
        <v>4.8312599E-4</v>
      </c>
      <c r="Y168" s="76"/>
    </row>
    <row r="169" ht="12.75" customHeight="1">
      <c r="A169" s="1" t="s">
        <v>354</v>
      </c>
      <c r="B169" s="2" t="s">
        <v>125</v>
      </c>
      <c r="C169" s="60" t="str">
        <f t="shared" si="41"/>
        <v>A.030.14.134</v>
      </c>
      <c r="D169" s="51" t="s">
        <v>273</v>
      </c>
      <c r="E169" s="62" t="s">
        <v>45</v>
      </c>
      <c r="F169" s="63" t="str">
        <f t="shared" si="42"/>
        <v>Grease - polymer (Polyalphaolefin + polypropylene)</v>
      </c>
      <c r="G169" s="64">
        <v>2.7820335000000003</v>
      </c>
      <c r="H169" s="10">
        <f t="shared" si="43"/>
        <v>2.7820335</v>
      </c>
      <c r="I169" s="65">
        <v>0.72085995</v>
      </c>
      <c r="J169" s="65">
        <v>1.2286735500000001</v>
      </c>
      <c r="K169" s="65">
        <v>0.0</v>
      </c>
      <c r="L169" s="65">
        <v>0.8325</v>
      </c>
      <c r="N169" s="66">
        <v>5.550000000000001</v>
      </c>
      <c r="O169" s="10">
        <f t="shared" si="44"/>
        <v>5.55</v>
      </c>
      <c r="Q169" s="67">
        <v>11.5255</v>
      </c>
      <c r="S169" s="68">
        <v>0.34824334</v>
      </c>
      <c r="T169" s="68">
        <v>0.34178135</v>
      </c>
      <c r="U169" s="68">
        <v>0.0056409162</v>
      </c>
      <c r="V169" s="68">
        <v>8.2107144E-4</v>
      </c>
      <c r="X169" s="69">
        <v>8.7145027E-4</v>
      </c>
      <c r="Y169" s="76"/>
      <c r="Z169" s="81"/>
    </row>
    <row r="170" ht="12.75" customHeight="1">
      <c r="A170" s="1" t="s">
        <v>355</v>
      </c>
      <c r="B170" s="2" t="s">
        <v>125</v>
      </c>
      <c r="C170" s="60" t="str">
        <f t="shared" si="41"/>
        <v>A.030.14.136</v>
      </c>
      <c r="D170" s="51" t="s">
        <v>273</v>
      </c>
      <c r="E170" s="62" t="s">
        <v>45</v>
      </c>
      <c r="F170" s="63" t="str">
        <f t="shared" si="42"/>
        <v>Carnauba Wax from Brazil in Rotterdam (De Monchy)</v>
      </c>
      <c r="G170" s="64">
        <v>0.07323342702670399</v>
      </c>
      <c r="H170" s="10">
        <f t="shared" si="43"/>
        <v>0.07323342703</v>
      </c>
      <c r="I170" s="65">
        <v>0.003284275743</v>
      </c>
      <c r="J170" s="65">
        <v>0.011508546626999999</v>
      </c>
      <c r="K170" s="65">
        <v>0.018691791656703996</v>
      </c>
      <c r="L170" s="65">
        <v>0.039748813</v>
      </c>
      <c r="N170" s="66">
        <v>0.2649920866666667</v>
      </c>
      <c r="O170" s="10">
        <f t="shared" si="44"/>
        <v>0.2649920867</v>
      </c>
      <c r="Q170" s="67">
        <v>4.976828</v>
      </c>
      <c r="S170" s="68">
        <v>0.0058071048</v>
      </c>
      <c r="T170" s="68">
        <v>0.0052823539</v>
      </c>
      <c r="U170" s="68">
        <v>2.2646175E-4</v>
      </c>
      <c r="V170" s="68">
        <v>2.9828906E-4</v>
      </c>
      <c r="X170" s="69">
        <v>1.4674058E-5</v>
      </c>
      <c r="Y170" s="82"/>
      <c r="Z170" s="72"/>
    </row>
    <row r="171" ht="12.75" customHeight="1">
      <c r="B171" s="2"/>
      <c r="C171" s="60"/>
      <c r="D171" s="75" t="s">
        <v>356</v>
      </c>
      <c r="E171" s="62"/>
      <c r="G171" s="10"/>
      <c r="H171" s="10"/>
      <c r="I171" s="10"/>
      <c r="J171" s="10"/>
      <c r="K171" s="10"/>
      <c r="L171" s="10"/>
      <c r="N171" s="10"/>
      <c r="O171" s="10"/>
      <c r="Q171" s="67"/>
      <c r="Y171" s="83"/>
      <c r="Z171" s="73"/>
    </row>
    <row r="172" ht="12.75" customHeight="1">
      <c r="A172" s="1" t="s">
        <v>357</v>
      </c>
      <c r="B172" s="2" t="s">
        <v>125</v>
      </c>
      <c r="C172" s="60" t="str">
        <f t="shared" ref="C172:C230" si="45">MID(A172,1,12)</f>
        <v>A.030.18.101</v>
      </c>
      <c r="D172" s="51" t="s">
        <v>356</v>
      </c>
      <c r="E172" s="62" t="s">
        <v>45</v>
      </c>
      <c r="F172" s="63" t="str">
        <f t="shared" ref="F172:F230" si="46">MID(A172, 21,85)</f>
        <v>1-Butanol</v>
      </c>
      <c r="G172" s="64">
        <v>0.5213606523878205</v>
      </c>
      <c r="H172" s="10">
        <f t="shared" ref="H172:H230" si="47">G172</f>
        <v>0.5213606524</v>
      </c>
      <c r="I172" s="65">
        <v>0.02130974016</v>
      </c>
      <c r="J172" s="65">
        <v>0.056930089598</v>
      </c>
      <c r="K172" s="65">
        <v>0.007353952629820492</v>
      </c>
      <c r="L172" s="65">
        <v>0.43576687</v>
      </c>
      <c r="N172" s="66">
        <v>2.9051124666666666</v>
      </c>
      <c r="O172" s="10">
        <f t="shared" ref="O172:O230" si="48">N172</f>
        <v>2.905112467</v>
      </c>
      <c r="Q172" s="67">
        <v>72.900719</v>
      </c>
      <c r="S172" s="68">
        <v>0.063007383</v>
      </c>
      <c r="T172" s="68">
        <v>0.055471338</v>
      </c>
      <c r="U172" s="68">
        <v>0.0024590786</v>
      </c>
      <c r="V172" s="68">
        <v>0.0050769663</v>
      </c>
      <c r="X172" s="69">
        <v>1.8478017E-4</v>
      </c>
      <c r="Y172" s="76" t="s">
        <v>305</v>
      </c>
      <c r="Z172" s="73" t="s">
        <v>358</v>
      </c>
    </row>
    <row r="173" ht="12.75" customHeight="1">
      <c r="A173" s="1" t="s">
        <v>359</v>
      </c>
      <c r="B173" s="2" t="s">
        <v>125</v>
      </c>
      <c r="C173" s="60" t="str">
        <f t="shared" si="45"/>
        <v>A.030.18.102</v>
      </c>
      <c r="D173" s="51" t="s">
        <v>356</v>
      </c>
      <c r="E173" s="62" t="s">
        <v>45</v>
      </c>
      <c r="F173" s="63" t="str">
        <f t="shared" si="46"/>
        <v>1-Pentanol</v>
      </c>
      <c r="G173" s="64">
        <v>0.5630942099923111</v>
      </c>
      <c r="H173" s="10">
        <f t="shared" si="47"/>
        <v>0.56309421</v>
      </c>
      <c r="I173" s="65">
        <v>0.01819881238</v>
      </c>
      <c r="J173" s="65">
        <v>0.056210579796000006</v>
      </c>
      <c r="K173" s="65">
        <v>0.009000557816311107</v>
      </c>
      <c r="L173" s="65">
        <v>0.47968426</v>
      </c>
      <c r="N173" s="66">
        <v>3.197895066666667</v>
      </c>
      <c r="O173" s="10">
        <f t="shared" si="48"/>
        <v>3.197895067</v>
      </c>
      <c r="Q173" s="67">
        <v>63.928087</v>
      </c>
      <c r="S173" s="68">
        <v>0.06577348</v>
      </c>
      <c r="T173" s="68">
        <v>0.05877465</v>
      </c>
      <c r="U173" s="68">
        <v>0.0026344094</v>
      </c>
      <c r="V173" s="68">
        <v>0.0043644202</v>
      </c>
      <c r="X173" s="69">
        <v>1.8064385E-4</v>
      </c>
      <c r="Y173" s="76" t="s">
        <v>305</v>
      </c>
      <c r="Z173" s="73" t="s">
        <v>360</v>
      </c>
    </row>
    <row r="174" ht="12.75" customHeight="1">
      <c r="A174" s="1" t="s">
        <v>361</v>
      </c>
      <c r="B174" s="2" t="s">
        <v>125</v>
      </c>
      <c r="C174" s="60" t="str">
        <f t="shared" si="45"/>
        <v>A.030.18.103</v>
      </c>
      <c r="D174" s="51" t="s">
        <v>356</v>
      </c>
      <c r="E174" s="62" t="s">
        <v>45</v>
      </c>
      <c r="F174" s="63" t="str">
        <f t="shared" si="46"/>
        <v>1.4-Dioxane</v>
      </c>
      <c r="G174" s="64">
        <v>0.7200843662959254</v>
      </c>
      <c r="H174" s="10">
        <f t="shared" si="47"/>
        <v>0.7200843663</v>
      </c>
      <c r="I174" s="65">
        <v>0.020352690779999995</v>
      </c>
      <c r="J174" s="65">
        <v>0.072458738052</v>
      </c>
      <c r="K174" s="65">
        <v>0.009918387463925479</v>
      </c>
      <c r="L174" s="65">
        <v>0.61735455</v>
      </c>
      <c r="N174" s="66">
        <v>4.115697</v>
      </c>
      <c r="O174" s="10">
        <f t="shared" si="48"/>
        <v>4.115697</v>
      </c>
      <c r="Q174" s="67">
        <v>60.523572</v>
      </c>
      <c r="S174" s="68">
        <v>0.088158745</v>
      </c>
      <c r="T174" s="68">
        <v>0.080736995</v>
      </c>
      <c r="U174" s="68">
        <v>0.0034800699</v>
      </c>
      <c r="V174" s="68">
        <v>0.0039416806</v>
      </c>
      <c r="X174" s="69">
        <v>2.0731718E-4</v>
      </c>
      <c r="Y174" s="76" t="s">
        <v>362</v>
      </c>
      <c r="Z174" s="73" t="s">
        <v>363</v>
      </c>
    </row>
    <row r="175" ht="12.75" customHeight="1">
      <c r="A175" s="1" t="s">
        <v>364</v>
      </c>
      <c r="B175" s="2" t="s">
        <v>125</v>
      </c>
      <c r="C175" s="60" t="str">
        <f t="shared" si="45"/>
        <v>A.030.18.104</v>
      </c>
      <c r="D175" s="51" t="s">
        <v>356</v>
      </c>
      <c r="E175" s="62" t="s">
        <v>45</v>
      </c>
      <c r="F175" s="63" t="str">
        <f t="shared" si="46"/>
        <v>2-Butanol</v>
      </c>
      <c r="G175" s="64">
        <v>0.6109961437229918</v>
      </c>
      <c r="H175" s="10">
        <f t="shared" si="47"/>
        <v>0.6109961437</v>
      </c>
      <c r="I175" s="65">
        <v>0.01839082296</v>
      </c>
      <c r="J175" s="65">
        <v>0.07244835438799999</v>
      </c>
      <c r="K175" s="65">
        <v>0.005803376374991859</v>
      </c>
      <c r="L175" s="65">
        <v>0.51435359</v>
      </c>
      <c r="N175" s="66">
        <v>3.4290239333333337</v>
      </c>
      <c r="O175" s="10">
        <f t="shared" si="48"/>
        <v>3.429023933</v>
      </c>
      <c r="Q175" s="67">
        <v>74.473117</v>
      </c>
      <c r="S175" s="68">
        <v>0.073543732</v>
      </c>
      <c r="T175" s="68">
        <v>0.065256013</v>
      </c>
      <c r="U175" s="68">
        <v>0.0030741425</v>
      </c>
      <c r="V175" s="68">
        <v>0.0052135755</v>
      </c>
      <c r="X175" s="69">
        <v>2.0375877E-4</v>
      </c>
      <c r="Y175" s="76" t="s">
        <v>305</v>
      </c>
      <c r="Z175" s="73" t="s">
        <v>365</v>
      </c>
    </row>
    <row r="176" ht="12.75" customHeight="1">
      <c r="A176" s="1" t="s">
        <v>366</v>
      </c>
      <c r="B176" s="2" t="s">
        <v>125</v>
      </c>
      <c r="C176" s="60" t="str">
        <f t="shared" si="45"/>
        <v>A.030.18.105</v>
      </c>
      <c r="D176" s="51" t="s">
        <v>356</v>
      </c>
      <c r="E176" s="62" t="s">
        <v>45</v>
      </c>
      <c r="F176" s="63" t="str">
        <f t="shared" si="46"/>
        <v>2-Methyl-1-butanol</v>
      </c>
      <c r="G176" s="64">
        <v>0.5617004105013079</v>
      </c>
      <c r="H176" s="10">
        <f t="shared" si="47"/>
        <v>0.5617004105</v>
      </c>
      <c r="I176" s="65">
        <v>0.01815376639</v>
      </c>
      <c r="J176" s="65">
        <v>0.05607144489700001</v>
      </c>
      <c r="K176" s="65">
        <v>0.008978279214307862</v>
      </c>
      <c r="L176" s="65">
        <v>0.47849692</v>
      </c>
      <c r="N176" s="66">
        <v>3.1899794666666668</v>
      </c>
      <c r="O176" s="10">
        <f t="shared" si="48"/>
        <v>3.189979467</v>
      </c>
      <c r="Q176" s="67">
        <v>63.769849</v>
      </c>
      <c r="S176" s="68">
        <v>0.065610674</v>
      </c>
      <c r="T176" s="68">
        <v>0.058629168</v>
      </c>
      <c r="U176" s="68">
        <v>0.0026278886</v>
      </c>
      <c r="V176" s="68">
        <v>0.0043536172</v>
      </c>
      <c r="X176" s="69">
        <v>1.8019671E-4</v>
      </c>
      <c r="Y176" s="76" t="s">
        <v>305</v>
      </c>
      <c r="Z176" s="73" t="s">
        <v>367</v>
      </c>
    </row>
    <row r="177" ht="12.75" customHeight="1">
      <c r="A177" s="1" t="s">
        <v>368</v>
      </c>
      <c r="B177" s="2" t="s">
        <v>125</v>
      </c>
      <c r="C177" s="60" t="str">
        <f t="shared" si="45"/>
        <v>A.030.18.106</v>
      </c>
      <c r="D177" s="51" t="s">
        <v>356</v>
      </c>
      <c r="E177" s="62" t="s">
        <v>45</v>
      </c>
      <c r="F177" s="63" t="str">
        <f t="shared" si="46"/>
        <v>2-Methyl-1-propanol</v>
      </c>
      <c r="G177" s="64">
        <v>0.5213606523878205</v>
      </c>
      <c r="H177" s="10">
        <f t="shared" si="47"/>
        <v>0.5213606524</v>
      </c>
      <c r="I177" s="65">
        <v>0.02130974016</v>
      </c>
      <c r="J177" s="65">
        <v>0.056930089598</v>
      </c>
      <c r="K177" s="65">
        <v>0.007353952629820492</v>
      </c>
      <c r="L177" s="65">
        <v>0.43576687</v>
      </c>
      <c r="N177" s="66">
        <v>2.9051124666666666</v>
      </c>
      <c r="O177" s="10">
        <f t="shared" si="48"/>
        <v>2.905112467</v>
      </c>
      <c r="Q177" s="67">
        <v>72.900719</v>
      </c>
      <c r="S177" s="68">
        <v>0.063007383</v>
      </c>
      <c r="T177" s="68">
        <v>0.055471338</v>
      </c>
      <c r="U177" s="68">
        <v>0.0024590786</v>
      </c>
      <c r="V177" s="68">
        <v>0.0050769663</v>
      </c>
      <c r="X177" s="69">
        <v>1.8478017E-4</v>
      </c>
      <c r="Y177" s="76" t="s">
        <v>305</v>
      </c>
      <c r="Z177" s="73" t="s">
        <v>369</v>
      </c>
    </row>
    <row r="178" ht="12.75" customHeight="1">
      <c r="A178" s="1" t="s">
        <v>370</v>
      </c>
      <c r="B178" s="2" t="s">
        <v>125</v>
      </c>
      <c r="C178" s="60" t="str">
        <f t="shared" si="45"/>
        <v>A.030.18.107</v>
      </c>
      <c r="D178" s="51" t="s">
        <v>356</v>
      </c>
      <c r="E178" s="62" t="s">
        <v>45</v>
      </c>
      <c r="F178" s="63" t="str">
        <f t="shared" si="46"/>
        <v>2-Methyl-2-butanol</v>
      </c>
      <c r="G178" s="64">
        <v>0.697720507207374</v>
      </c>
      <c r="H178" s="10">
        <f t="shared" si="47"/>
        <v>0.6977205072</v>
      </c>
      <c r="I178" s="65">
        <v>0.05963392209</v>
      </c>
      <c r="J178" s="65">
        <v>0.15003250208099997</v>
      </c>
      <c r="K178" s="65">
        <v>0.008071953036374055</v>
      </c>
      <c r="L178" s="65">
        <v>0.47998213</v>
      </c>
      <c r="N178" s="66">
        <v>3.1998808666666667</v>
      </c>
      <c r="O178" s="10">
        <f t="shared" si="48"/>
        <v>3.199880867</v>
      </c>
      <c r="Q178" s="67">
        <v>108.07148</v>
      </c>
      <c r="S178" s="68">
        <v>0.090650422</v>
      </c>
      <c r="T178" s="68">
        <v>0.079938941</v>
      </c>
      <c r="U178" s="68">
        <v>0.0030935734</v>
      </c>
      <c r="V178" s="68">
        <v>0.0076179077</v>
      </c>
      <c r="X178" s="69">
        <v>2.7235471E-4</v>
      </c>
      <c r="Y178" s="76" t="s">
        <v>305</v>
      </c>
      <c r="Z178" s="73" t="s">
        <v>371</v>
      </c>
    </row>
    <row r="179" ht="12.75" customHeight="1">
      <c r="A179" s="1" t="s">
        <v>372</v>
      </c>
      <c r="B179" s="2" t="s">
        <v>125</v>
      </c>
      <c r="C179" s="60" t="str">
        <f t="shared" si="45"/>
        <v>A.030.18.108</v>
      </c>
      <c r="D179" s="51" t="s">
        <v>356</v>
      </c>
      <c r="E179" s="62" t="s">
        <v>45</v>
      </c>
      <c r="F179" s="63" t="str">
        <f t="shared" si="46"/>
        <v>2-Methylpentane</v>
      </c>
      <c r="G179" s="64">
        <v>0.297988106653455</v>
      </c>
      <c r="H179" s="10">
        <f t="shared" si="47"/>
        <v>0.2979881067</v>
      </c>
      <c r="I179" s="65">
        <v>0.033303441678</v>
      </c>
      <c r="J179" s="65">
        <v>0.053008624804455</v>
      </c>
      <c r="K179" s="65">
        <v>0.005611280171</v>
      </c>
      <c r="L179" s="65">
        <v>0.20606476</v>
      </c>
      <c r="N179" s="66">
        <v>1.3737650666666668</v>
      </c>
      <c r="O179" s="10">
        <f t="shared" si="48"/>
        <v>1.373765067</v>
      </c>
      <c r="Q179" s="67">
        <v>101.029</v>
      </c>
      <c r="S179" s="68">
        <v>0.041597522</v>
      </c>
      <c r="T179" s="68">
        <v>0.033100929</v>
      </c>
      <c r="U179" s="68">
        <v>0.0013564133</v>
      </c>
      <c r="V179" s="68">
        <v>0.0071401794</v>
      </c>
      <c r="X179" s="69">
        <v>1.8709006E-4</v>
      </c>
      <c r="Y179" s="76" t="s">
        <v>294</v>
      </c>
      <c r="Z179" s="73" t="s">
        <v>373</v>
      </c>
    </row>
    <row r="180" ht="12.75" customHeight="1">
      <c r="A180" s="1" t="s">
        <v>374</v>
      </c>
      <c r="B180" s="2" t="s">
        <v>125</v>
      </c>
      <c r="C180" s="60" t="str">
        <f t="shared" si="45"/>
        <v>A.030.18.109</v>
      </c>
      <c r="D180" s="51" t="s">
        <v>356</v>
      </c>
      <c r="E180" s="62" t="s">
        <v>45</v>
      </c>
      <c r="F180" s="63" t="str">
        <f t="shared" si="46"/>
        <v>3-Methyl-1-butanol</v>
      </c>
      <c r="G180" s="64">
        <v>0.5630942099923111</v>
      </c>
      <c r="H180" s="10">
        <f t="shared" si="47"/>
        <v>0.56309421</v>
      </c>
      <c r="I180" s="65">
        <v>0.01819881238</v>
      </c>
      <c r="J180" s="65">
        <v>0.056210579796000006</v>
      </c>
      <c r="K180" s="65">
        <v>0.009000557816311107</v>
      </c>
      <c r="L180" s="65">
        <v>0.47968426</v>
      </c>
      <c r="N180" s="66">
        <v>3.197895066666667</v>
      </c>
      <c r="O180" s="10">
        <f t="shared" si="48"/>
        <v>3.197895067</v>
      </c>
      <c r="Q180" s="67">
        <v>63.928087</v>
      </c>
      <c r="S180" s="68">
        <v>0.06577348</v>
      </c>
      <c r="T180" s="68">
        <v>0.05877465</v>
      </c>
      <c r="U180" s="68">
        <v>0.0026344094</v>
      </c>
      <c r="V180" s="68">
        <v>0.0043644202</v>
      </c>
      <c r="X180" s="69">
        <v>1.8064385E-4</v>
      </c>
      <c r="Y180" s="76" t="s">
        <v>305</v>
      </c>
      <c r="Z180" s="73" t="s">
        <v>375</v>
      </c>
    </row>
    <row r="181" ht="12.75" customHeight="1">
      <c r="A181" s="1" t="s">
        <v>376</v>
      </c>
      <c r="B181" s="2" t="s">
        <v>125</v>
      </c>
      <c r="C181" s="60" t="str">
        <f t="shared" si="45"/>
        <v>A.030.18.110</v>
      </c>
      <c r="D181" s="51" t="s">
        <v>356</v>
      </c>
      <c r="E181" s="62" t="s">
        <v>45</v>
      </c>
      <c r="F181" s="63" t="str">
        <f t="shared" si="46"/>
        <v>3-Methyl-1-butyl acetate</v>
      </c>
      <c r="G181" s="64">
        <v>0.8291761047886447</v>
      </c>
      <c r="H181" s="10">
        <f t="shared" si="47"/>
        <v>0.8291761048</v>
      </c>
      <c r="I181" s="65">
        <v>0.09534378036</v>
      </c>
      <c r="J181" s="65">
        <v>0.05965945998999999</v>
      </c>
      <c r="K181" s="65">
        <v>0.05113843443864467</v>
      </c>
      <c r="L181" s="65">
        <v>0.62303443</v>
      </c>
      <c r="N181" s="66">
        <v>4.153562866666667</v>
      </c>
      <c r="O181" s="10">
        <f t="shared" si="48"/>
        <v>4.153562867</v>
      </c>
      <c r="Q181" s="67">
        <v>84.984022</v>
      </c>
      <c r="S181" s="68">
        <v>0.082177017</v>
      </c>
      <c r="T181" s="68">
        <v>0.073026166</v>
      </c>
      <c r="U181" s="68">
        <v>0.0034972139</v>
      </c>
      <c r="V181" s="68">
        <v>0.0056536374</v>
      </c>
      <c r="X181" s="69">
        <v>2.4677187E-4</v>
      </c>
      <c r="Y181" s="76" t="s">
        <v>377</v>
      </c>
      <c r="Z181" s="73" t="s">
        <v>378</v>
      </c>
    </row>
    <row r="182" ht="12.75" customHeight="1">
      <c r="A182" s="1" t="s">
        <v>379</v>
      </c>
      <c r="B182" s="2" t="s">
        <v>125</v>
      </c>
      <c r="C182" s="60" t="str">
        <f t="shared" si="45"/>
        <v>A.030.18.111</v>
      </c>
      <c r="D182" s="51" t="s">
        <v>356</v>
      </c>
      <c r="E182" s="62" t="s">
        <v>45</v>
      </c>
      <c r="F182" s="63" t="str">
        <f t="shared" si="46"/>
        <v>4-Methyl-2-pentanone</v>
      </c>
      <c r="G182" s="64">
        <v>0.7989410696667745</v>
      </c>
      <c r="H182" s="10">
        <f t="shared" si="47"/>
        <v>0.7989410697</v>
      </c>
      <c r="I182" s="65">
        <v>0.09607068644399999</v>
      </c>
      <c r="J182" s="65">
        <v>0.162827456657</v>
      </c>
      <c r="K182" s="65">
        <v>0.013657686565774466</v>
      </c>
      <c r="L182" s="65">
        <v>0.52638524</v>
      </c>
      <c r="N182" s="66">
        <v>3.5092349333333335</v>
      </c>
      <c r="O182" s="10">
        <f t="shared" si="48"/>
        <v>3.509234933</v>
      </c>
      <c r="Q182" s="67">
        <v>70.918011</v>
      </c>
      <c r="S182" s="68">
        <v>0.080557489</v>
      </c>
      <c r="T182" s="68">
        <v>0.072124332</v>
      </c>
      <c r="U182" s="68">
        <v>0.0038194834</v>
      </c>
      <c r="V182" s="68">
        <v>0.0046136732</v>
      </c>
      <c r="X182" s="69">
        <v>2.205765E-4</v>
      </c>
      <c r="Y182" s="76" t="s">
        <v>275</v>
      </c>
      <c r="Z182" s="73" t="s">
        <v>380</v>
      </c>
    </row>
    <row r="183" ht="12.75" customHeight="1">
      <c r="A183" s="1" t="s">
        <v>381</v>
      </c>
      <c r="B183" s="2" t="s">
        <v>125</v>
      </c>
      <c r="C183" s="60" t="str">
        <f t="shared" si="45"/>
        <v>A.030.18.112</v>
      </c>
      <c r="D183" s="51" t="s">
        <v>356</v>
      </c>
      <c r="E183" s="62" t="s">
        <v>45</v>
      </c>
      <c r="F183" s="63" t="str">
        <f t="shared" si="46"/>
        <v>Acetic acid</v>
      </c>
      <c r="G183" s="64">
        <v>0.21520833099468145</v>
      </c>
      <c r="H183" s="10">
        <f t="shared" si="47"/>
        <v>0.215208331</v>
      </c>
      <c r="I183" s="65">
        <v>0.022996058449</v>
      </c>
      <c r="J183" s="65">
        <v>0.035646822613</v>
      </c>
      <c r="K183" s="65">
        <v>0.0052487899326814835</v>
      </c>
      <c r="L183" s="65">
        <v>0.15131666</v>
      </c>
      <c r="N183" s="66">
        <v>1.0087777333333334</v>
      </c>
      <c r="O183" s="10">
        <f t="shared" si="48"/>
        <v>1.008777733</v>
      </c>
      <c r="Q183" s="67">
        <v>41.435399</v>
      </c>
      <c r="S183" s="68">
        <v>0.025854169</v>
      </c>
      <c r="T183" s="68">
        <v>0.022017989</v>
      </c>
      <c r="U183" s="68">
        <v>9.7427356E-4</v>
      </c>
      <c r="V183" s="68">
        <v>0.0028619065</v>
      </c>
      <c r="X183" s="69">
        <v>9.2633813E-5</v>
      </c>
      <c r="Y183" s="76" t="s">
        <v>141</v>
      </c>
      <c r="Z183" s="73" t="s">
        <v>142</v>
      </c>
    </row>
    <row r="184" ht="12.75" customHeight="1">
      <c r="A184" s="1" t="s">
        <v>382</v>
      </c>
      <c r="B184" s="2" t="s">
        <v>125</v>
      </c>
      <c r="C184" s="60" t="str">
        <f t="shared" si="45"/>
        <v>A.030.18.114</v>
      </c>
      <c r="D184" s="51" t="s">
        <v>356</v>
      </c>
      <c r="E184" s="62" t="s">
        <v>45</v>
      </c>
      <c r="F184" s="63" t="str">
        <f t="shared" si="46"/>
        <v>Acetone</v>
      </c>
      <c r="G184" s="64">
        <v>0.21507599504097075</v>
      </c>
      <c r="H184" s="10">
        <f t="shared" si="47"/>
        <v>0.215075995</v>
      </c>
      <c r="I184" s="65">
        <v>0.022983405694</v>
      </c>
      <c r="J184" s="65">
        <v>0.0356246276854</v>
      </c>
      <c r="K184" s="65">
        <v>0.005245521661570735</v>
      </c>
      <c r="L184" s="65">
        <v>0.15122244</v>
      </c>
      <c r="N184" s="66">
        <v>1.0081496</v>
      </c>
      <c r="O184" s="10">
        <f t="shared" si="48"/>
        <v>1.0081496</v>
      </c>
      <c r="Q184" s="67">
        <v>41.409598</v>
      </c>
      <c r="S184" s="68">
        <v>0.025838071</v>
      </c>
      <c r="T184" s="68">
        <v>0.022004279</v>
      </c>
      <c r="U184" s="68">
        <v>9.7366692E-4</v>
      </c>
      <c r="V184" s="68">
        <v>0.0028601245</v>
      </c>
      <c r="X184" s="69">
        <v>9.2577235E-5</v>
      </c>
      <c r="Y184" s="76" t="s">
        <v>275</v>
      </c>
      <c r="Z184" s="73" t="s">
        <v>383</v>
      </c>
    </row>
    <row r="185" ht="12.75" customHeight="1">
      <c r="A185" s="1" t="s">
        <v>384</v>
      </c>
      <c r="B185" s="2" t="s">
        <v>125</v>
      </c>
      <c r="C185" s="60" t="str">
        <f t="shared" si="45"/>
        <v>A.030.18.115</v>
      </c>
      <c r="D185" s="51" t="s">
        <v>356</v>
      </c>
      <c r="E185" s="62" t="s">
        <v>45</v>
      </c>
      <c r="F185" s="63" t="str">
        <f t="shared" si="46"/>
        <v>Benzal chloride</v>
      </c>
      <c r="G185" s="64">
        <v>0.8545770703965934</v>
      </c>
      <c r="H185" s="10">
        <f t="shared" si="47"/>
        <v>0.8545770704</v>
      </c>
      <c r="I185" s="65">
        <v>0.032145052823</v>
      </c>
      <c r="J185" s="65">
        <v>0.4984464913098</v>
      </c>
      <c r="K185" s="65">
        <v>0.004803696263793367</v>
      </c>
      <c r="L185" s="65">
        <v>0.31918183</v>
      </c>
      <c r="N185" s="66">
        <v>2.127878866666667</v>
      </c>
      <c r="O185" s="10">
        <f t="shared" si="48"/>
        <v>2.127878867</v>
      </c>
      <c r="Q185" s="67">
        <v>43.460142</v>
      </c>
      <c r="S185" s="68">
        <v>0.056771558</v>
      </c>
      <c r="T185" s="68">
        <v>0.052071794</v>
      </c>
      <c r="U185" s="68">
        <v>0.0020023662</v>
      </c>
      <c r="V185" s="68">
        <v>0.0026973982</v>
      </c>
      <c r="X185" s="69">
        <v>2.2286742E-4</v>
      </c>
      <c r="Y185" s="76" t="s">
        <v>288</v>
      </c>
      <c r="Z185" s="73" t="s">
        <v>385</v>
      </c>
    </row>
    <row r="186" ht="12.75" customHeight="1">
      <c r="A186" s="1" t="s">
        <v>386</v>
      </c>
      <c r="B186" s="2" t="s">
        <v>125</v>
      </c>
      <c r="C186" s="60" t="str">
        <f t="shared" si="45"/>
        <v>A.030.18.116</v>
      </c>
      <c r="D186" s="51" t="s">
        <v>356</v>
      </c>
      <c r="E186" s="62" t="s">
        <v>45</v>
      </c>
      <c r="F186" s="63" t="str">
        <f t="shared" si="46"/>
        <v>Benzaldehyde</v>
      </c>
      <c r="G186" s="64">
        <v>2.053456430092393</v>
      </c>
      <c r="H186" s="10">
        <f t="shared" si="47"/>
        <v>2.05345643</v>
      </c>
      <c r="I186" s="65">
        <v>0.05472861917</v>
      </c>
      <c r="J186" s="65">
        <v>1.3858245360750001</v>
      </c>
      <c r="K186" s="65">
        <v>0.011179494847392885</v>
      </c>
      <c r="L186" s="65">
        <v>0.60172378</v>
      </c>
      <c r="N186" s="66">
        <v>4.011491866666667</v>
      </c>
      <c r="O186" s="10">
        <f t="shared" si="48"/>
        <v>4.011491867</v>
      </c>
      <c r="Q186" s="67">
        <v>76.538792</v>
      </c>
      <c r="S186" s="68">
        <v>0.10165826</v>
      </c>
      <c r="T186" s="68">
        <v>0.093180699</v>
      </c>
      <c r="U186" s="68">
        <v>0.0036799732</v>
      </c>
      <c r="V186" s="68">
        <v>0.0047975924</v>
      </c>
      <c r="X186" s="69">
        <v>4.5122861E-4</v>
      </c>
      <c r="Y186" s="76" t="s">
        <v>387</v>
      </c>
      <c r="Z186" s="73" t="s">
        <v>388</v>
      </c>
    </row>
    <row r="187" ht="12.75" customHeight="1">
      <c r="A187" s="1" t="s">
        <v>389</v>
      </c>
      <c r="B187" s="2" t="s">
        <v>125</v>
      </c>
      <c r="C187" s="60" t="str">
        <f t="shared" si="45"/>
        <v>A.030.18.117</v>
      </c>
      <c r="D187" s="51" t="s">
        <v>356</v>
      </c>
      <c r="E187" s="62" t="s">
        <v>45</v>
      </c>
      <c r="F187" s="63" t="str">
        <f t="shared" si="46"/>
        <v>Benzene chlorination (per kg benzene)</v>
      </c>
      <c r="G187" s="64">
        <v>0.4154221538632511</v>
      </c>
      <c r="H187" s="10">
        <f t="shared" si="47"/>
        <v>0.4154221539</v>
      </c>
      <c r="I187" s="65">
        <v>0.01699136233</v>
      </c>
      <c r="J187" s="65">
        <v>0.103187365229</v>
      </c>
      <c r="K187" s="65">
        <v>3.148963042511111E-4</v>
      </c>
      <c r="L187" s="65">
        <v>0.29492853</v>
      </c>
      <c r="N187" s="66">
        <v>1.9661902000000002</v>
      </c>
      <c r="O187" s="10">
        <f t="shared" si="48"/>
        <v>1.9661902</v>
      </c>
      <c r="Q187" s="67">
        <v>54.820417</v>
      </c>
      <c r="S187" s="68">
        <v>0.056358476</v>
      </c>
      <c r="T187" s="68">
        <v>0.050557087</v>
      </c>
      <c r="U187" s="68">
        <v>0.0019420428</v>
      </c>
      <c r="V187" s="68">
        <v>0.0038593466</v>
      </c>
      <c r="X187" s="69">
        <v>1.522936E-4</v>
      </c>
      <c r="Y187" s="79" t="s">
        <v>181</v>
      </c>
      <c r="Z187" s="73" t="s">
        <v>390</v>
      </c>
    </row>
    <row r="188" ht="12.75" customHeight="1">
      <c r="A188" s="1" t="s">
        <v>391</v>
      </c>
      <c r="B188" s="2" t="s">
        <v>125</v>
      </c>
      <c r="C188" s="60" t="str">
        <f t="shared" si="45"/>
        <v>A.030.18.118</v>
      </c>
      <c r="D188" s="51" t="s">
        <v>356</v>
      </c>
      <c r="E188" s="62" t="s">
        <v>45</v>
      </c>
      <c r="F188" s="63" t="str">
        <f t="shared" si="46"/>
        <v>Benzyl alcohol</v>
      </c>
      <c r="G188" s="64">
        <v>1.4824756070147949</v>
      </c>
      <c r="H188" s="10">
        <f t="shared" si="47"/>
        <v>1.482475607</v>
      </c>
      <c r="I188" s="65">
        <v>0.05197529352</v>
      </c>
      <c r="J188" s="65">
        <v>0.823618519656</v>
      </c>
      <c r="K188" s="65">
        <v>0.01120081383879501</v>
      </c>
      <c r="L188" s="65">
        <v>0.59568098</v>
      </c>
      <c r="N188" s="66">
        <v>3.9712065333333335</v>
      </c>
      <c r="O188" s="10">
        <f t="shared" si="48"/>
        <v>3.971206533</v>
      </c>
      <c r="Q188" s="67">
        <v>77.691004</v>
      </c>
      <c r="S188" s="68">
        <v>0.10584371</v>
      </c>
      <c r="T188" s="68">
        <v>0.097003928</v>
      </c>
      <c r="U188" s="68">
        <v>0.0037243115</v>
      </c>
      <c r="V188" s="68">
        <v>0.0051154686</v>
      </c>
      <c r="X188" s="69">
        <v>3.576709E-4</v>
      </c>
      <c r="Y188" s="76" t="s">
        <v>392</v>
      </c>
      <c r="Z188" s="73" t="s">
        <v>393</v>
      </c>
    </row>
    <row r="189" ht="12.75" customHeight="1">
      <c r="A189" s="1" t="s">
        <v>394</v>
      </c>
      <c r="B189" s="2" t="s">
        <v>125</v>
      </c>
      <c r="C189" s="60" t="str">
        <f t="shared" si="45"/>
        <v>A.030.18.119</v>
      </c>
      <c r="D189" s="51" t="s">
        <v>356</v>
      </c>
      <c r="E189" s="62" t="s">
        <v>45</v>
      </c>
      <c r="F189" s="63" t="str">
        <f t="shared" si="46"/>
        <v>Benzyl chloride</v>
      </c>
      <c r="G189" s="64">
        <v>0.6799874226690141</v>
      </c>
      <c r="H189" s="10">
        <f t="shared" si="47"/>
        <v>0.6799874227</v>
      </c>
      <c r="I189" s="65">
        <v>0.028711731631</v>
      </c>
      <c r="J189" s="65">
        <v>0.3388536158151</v>
      </c>
      <c r="K189" s="65">
        <v>0.004898925222914083</v>
      </c>
      <c r="L189" s="65">
        <v>0.30752315</v>
      </c>
      <c r="N189" s="66">
        <v>2.0501543333333334</v>
      </c>
      <c r="O189" s="10">
        <f t="shared" si="48"/>
        <v>2.050154333</v>
      </c>
      <c r="Q189" s="67">
        <v>50.608839</v>
      </c>
      <c r="S189" s="68">
        <v>0.0549494</v>
      </c>
      <c r="T189" s="68">
        <v>0.049708509</v>
      </c>
      <c r="U189" s="68">
        <v>0.0019279157</v>
      </c>
      <c r="V189" s="68">
        <v>0.0033129754</v>
      </c>
      <c r="X189" s="69">
        <v>1.9623839E-4</v>
      </c>
      <c r="Y189" s="76" t="s">
        <v>395</v>
      </c>
      <c r="Z189" s="73" t="s">
        <v>396</v>
      </c>
    </row>
    <row r="190" ht="12.75" customHeight="1">
      <c r="A190" s="1" t="s">
        <v>397</v>
      </c>
      <c r="B190" s="2" t="s">
        <v>125</v>
      </c>
      <c r="C190" s="60" t="str">
        <f t="shared" si="45"/>
        <v>A.030.18.120</v>
      </c>
      <c r="D190" s="51" t="s">
        <v>356</v>
      </c>
      <c r="E190" s="62" t="s">
        <v>45</v>
      </c>
      <c r="F190" s="63" t="str">
        <f t="shared" si="46"/>
        <v>Butane-1.4-diol</v>
      </c>
      <c r="G190" s="64">
        <v>0.7273091796917258</v>
      </c>
      <c r="H190" s="10">
        <f t="shared" si="47"/>
        <v>0.7273091797</v>
      </c>
      <c r="I190" s="65">
        <v>0.03577095318</v>
      </c>
      <c r="J190" s="65">
        <v>0.061806784411</v>
      </c>
      <c r="K190" s="65">
        <v>0.024781282100725784</v>
      </c>
      <c r="L190" s="65">
        <v>0.60495016</v>
      </c>
      <c r="N190" s="66">
        <v>4.033001066666667</v>
      </c>
      <c r="O190" s="10">
        <f t="shared" si="48"/>
        <v>4.033001067</v>
      </c>
      <c r="Q190" s="67">
        <v>96.443274</v>
      </c>
      <c r="S190" s="68">
        <v>0.082873465</v>
      </c>
      <c r="T190" s="68">
        <v>0.073139028</v>
      </c>
      <c r="U190" s="68">
        <v>0.0032953756</v>
      </c>
      <c r="V190" s="68">
        <v>0.0064390618</v>
      </c>
      <c r="X190" s="69">
        <v>2.480871E-4</v>
      </c>
      <c r="Y190" s="76" t="s">
        <v>305</v>
      </c>
      <c r="Z190" s="73" t="s">
        <v>398</v>
      </c>
    </row>
    <row r="191" ht="12.75" customHeight="1">
      <c r="A191" s="1" t="s">
        <v>399</v>
      </c>
      <c r="B191" s="2" t="s">
        <v>125</v>
      </c>
      <c r="C191" s="60" t="str">
        <f t="shared" si="45"/>
        <v>A.030.18.121</v>
      </c>
      <c r="D191" s="51" t="s">
        <v>356</v>
      </c>
      <c r="E191" s="62" t="s">
        <v>45</v>
      </c>
      <c r="F191" s="63" t="str">
        <f t="shared" si="46"/>
        <v>Butane-1.4-diol dehydrogenation</v>
      </c>
      <c r="G191" s="64">
        <v>0.8018353705156541</v>
      </c>
      <c r="H191" s="10">
        <f t="shared" si="47"/>
        <v>0.8018353705</v>
      </c>
      <c r="I191" s="65">
        <v>0.038111428950000005</v>
      </c>
      <c r="J191" s="65">
        <v>0.06755891137700001</v>
      </c>
      <c r="K191" s="65">
        <v>0.031105100188654165</v>
      </c>
      <c r="L191" s="65">
        <v>0.66505993</v>
      </c>
      <c r="N191" s="66">
        <v>4.433732866666666</v>
      </c>
      <c r="O191" s="10">
        <f t="shared" si="48"/>
        <v>4.433732867</v>
      </c>
      <c r="Q191" s="67">
        <v>101.76212</v>
      </c>
      <c r="S191" s="68">
        <v>0.090223813</v>
      </c>
      <c r="T191" s="68">
        <v>0.07992955</v>
      </c>
      <c r="U191" s="68">
        <v>0.0036233195</v>
      </c>
      <c r="V191" s="68">
        <v>0.0066709435</v>
      </c>
      <c r="X191" s="69">
        <v>2.6639739E-4</v>
      </c>
      <c r="Y191" s="79" t="s">
        <v>181</v>
      </c>
      <c r="Z191" s="73" t="s">
        <v>400</v>
      </c>
    </row>
    <row r="192" ht="12.75" customHeight="1">
      <c r="A192" s="1" t="s">
        <v>401</v>
      </c>
      <c r="B192" s="2" t="s">
        <v>125</v>
      </c>
      <c r="C192" s="60" t="str">
        <f t="shared" si="45"/>
        <v>A.030.18.122</v>
      </c>
      <c r="D192" s="51" t="s">
        <v>356</v>
      </c>
      <c r="E192" s="62" t="s">
        <v>45</v>
      </c>
      <c r="F192" s="63" t="str">
        <f t="shared" si="46"/>
        <v>Butane oxidation</v>
      </c>
      <c r="G192" s="64">
        <v>0.3454093728366584</v>
      </c>
      <c r="H192" s="10">
        <f t="shared" si="47"/>
        <v>0.3454093728</v>
      </c>
      <c r="I192" s="65">
        <v>0.036908673977000005</v>
      </c>
      <c r="J192" s="65">
        <v>0.05721315105199999</v>
      </c>
      <c r="K192" s="65">
        <v>0.008424307807658382</v>
      </c>
      <c r="L192" s="65">
        <v>0.24286324</v>
      </c>
      <c r="N192" s="66">
        <v>1.6190882666666668</v>
      </c>
      <c r="O192" s="10">
        <f t="shared" si="48"/>
        <v>1.619088267</v>
      </c>
      <c r="Q192" s="67">
        <v>66.503815</v>
      </c>
      <c r="S192" s="68">
        <v>0.041495942</v>
      </c>
      <c r="T192" s="68">
        <v>0.035338873</v>
      </c>
      <c r="U192" s="68">
        <v>0.0015637091</v>
      </c>
      <c r="V192" s="68">
        <v>0.00459336</v>
      </c>
      <c r="X192" s="69">
        <v>1.4867727E-4</v>
      </c>
      <c r="Y192" s="79" t="s">
        <v>181</v>
      </c>
      <c r="Z192" s="73" t="s">
        <v>400</v>
      </c>
    </row>
    <row r="193" ht="12.75" customHeight="1">
      <c r="A193" s="1" t="s">
        <v>402</v>
      </c>
      <c r="B193" s="2" t="s">
        <v>125</v>
      </c>
      <c r="C193" s="60" t="str">
        <f t="shared" si="45"/>
        <v>A.030.18.123</v>
      </c>
      <c r="D193" s="51" t="s">
        <v>356</v>
      </c>
      <c r="E193" s="62" t="s">
        <v>45</v>
      </c>
      <c r="F193" s="63" t="str">
        <f t="shared" si="46"/>
        <v>Butanes from butene</v>
      </c>
      <c r="G193" s="64">
        <v>0.6109961437229918</v>
      </c>
      <c r="H193" s="10">
        <f t="shared" si="47"/>
        <v>0.6109961437</v>
      </c>
      <c r="I193" s="65">
        <v>0.01839082296</v>
      </c>
      <c r="J193" s="65">
        <v>0.07244835438799999</v>
      </c>
      <c r="K193" s="65">
        <v>0.005803376374991859</v>
      </c>
      <c r="L193" s="65">
        <v>0.51435359</v>
      </c>
      <c r="N193" s="66">
        <v>3.4290239333333337</v>
      </c>
      <c r="O193" s="10">
        <f t="shared" si="48"/>
        <v>3.429023933</v>
      </c>
      <c r="Q193" s="67">
        <v>74.473117</v>
      </c>
      <c r="S193" s="68">
        <v>0.073543732</v>
      </c>
      <c r="T193" s="68">
        <v>0.065256013</v>
      </c>
      <c r="U193" s="68">
        <v>0.0030741425</v>
      </c>
      <c r="V193" s="68">
        <v>0.0052135755</v>
      </c>
      <c r="X193" s="69">
        <v>2.0375877E-4</v>
      </c>
      <c r="Y193" s="76" t="s">
        <v>294</v>
      </c>
      <c r="Z193" s="73" t="s">
        <v>400</v>
      </c>
    </row>
    <row r="194" ht="12.75" customHeight="1">
      <c r="A194" s="1" t="s">
        <v>403</v>
      </c>
      <c r="B194" s="2" t="s">
        <v>125</v>
      </c>
      <c r="C194" s="60" t="str">
        <f t="shared" si="45"/>
        <v>A.030.18.124</v>
      </c>
      <c r="D194" s="51" t="s">
        <v>356</v>
      </c>
      <c r="E194" s="62" t="s">
        <v>45</v>
      </c>
      <c r="F194" s="63" t="str">
        <f t="shared" si="46"/>
        <v>Butene hydration (production of Butanol)</v>
      </c>
      <c r="G194" s="64">
        <v>0.6904256466150448</v>
      </c>
      <c r="H194" s="10">
        <f t="shared" si="47"/>
        <v>0.6904256466</v>
      </c>
      <c r="I194" s="65">
        <v>0.020781630449999998</v>
      </c>
      <c r="J194" s="65">
        <v>0.08186664084300001</v>
      </c>
      <c r="K194" s="65">
        <v>0.0065578153220447995</v>
      </c>
      <c r="L194" s="65">
        <v>0.58121956</v>
      </c>
      <c r="N194" s="66">
        <v>3.8747970666666665</v>
      </c>
      <c r="O194" s="10">
        <f t="shared" si="48"/>
        <v>3.874797067</v>
      </c>
      <c r="Q194" s="67">
        <v>84.154622</v>
      </c>
      <c r="S194" s="68">
        <v>0.083104417</v>
      </c>
      <c r="T194" s="68">
        <v>0.073739295</v>
      </c>
      <c r="U194" s="68">
        <v>0.0034737811</v>
      </c>
      <c r="V194" s="68">
        <v>0.0058913404</v>
      </c>
      <c r="X194" s="69">
        <v>2.3024741E-4</v>
      </c>
      <c r="Y194" s="79" t="s">
        <v>181</v>
      </c>
      <c r="Z194" s="73" t="s">
        <v>400</v>
      </c>
    </row>
    <row r="195" ht="12.75" customHeight="1">
      <c r="A195" s="1" t="s">
        <v>404</v>
      </c>
      <c r="B195" s="2" t="s">
        <v>125</v>
      </c>
      <c r="C195" s="60" t="str">
        <f t="shared" si="45"/>
        <v>A.030.18.125</v>
      </c>
      <c r="D195" s="51" t="s">
        <v>356</v>
      </c>
      <c r="E195" s="62" t="s">
        <v>45</v>
      </c>
      <c r="F195" s="63" t="str">
        <f t="shared" si="46"/>
        <v>Butene hydroformylation</v>
      </c>
      <c r="G195" s="64">
        <v>1.134634840913642</v>
      </c>
      <c r="H195" s="10">
        <f t="shared" si="47"/>
        <v>1.134634841</v>
      </c>
      <c r="I195" s="65">
        <v>0.03667060746</v>
      </c>
      <c r="J195" s="65">
        <v>0.113264319151</v>
      </c>
      <c r="K195" s="65">
        <v>0.01813612430264188</v>
      </c>
      <c r="L195" s="65">
        <v>0.96656379</v>
      </c>
      <c r="N195" s="66">
        <v>6.443758600000001</v>
      </c>
      <c r="O195" s="10">
        <f t="shared" si="48"/>
        <v>6.4437586</v>
      </c>
      <c r="Q195" s="67">
        <v>128.8151</v>
      </c>
      <c r="S195" s="68">
        <v>0.13253356</v>
      </c>
      <c r="T195" s="68">
        <v>0.11843092</v>
      </c>
      <c r="U195" s="68">
        <v>0.0053083349</v>
      </c>
      <c r="V195" s="68">
        <v>0.0087943068</v>
      </c>
      <c r="X195" s="69">
        <v>3.6399735E-4</v>
      </c>
      <c r="Y195" s="79" t="s">
        <v>181</v>
      </c>
      <c r="Z195" s="81"/>
    </row>
    <row r="196" ht="12.75" customHeight="1">
      <c r="A196" s="1" t="s">
        <v>405</v>
      </c>
      <c r="B196" s="2" t="s">
        <v>125</v>
      </c>
      <c r="C196" s="60" t="str">
        <f t="shared" si="45"/>
        <v>A.030.18.126</v>
      </c>
      <c r="D196" s="51" t="s">
        <v>356</v>
      </c>
      <c r="E196" s="62" t="s">
        <v>45</v>
      </c>
      <c r="F196" s="63" t="str">
        <f t="shared" si="46"/>
        <v>Butyl acetate</v>
      </c>
      <c r="G196" s="64">
        <v>0.5033693470145584</v>
      </c>
      <c r="H196" s="10">
        <f t="shared" si="47"/>
        <v>0.503369347</v>
      </c>
      <c r="I196" s="65">
        <v>0.021049551599999997</v>
      </c>
      <c r="J196" s="65">
        <v>0.055753204661</v>
      </c>
      <c r="K196" s="65">
        <v>0.007998160753558445</v>
      </c>
      <c r="L196" s="65">
        <v>0.41856843</v>
      </c>
      <c r="N196" s="66">
        <v>2.7904562</v>
      </c>
      <c r="O196" s="10">
        <f t="shared" si="48"/>
        <v>2.7904562</v>
      </c>
      <c r="Q196" s="67">
        <v>59.693682</v>
      </c>
      <c r="S196" s="68">
        <v>0.057543598</v>
      </c>
      <c r="T196" s="68">
        <v>0.051066793</v>
      </c>
      <c r="U196" s="68">
        <v>0.0023221713</v>
      </c>
      <c r="V196" s="68">
        <v>0.0041546339</v>
      </c>
      <c r="X196" s="69">
        <v>1.6410579E-4</v>
      </c>
      <c r="Y196" s="76" t="s">
        <v>377</v>
      </c>
      <c r="Z196" s="73" t="s">
        <v>406</v>
      </c>
    </row>
    <row r="197" ht="12.75" customHeight="1">
      <c r="A197" s="1" t="s">
        <v>407</v>
      </c>
      <c r="B197" s="2" t="s">
        <v>125</v>
      </c>
      <c r="C197" s="60" t="str">
        <f t="shared" si="45"/>
        <v>A.030.18.127</v>
      </c>
      <c r="D197" s="51" t="s">
        <v>356</v>
      </c>
      <c r="E197" s="62" t="s">
        <v>45</v>
      </c>
      <c r="F197" s="63" t="str">
        <f t="shared" si="46"/>
        <v>Butyrolactone</v>
      </c>
      <c r="G197" s="64">
        <v>0.8440372363900044</v>
      </c>
      <c r="H197" s="10">
        <f t="shared" si="47"/>
        <v>0.8440372364</v>
      </c>
      <c r="I197" s="65">
        <v>0.04011729364</v>
      </c>
      <c r="J197" s="65">
        <v>0.071114642668</v>
      </c>
      <c r="K197" s="65">
        <v>0.03274221008200438</v>
      </c>
      <c r="L197" s="65">
        <v>0.70006309</v>
      </c>
      <c r="N197" s="66">
        <v>4.667087266666667</v>
      </c>
      <c r="O197" s="10">
        <f t="shared" si="48"/>
        <v>4.667087267</v>
      </c>
      <c r="Q197" s="67">
        <v>107.11802</v>
      </c>
      <c r="S197" s="68">
        <v>0.094972434</v>
      </c>
      <c r="T197" s="68">
        <v>0.084136368</v>
      </c>
      <c r="U197" s="68">
        <v>0.0038140205</v>
      </c>
      <c r="V197" s="68">
        <v>0.0070220458</v>
      </c>
      <c r="X197" s="69">
        <v>2.8041831E-4</v>
      </c>
      <c r="Y197" s="76" t="s">
        <v>408</v>
      </c>
      <c r="Z197" s="73" t="s">
        <v>409</v>
      </c>
    </row>
    <row r="198" ht="12.75" customHeight="1">
      <c r="A198" s="1" t="s">
        <v>410</v>
      </c>
      <c r="B198" s="2" t="s">
        <v>125</v>
      </c>
      <c r="C198" s="60" t="str">
        <f t="shared" si="45"/>
        <v>A.030.18.128</v>
      </c>
      <c r="D198" s="51" t="s">
        <v>356</v>
      </c>
      <c r="E198" s="62" t="s">
        <v>45</v>
      </c>
      <c r="F198" s="63" t="str">
        <f t="shared" si="46"/>
        <v>Cyclohexane</v>
      </c>
      <c r="G198" s="64">
        <v>0.5640572992098929</v>
      </c>
      <c r="H198" s="10">
        <f t="shared" si="47"/>
        <v>0.5640572992</v>
      </c>
      <c r="I198" s="65">
        <v>0.018854053449999998</v>
      </c>
      <c r="J198" s="65">
        <v>0.074923960403</v>
      </c>
      <c r="K198" s="65">
        <v>0.0047377553568929715</v>
      </c>
      <c r="L198" s="65">
        <v>0.46554153</v>
      </c>
      <c r="N198" s="66">
        <v>3.1036102</v>
      </c>
      <c r="O198" s="10">
        <f t="shared" si="48"/>
        <v>3.1036102</v>
      </c>
      <c r="Q198" s="67">
        <v>67.712922</v>
      </c>
      <c r="S198" s="68">
        <v>0.074547108</v>
      </c>
      <c r="T198" s="68">
        <v>0.067078504</v>
      </c>
      <c r="U198" s="68">
        <v>0.0027281333</v>
      </c>
      <c r="V198" s="68">
        <v>0.0047404709</v>
      </c>
      <c r="X198" s="69">
        <v>1.9177097E-4</v>
      </c>
      <c r="Y198" s="76" t="s">
        <v>411</v>
      </c>
      <c r="Z198" s="73" t="s">
        <v>412</v>
      </c>
    </row>
    <row r="199" ht="12.75" customHeight="1">
      <c r="A199" s="1" t="s">
        <v>413</v>
      </c>
      <c r="B199" s="2" t="s">
        <v>125</v>
      </c>
      <c r="C199" s="60" t="str">
        <f t="shared" si="45"/>
        <v>A.030.18.129</v>
      </c>
      <c r="D199" s="51" t="s">
        <v>356</v>
      </c>
      <c r="E199" s="62" t="s">
        <v>45</v>
      </c>
      <c r="F199" s="63" t="str">
        <f t="shared" si="46"/>
        <v>Cyclohexanone</v>
      </c>
      <c r="G199" s="64">
        <v>0.9173917204756745</v>
      </c>
      <c r="H199" s="10">
        <f t="shared" si="47"/>
        <v>0.9173917205</v>
      </c>
      <c r="I199" s="65">
        <v>0.03563060324</v>
      </c>
      <c r="J199" s="65">
        <v>0.169536992679</v>
      </c>
      <c r="K199" s="65">
        <v>0.011738874556674569</v>
      </c>
      <c r="L199" s="65">
        <v>0.70048525</v>
      </c>
      <c r="N199" s="66">
        <v>4.669901666666666</v>
      </c>
      <c r="O199" s="10">
        <f t="shared" si="48"/>
        <v>4.669901667</v>
      </c>
      <c r="Q199" s="67">
        <v>89.033109</v>
      </c>
      <c r="S199" s="68">
        <v>0.12156299</v>
      </c>
      <c r="T199" s="68">
        <v>0.11141618</v>
      </c>
      <c r="U199" s="68">
        <v>0.003985493</v>
      </c>
      <c r="V199" s="68">
        <v>0.0061613159</v>
      </c>
      <c r="X199" s="69">
        <v>2.7637641E-4</v>
      </c>
      <c r="Y199" s="76" t="s">
        <v>275</v>
      </c>
      <c r="Z199" s="73" t="s">
        <v>414</v>
      </c>
    </row>
    <row r="200" ht="12.75" customHeight="1">
      <c r="A200" s="1" t="s">
        <v>415</v>
      </c>
      <c r="B200" s="2" t="s">
        <v>125</v>
      </c>
      <c r="C200" s="60" t="str">
        <f t="shared" si="45"/>
        <v>A.030.18.130</v>
      </c>
      <c r="D200" s="51" t="s">
        <v>356</v>
      </c>
      <c r="E200" s="62" t="s">
        <v>45</v>
      </c>
      <c r="F200" s="63" t="str">
        <f t="shared" si="46"/>
        <v>Ethanol from ethylene</v>
      </c>
      <c r="G200" s="64">
        <v>0.23782451917970732</v>
      </c>
      <c r="H200" s="10">
        <f t="shared" si="47"/>
        <v>0.2378245192</v>
      </c>
      <c r="I200" s="65">
        <v>0.007958436273</v>
      </c>
      <c r="J200" s="65">
        <v>0.033055608601</v>
      </c>
      <c r="K200" s="65">
        <v>0.001571194305707328</v>
      </c>
      <c r="L200" s="65">
        <v>0.19523928</v>
      </c>
      <c r="N200" s="66">
        <v>1.3015952</v>
      </c>
      <c r="O200" s="10">
        <f t="shared" si="48"/>
        <v>1.3015952</v>
      </c>
      <c r="Q200" s="67">
        <v>25.359077</v>
      </c>
      <c r="S200" s="68">
        <v>0.029996594</v>
      </c>
      <c r="T200" s="68">
        <v>0.027046514</v>
      </c>
      <c r="U200" s="68">
        <v>0.001193499</v>
      </c>
      <c r="V200" s="68">
        <v>0.0017565812</v>
      </c>
      <c r="X200" s="69">
        <v>8.1090933E-5</v>
      </c>
      <c r="Y200" s="76" t="s">
        <v>305</v>
      </c>
      <c r="Z200" s="73" t="s">
        <v>416</v>
      </c>
    </row>
    <row r="201" ht="12.75" customHeight="1">
      <c r="A201" s="1" t="s">
        <v>417</v>
      </c>
      <c r="B201" s="2" t="s">
        <v>125</v>
      </c>
      <c r="C201" s="60" t="str">
        <f t="shared" si="45"/>
        <v>A.030.18.131</v>
      </c>
      <c r="D201" s="51" t="s">
        <v>356</v>
      </c>
      <c r="E201" s="62" t="s">
        <v>45</v>
      </c>
      <c r="F201" s="63" t="str">
        <f t="shared" si="46"/>
        <v>Diethyl ether</v>
      </c>
      <c r="G201" s="64">
        <v>0.23782451917970732</v>
      </c>
      <c r="H201" s="10">
        <f t="shared" si="47"/>
        <v>0.2378245192</v>
      </c>
      <c r="I201" s="65">
        <v>0.007958436273</v>
      </c>
      <c r="J201" s="65">
        <v>0.033055608601</v>
      </c>
      <c r="K201" s="65">
        <v>0.001571194305707328</v>
      </c>
      <c r="L201" s="65">
        <v>0.19523928</v>
      </c>
      <c r="N201" s="66">
        <v>1.3015952</v>
      </c>
      <c r="O201" s="10">
        <f t="shared" si="48"/>
        <v>1.3015952</v>
      </c>
      <c r="Q201" s="67">
        <v>25.359077</v>
      </c>
      <c r="S201" s="68">
        <v>0.029996594</v>
      </c>
      <c r="T201" s="68">
        <v>0.027046514</v>
      </c>
      <c r="U201" s="68">
        <v>0.001193499</v>
      </c>
      <c r="V201" s="68">
        <v>0.0017565812</v>
      </c>
      <c r="X201" s="69">
        <v>8.1090933E-5</v>
      </c>
      <c r="Y201" s="76" t="s">
        <v>300</v>
      </c>
      <c r="Z201" s="73" t="s">
        <v>418</v>
      </c>
    </row>
    <row r="202" ht="12.75" customHeight="1">
      <c r="A202" s="1" t="s">
        <v>419</v>
      </c>
      <c r="B202" s="2" t="s">
        <v>125</v>
      </c>
      <c r="C202" s="60" t="str">
        <f t="shared" si="45"/>
        <v>A.030.18.132</v>
      </c>
      <c r="D202" s="51" t="s">
        <v>356</v>
      </c>
      <c r="E202" s="62" t="s">
        <v>45</v>
      </c>
      <c r="F202" s="63" t="str">
        <f t="shared" si="46"/>
        <v>Dimethyl sulfoxide</v>
      </c>
      <c r="G202" s="64">
        <v>0.3171775668788083</v>
      </c>
      <c r="H202" s="10">
        <f t="shared" si="47"/>
        <v>0.3171775669</v>
      </c>
      <c r="I202" s="65">
        <v>0.019369200349999997</v>
      </c>
      <c r="J202" s="65">
        <v>0.032325853509</v>
      </c>
      <c r="K202" s="65">
        <v>0.020267553019808333</v>
      </c>
      <c r="L202" s="65">
        <v>0.24521496</v>
      </c>
      <c r="N202" s="66">
        <v>1.6347664000000002</v>
      </c>
      <c r="O202" s="10">
        <f t="shared" si="48"/>
        <v>1.6347664</v>
      </c>
      <c r="Q202" s="67">
        <v>43.885598</v>
      </c>
      <c r="S202" s="68">
        <v>0.033401029</v>
      </c>
      <c r="T202" s="68">
        <v>0.029430479</v>
      </c>
      <c r="U202" s="68">
        <v>0.0013410199</v>
      </c>
      <c r="V202" s="68">
        <v>0.0026295307</v>
      </c>
      <c r="X202" s="69">
        <v>1.0624447E-4</v>
      </c>
      <c r="Y202" s="76" t="s">
        <v>420</v>
      </c>
      <c r="Z202" s="73" t="s">
        <v>421</v>
      </c>
    </row>
    <row r="203" ht="12.75" customHeight="1">
      <c r="A203" s="1" t="s">
        <v>422</v>
      </c>
      <c r="B203" s="2" t="s">
        <v>125</v>
      </c>
      <c r="C203" s="60" t="str">
        <f t="shared" si="45"/>
        <v>A.030.18.133</v>
      </c>
      <c r="D203" s="51" t="s">
        <v>356</v>
      </c>
      <c r="E203" s="62" t="s">
        <v>45</v>
      </c>
      <c r="F203" s="63" t="str">
        <f t="shared" si="46"/>
        <v>Dimethylamine</v>
      </c>
      <c r="G203" s="64">
        <v>0.41373717117515285</v>
      </c>
      <c r="H203" s="10">
        <f t="shared" si="47"/>
        <v>0.4137371712</v>
      </c>
      <c r="I203" s="65">
        <v>0.01611946895</v>
      </c>
      <c r="J203" s="65">
        <v>0.1861265837291</v>
      </c>
      <c r="K203" s="65">
        <v>0.01589693849605284</v>
      </c>
      <c r="L203" s="65">
        <v>0.19559418</v>
      </c>
      <c r="N203" s="66">
        <v>1.3039612</v>
      </c>
      <c r="O203" s="10">
        <f t="shared" si="48"/>
        <v>1.3039612</v>
      </c>
      <c r="Q203" s="67">
        <v>32.17285</v>
      </c>
      <c r="S203" s="68">
        <v>0.028281637</v>
      </c>
      <c r="T203" s="68">
        <v>0.0252536</v>
      </c>
      <c r="U203" s="68">
        <v>0.0011666376</v>
      </c>
      <c r="V203" s="68">
        <v>0.0018613987</v>
      </c>
      <c r="X203" s="69">
        <v>1.2896138E-4</v>
      </c>
      <c r="Y203" s="76" t="s">
        <v>323</v>
      </c>
      <c r="Z203" s="73" t="s">
        <v>423</v>
      </c>
    </row>
    <row r="204" ht="12.75" customHeight="1">
      <c r="A204" s="1" t="s">
        <v>424</v>
      </c>
      <c r="B204" s="2" t="s">
        <v>125</v>
      </c>
      <c r="C204" s="60" t="str">
        <f t="shared" si="45"/>
        <v>A.030.18.134</v>
      </c>
      <c r="D204" s="51" t="s">
        <v>356</v>
      </c>
      <c r="E204" s="62" t="s">
        <v>45</v>
      </c>
      <c r="F204" s="63" t="str">
        <f t="shared" si="46"/>
        <v>Ethyl acetate from ethanol and acetic acid</v>
      </c>
      <c r="G204" s="64">
        <v>0.3287034119747344</v>
      </c>
      <c r="H204" s="10">
        <f t="shared" si="47"/>
        <v>0.328703412</v>
      </c>
      <c r="I204" s="65">
        <v>0.01805616617</v>
      </c>
      <c r="J204" s="65">
        <v>0.051154575598</v>
      </c>
      <c r="K204" s="65">
        <v>0.004469600206734379</v>
      </c>
      <c r="L204" s="65">
        <v>0.25502307</v>
      </c>
      <c r="N204" s="66">
        <v>1.7001538000000003</v>
      </c>
      <c r="O204" s="10">
        <f t="shared" si="48"/>
        <v>1.7001538</v>
      </c>
      <c r="Q204" s="67">
        <v>28.98882</v>
      </c>
      <c r="S204" s="68">
        <v>0.035230959</v>
      </c>
      <c r="T204" s="68">
        <v>0.031747597</v>
      </c>
      <c r="U204" s="68">
        <v>0.0014751019</v>
      </c>
      <c r="V204" s="68">
        <v>0.0020082603</v>
      </c>
      <c r="X204" s="69">
        <v>9.7707711E-5</v>
      </c>
      <c r="Y204" s="76" t="s">
        <v>377</v>
      </c>
      <c r="Z204" s="73" t="s">
        <v>425</v>
      </c>
    </row>
    <row r="205" ht="12.75" customHeight="1">
      <c r="A205" s="1" t="s">
        <v>426</v>
      </c>
      <c r="B205" s="2" t="s">
        <v>125</v>
      </c>
      <c r="C205" s="60" t="str">
        <f t="shared" si="45"/>
        <v>A.030.18.135</v>
      </c>
      <c r="D205" s="51" t="s">
        <v>356</v>
      </c>
      <c r="E205" s="62" t="s">
        <v>45</v>
      </c>
      <c r="F205" s="63" t="str">
        <f t="shared" si="46"/>
        <v>Ethyl acetate from Butane oxidation</v>
      </c>
      <c r="G205" s="64">
        <v>0.21520833099468145</v>
      </c>
      <c r="H205" s="10">
        <f t="shared" si="47"/>
        <v>0.215208331</v>
      </c>
      <c r="I205" s="65">
        <v>0.022996058449</v>
      </c>
      <c r="J205" s="65">
        <v>0.035646822613</v>
      </c>
      <c r="K205" s="65">
        <v>0.0052487899326814835</v>
      </c>
      <c r="L205" s="65">
        <v>0.15131666</v>
      </c>
      <c r="N205" s="66">
        <v>1.0087777333333334</v>
      </c>
      <c r="O205" s="10">
        <f t="shared" si="48"/>
        <v>1.008777733</v>
      </c>
      <c r="Q205" s="67">
        <v>41.435399</v>
      </c>
      <c r="S205" s="68">
        <v>0.025854169</v>
      </c>
      <c r="T205" s="68">
        <v>0.022017989</v>
      </c>
      <c r="U205" s="68">
        <v>9.7427356E-4</v>
      </c>
      <c r="V205" s="68">
        <v>0.0028619065</v>
      </c>
      <c r="X205" s="69">
        <v>9.2633813E-5</v>
      </c>
      <c r="Y205" s="76" t="s">
        <v>377</v>
      </c>
      <c r="Z205" s="73" t="s">
        <v>425</v>
      </c>
    </row>
    <row r="206" ht="12.75" customHeight="1">
      <c r="A206" s="1" t="s">
        <v>427</v>
      </c>
      <c r="B206" s="2" t="s">
        <v>125</v>
      </c>
      <c r="C206" s="60" t="str">
        <f t="shared" si="45"/>
        <v>A.030.18.136</v>
      </c>
      <c r="D206" s="51" t="s">
        <v>356</v>
      </c>
      <c r="E206" s="62" t="s">
        <v>45</v>
      </c>
      <c r="F206" s="63" t="str">
        <f t="shared" si="46"/>
        <v>Ethyl acetate, from Ethyl Alcohol</v>
      </c>
      <c r="G206" s="64">
        <v>0.33196248329549966</v>
      </c>
      <c r="H206" s="10">
        <f t="shared" si="47"/>
        <v>0.3319624833</v>
      </c>
      <c r="I206" s="65">
        <v>0.018991518029999998</v>
      </c>
      <c r="J206" s="65">
        <v>0.039546621063</v>
      </c>
      <c r="K206" s="65">
        <v>0.008336364202499636</v>
      </c>
      <c r="L206" s="65">
        <v>0.26508798</v>
      </c>
      <c r="N206" s="66">
        <v>1.7672532</v>
      </c>
      <c r="O206" s="10">
        <f t="shared" si="48"/>
        <v>1.7672532</v>
      </c>
      <c r="Q206" s="67">
        <v>44.694355</v>
      </c>
      <c r="S206" s="68">
        <v>0.032914578</v>
      </c>
      <c r="T206" s="68">
        <v>0.029740333</v>
      </c>
      <c r="U206" s="68">
        <v>0.0014252044</v>
      </c>
      <c r="V206" s="68">
        <v>0.0017490411</v>
      </c>
      <c r="X206" s="69">
        <v>9.0366068E-5</v>
      </c>
      <c r="Y206" s="76" t="s">
        <v>377</v>
      </c>
      <c r="Z206" s="73" t="s">
        <v>425</v>
      </c>
    </row>
    <row r="207" ht="12.75" customHeight="1">
      <c r="A207" s="1" t="s">
        <v>428</v>
      </c>
      <c r="B207" s="2" t="s">
        <v>125</v>
      </c>
      <c r="C207" s="60" t="str">
        <f t="shared" si="45"/>
        <v>A.030.18.137</v>
      </c>
      <c r="D207" s="51" t="s">
        <v>356</v>
      </c>
      <c r="E207" s="62" t="s">
        <v>45</v>
      </c>
      <c r="F207" s="63" t="str">
        <f t="shared" si="46"/>
        <v>Ethylene glycol diethyl ether</v>
      </c>
      <c r="G207" s="64">
        <v>0.7297832224244937</v>
      </c>
      <c r="H207" s="10">
        <f t="shared" si="47"/>
        <v>0.7297832224</v>
      </c>
      <c r="I207" s="65">
        <v>0.02215133136</v>
      </c>
      <c r="J207" s="65">
        <v>0.32550836311029996</v>
      </c>
      <c r="K207" s="65">
        <v>0.013780127954193727</v>
      </c>
      <c r="L207" s="65">
        <v>0.3683434</v>
      </c>
      <c r="N207" s="66">
        <v>2.4556226666666667</v>
      </c>
      <c r="O207" s="10">
        <f t="shared" si="48"/>
        <v>2.455622667</v>
      </c>
      <c r="Q207" s="67">
        <v>31.85062</v>
      </c>
      <c r="S207" s="68">
        <v>0.05545431</v>
      </c>
      <c r="T207" s="68">
        <v>0.05156545</v>
      </c>
      <c r="U207" s="68">
        <v>0.0021474071</v>
      </c>
      <c r="V207" s="68">
        <v>0.0017414529</v>
      </c>
      <c r="X207" s="69">
        <v>1.7094623E-4</v>
      </c>
      <c r="Y207" s="76" t="s">
        <v>300</v>
      </c>
      <c r="Z207" s="73" t="s">
        <v>429</v>
      </c>
    </row>
    <row r="208" ht="12.75" customHeight="1">
      <c r="A208" s="1" t="s">
        <v>430</v>
      </c>
      <c r="B208" s="2" t="s">
        <v>125</v>
      </c>
      <c r="C208" s="60" t="str">
        <f t="shared" si="45"/>
        <v>A.030.18.138</v>
      </c>
      <c r="D208" s="51" t="s">
        <v>356</v>
      </c>
      <c r="E208" s="62" t="s">
        <v>45</v>
      </c>
      <c r="F208" s="63" t="str">
        <f t="shared" si="46"/>
        <v>Ethylene glycol dimethyl ether</v>
      </c>
      <c r="G208" s="64">
        <v>0.35312180242911795</v>
      </c>
      <c r="H208" s="10">
        <f t="shared" si="47"/>
        <v>0.3531218024</v>
      </c>
      <c r="I208" s="65">
        <v>0.01373263666</v>
      </c>
      <c r="J208" s="65">
        <v>0.0410534677768</v>
      </c>
      <c r="K208" s="65">
        <v>0.005885507992317935</v>
      </c>
      <c r="L208" s="65">
        <v>0.29245019</v>
      </c>
      <c r="N208" s="66">
        <v>1.9496679333333333</v>
      </c>
      <c r="O208" s="10">
        <f t="shared" si="48"/>
        <v>1.949667933</v>
      </c>
      <c r="Q208" s="67">
        <v>36.464178</v>
      </c>
      <c r="S208" s="68">
        <v>0.044174279</v>
      </c>
      <c r="T208" s="68">
        <v>0.040073859</v>
      </c>
      <c r="U208" s="68">
        <v>0.0017149236</v>
      </c>
      <c r="V208" s="68">
        <v>0.0023854967</v>
      </c>
      <c r="X208" s="69">
        <v>1.1494279E-4</v>
      </c>
      <c r="Y208" s="76" t="s">
        <v>300</v>
      </c>
      <c r="Z208" s="73" t="s">
        <v>431</v>
      </c>
    </row>
    <row r="209" ht="12.75" customHeight="1">
      <c r="A209" s="1" t="s">
        <v>432</v>
      </c>
      <c r="B209" s="2" t="s">
        <v>125</v>
      </c>
      <c r="C209" s="60" t="str">
        <f t="shared" si="45"/>
        <v>A.030.18.139</v>
      </c>
      <c r="D209" s="51" t="s">
        <v>356</v>
      </c>
      <c r="E209" s="62" t="s">
        <v>45</v>
      </c>
      <c r="F209" s="63" t="str">
        <f t="shared" si="46"/>
        <v>Ethylene glycol monoethyl ether</v>
      </c>
      <c r="G209" s="64">
        <v>0.2853582812636235</v>
      </c>
      <c r="H209" s="10">
        <f t="shared" si="47"/>
        <v>0.2853582813</v>
      </c>
      <c r="I209" s="65">
        <v>0.009490519809999999</v>
      </c>
      <c r="J209" s="65">
        <v>0.029619520677</v>
      </c>
      <c r="K209" s="65">
        <v>0.010467150776623533</v>
      </c>
      <c r="L209" s="65">
        <v>0.23578109</v>
      </c>
      <c r="N209" s="66">
        <v>1.5718739333333334</v>
      </c>
      <c r="O209" s="10">
        <f t="shared" si="48"/>
        <v>1.571873933</v>
      </c>
      <c r="Q209" s="67">
        <v>25.144936</v>
      </c>
      <c r="S209" s="68">
        <v>0.034211333</v>
      </c>
      <c r="T209" s="68">
        <v>0.031401507</v>
      </c>
      <c r="U209" s="68">
        <v>0.0013385604</v>
      </c>
      <c r="V209" s="68">
        <v>0.0014712655</v>
      </c>
      <c r="X209" s="69">
        <v>8.3658341E-5</v>
      </c>
      <c r="Y209" s="76" t="s">
        <v>300</v>
      </c>
      <c r="Z209" s="73" t="s">
        <v>433</v>
      </c>
    </row>
    <row r="210" ht="12.75" customHeight="1">
      <c r="A210" s="1" t="s">
        <v>434</v>
      </c>
      <c r="B210" s="2" t="s">
        <v>125</v>
      </c>
      <c r="C210" s="60" t="str">
        <f t="shared" si="45"/>
        <v>A.030.18.140</v>
      </c>
      <c r="D210" s="51" t="s">
        <v>356</v>
      </c>
      <c r="E210" s="62" t="s">
        <v>45</v>
      </c>
      <c r="F210" s="63" t="str">
        <f t="shared" si="46"/>
        <v>Ethylene hydration</v>
      </c>
      <c r="G210" s="64">
        <v>0.3805192333851277</v>
      </c>
      <c r="H210" s="10">
        <f t="shared" si="47"/>
        <v>0.3805192334</v>
      </c>
      <c r="I210" s="65">
        <v>0.012733498071</v>
      </c>
      <c r="J210" s="65">
        <v>0.052888974484</v>
      </c>
      <c r="K210" s="65">
        <v>0.002513910830127725</v>
      </c>
      <c r="L210" s="65">
        <v>0.31238285</v>
      </c>
      <c r="N210" s="66">
        <v>2.0825523333333336</v>
      </c>
      <c r="O210" s="10">
        <f t="shared" si="48"/>
        <v>2.082552333</v>
      </c>
      <c r="Q210" s="67">
        <v>40.574523</v>
      </c>
      <c r="S210" s="68">
        <v>0.04799455</v>
      </c>
      <c r="T210" s="68">
        <v>0.043274422</v>
      </c>
      <c r="U210" s="68">
        <v>0.0019095984</v>
      </c>
      <c r="V210" s="68">
        <v>0.0028105299</v>
      </c>
      <c r="X210" s="69">
        <v>1.2974549E-4</v>
      </c>
      <c r="Y210" s="79" t="s">
        <v>181</v>
      </c>
      <c r="Z210" s="73" t="s">
        <v>435</v>
      </c>
    </row>
    <row r="211" ht="12.75" customHeight="1">
      <c r="A211" s="1" t="s">
        <v>436</v>
      </c>
      <c r="B211" s="2" t="s">
        <v>125</v>
      </c>
      <c r="C211" s="60" t="str">
        <f t="shared" si="45"/>
        <v>A.030.18.141</v>
      </c>
      <c r="D211" s="51" t="s">
        <v>356</v>
      </c>
      <c r="E211" s="62" t="s">
        <v>45</v>
      </c>
      <c r="F211" s="63" t="str">
        <f t="shared" si="46"/>
        <v>Formic acid by butane oxidation</v>
      </c>
      <c r="G211" s="64">
        <v>0.21507432942497073</v>
      </c>
      <c r="H211" s="10">
        <f t="shared" si="47"/>
        <v>0.2150743294</v>
      </c>
      <c r="I211" s="65">
        <v>0.022981740078</v>
      </c>
      <c r="J211" s="65">
        <v>0.0356246276854</v>
      </c>
      <c r="K211" s="65">
        <v>0.005245521661570735</v>
      </c>
      <c r="L211" s="65">
        <v>0.15122244</v>
      </c>
      <c r="N211" s="66">
        <v>1.0081496</v>
      </c>
      <c r="O211" s="10">
        <f t="shared" si="48"/>
        <v>1.0081496</v>
      </c>
      <c r="Q211" s="67">
        <v>41.409598</v>
      </c>
      <c r="S211" s="68">
        <v>0.025838071</v>
      </c>
      <c r="T211" s="68">
        <v>0.022004279</v>
      </c>
      <c r="U211" s="68">
        <v>9.7366692E-4</v>
      </c>
      <c r="V211" s="68">
        <v>0.0028601245</v>
      </c>
      <c r="X211" s="69">
        <v>9.2576133E-5</v>
      </c>
      <c r="Y211" s="76" t="s">
        <v>141</v>
      </c>
      <c r="Z211" s="73" t="s">
        <v>437</v>
      </c>
    </row>
    <row r="212" ht="12.75" customHeight="1">
      <c r="A212" s="1" t="s">
        <v>438</v>
      </c>
      <c r="B212" s="2" t="s">
        <v>125</v>
      </c>
      <c r="C212" s="60" t="str">
        <f t="shared" si="45"/>
        <v>A.030.18.142</v>
      </c>
      <c r="D212" s="51" t="s">
        <v>356</v>
      </c>
      <c r="E212" s="62" t="s">
        <v>45</v>
      </c>
      <c r="F212" s="63" t="str">
        <f t="shared" si="46"/>
        <v>Formic acid by methyl formate hydrolysis</v>
      </c>
      <c r="G212" s="64">
        <v>0.7722854907666719</v>
      </c>
      <c r="H212" s="10">
        <f t="shared" si="47"/>
        <v>0.7722854908</v>
      </c>
      <c r="I212" s="65">
        <v>0.020925881540000003</v>
      </c>
      <c r="J212" s="65">
        <v>0.056807957335000006</v>
      </c>
      <c r="K212" s="65">
        <v>0.007821161891671905</v>
      </c>
      <c r="L212" s="65">
        <v>0.68673049</v>
      </c>
      <c r="N212" s="66">
        <v>4.578203266666667</v>
      </c>
      <c r="O212" s="10">
        <f t="shared" si="48"/>
        <v>4.578203267</v>
      </c>
      <c r="Q212" s="67">
        <v>60.126203</v>
      </c>
      <c r="S212" s="68">
        <v>0.086065988</v>
      </c>
      <c r="T212" s="68">
        <v>0.078268676</v>
      </c>
      <c r="U212" s="68">
        <v>0.003620996</v>
      </c>
      <c r="V212" s="68">
        <v>0.0041763161</v>
      </c>
      <c r="X212" s="69">
        <v>2.1441262E-4</v>
      </c>
      <c r="Y212" s="76" t="s">
        <v>141</v>
      </c>
      <c r="Z212" s="73" t="s">
        <v>439</v>
      </c>
    </row>
    <row r="213" ht="12.75" customHeight="1">
      <c r="A213" s="1" t="s">
        <v>440</v>
      </c>
      <c r="B213" s="2" t="s">
        <v>125</v>
      </c>
      <c r="C213" s="60" t="str">
        <f t="shared" si="45"/>
        <v>A.030.18.143</v>
      </c>
      <c r="D213" s="51" t="s">
        <v>356</v>
      </c>
      <c r="E213" s="62" t="s">
        <v>45</v>
      </c>
      <c r="F213" s="63" t="str">
        <f t="shared" si="46"/>
        <v>Hydrochloric acid (better is A.030.02.101. of plastic europe)</v>
      </c>
      <c r="G213" s="64">
        <v>2.670508510013812</v>
      </c>
      <c r="H213" s="10">
        <f t="shared" si="47"/>
        <v>2.67050851</v>
      </c>
      <c r="I213" s="65">
        <v>0.11646497480000001</v>
      </c>
      <c r="J213" s="65">
        <v>0.6614574691351</v>
      </c>
      <c r="K213" s="65">
        <v>0.0020185660787119942</v>
      </c>
      <c r="L213" s="65">
        <v>1.8905675</v>
      </c>
      <c r="N213" s="66">
        <v>12.603783333333334</v>
      </c>
      <c r="O213" s="10">
        <f t="shared" si="48"/>
        <v>12.60378333</v>
      </c>
      <c r="Q213" s="67">
        <v>351.41293</v>
      </c>
      <c r="S213" s="68">
        <v>0.36127228</v>
      </c>
      <c r="T213" s="68">
        <v>0.32408389</v>
      </c>
      <c r="U213" s="68">
        <v>0.012448993</v>
      </c>
      <c r="V213" s="68">
        <v>0.024739401</v>
      </c>
      <c r="X213" s="69">
        <v>9.8536235E-4</v>
      </c>
      <c r="Y213" s="76" t="s">
        <v>126</v>
      </c>
      <c r="Z213" s="73" t="s">
        <v>441</v>
      </c>
    </row>
    <row r="214" ht="12.75" customHeight="1">
      <c r="A214" s="1" t="s">
        <v>442</v>
      </c>
      <c r="B214" s="2" t="s">
        <v>125</v>
      </c>
      <c r="C214" s="60" t="str">
        <f t="shared" si="45"/>
        <v>A.030.18.144</v>
      </c>
      <c r="D214" s="51" t="s">
        <v>356</v>
      </c>
      <c r="E214" s="62" t="s">
        <v>45</v>
      </c>
      <c r="F214" s="63" t="str">
        <f t="shared" si="46"/>
        <v>Hydrogen from Reppe process</v>
      </c>
      <c r="G214" s="64">
        <v>0.8440372363900044</v>
      </c>
      <c r="H214" s="10">
        <f t="shared" si="47"/>
        <v>0.8440372364</v>
      </c>
      <c r="I214" s="65">
        <v>0.04011729364</v>
      </c>
      <c r="J214" s="65">
        <v>0.071114642668</v>
      </c>
      <c r="K214" s="65">
        <v>0.03274221008200438</v>
      </c>
      <c r="L214" s="65">
        <v>0.70006309</v>
      </c>
      <c r="N214" s="66">
        <v>4.667087266666667</v>
      </c>
      <c r="O214" s="10">
        <f t="shared" si="48"/>
        <v>4.667087267</v>
      </c>
      <c r="Q214" s="67">
        <v>107.11802</v>
      </c>
      <c r="S214" s="68">
        <v>0.094972434</v>
      </c>
      <c r="T214" s="68">
        <v>0.084136368</v>
      </c>
      <c r="U214" s="68">
        <v>0.0038140205</v>
      </c>
      <c r="V214" s="68">
        <v>0.0070220458</v>
      </c>
      <c r="X214" s="69">
        <v>2.8041831E-4</v>
      </c>
      <c r="Y214" s="79" t="s">
        <v>181</v>
      </c>
      <c r="Z214" s="73" t="s">
        <v>443</v>
      </c>
    </row>
    <row r="215" ht="12.75" customHeight="1">
      <c r="A215" s="1" t="s">
        <v>444</v>
      </c>
      <c r="B215" s="2" t="s">
        <v>125</v>
      </c>
      <c r="C215" s="60" t="str">
        <f t="shared" si="45"/>
        <v>A.030.18.145</v>
      </c>
      <c r="D215" s="51" t="s">
        <v>356</v>
      </c>
      <c r="E215" s="62" t="s">
        <v>45</v>
      </c>
      <c r="F215" s="63" t="str">
        <f t="shared" si="46"/>
        <v>Isobutyl acetate</v>
      </c>
      <c r="G215" s="64">
        <v>0.5184500973526083</v>
      </c>
      <c r="H215" s="10">
        <f t="shared" si="47"/>
        <v>0.5184500974</v>
      </c>
      <c r="I215" s="65">
        <v>0.021720382240000002</v>
      </c>
      <c r="J215" s="65">
        <v>0.05733161952</v>
      </c>
      <c r="K215" s="65">
        <v>0.00824765559260819</v>
      </c>
      <c r="L215" s="65">
        <v>0.43115044</v>
      </c>
      <c r="N215" s="66">
        <v>2.874336266666667</v>
      </c>
      <c r="O215" s="10">
        <f t="shared" si="48"/>
        <v>2.874336267</v>
      </c>
      <c r="Q215" s="67">
        <v>61.748428</v>
      </c>
      <c r="S215" s="68">
        <v>0.059344294</v>
      </c>
      <c r="T215" s="68">
        <v>0.052654148</v>
      </c>
      <c r="U215" s="68">
        <v>0.0023929218</v>
      </c>
      <c r="V215" s="68">
        <v>0.0042972245</v>
      </c>
      <c r="X215" s="69">
        <v>1.693718E-4</v>
      </c>
      <c r="Y215" s="76" t="s">
        <v>377</v>
      </c>
      <c r="Z215" s="73" t="s">
        <v>445</v>
      </c>
    </row>
    <row r="216" ht="12.75" customHeight="1">
      <c r="A216" s="1" t="s">
        <v>446</v>
      </c>
      <c r="B216" s="2" t="s">
        <v>125</v>
      </c>
      <c r="C216" s="60" t="str">
        <f t="shared" si="45"/>
        <v>A.030.18.146</v>
      </c>
      <c r="D216" s="51" t="s">
        <v>356</v>
      </c>
      <c r="E216" s="62" t="s">
        <v>45</v>
      </c>
      <c r="F216" s="63" t="str">
        <f t="shared" si="46"/>
        <v>Isopropyl acetate</v>
      </c>
      <c r="G216" s="64">
        <v>0.7484821670846081</v>
      </c>
      <c r="H216" s="10">
        <f t="shared" si="47"/>
        <v>0.7484821671</v>
      </c>
      <c r="I216" s="65">
        <v>0.13103704656</v>
      </c>
      <c r="J216" s="65">
        <v>0.06966840255000001</v>
      </c>
      <c r="K216" s="65">
        <v>0.0167356679746081</v>
      </c>
      <c r="L216" s="65">
        <v>0.53104105</v>
      </c>
      <c r="N216" s="66">
        <v>3.5402736666666668</v>
      </c>
      <c r="O216" s="10">
        <f t="shared" si="48"/>
        <v>3.540273667</v>
      </c>
      <c r="Q216" s="67">
        <v>65.900097</v>
      </c>
      <c r="S216" s="68">
        <v>0.07162661</v>
      </c>
      <c r="T216" s="68">
        <v>0.064193447</v>
      </c>
      <c r="U216" s="68">
        <v>0.0030883784</v>
      </c>
      <c r="V216" s="68">
        <v>0.0043447842</v>
      </c>
      <c r="X216" s="69">
        <v>2.1481764E-4</v>
      </c>
      <c r="Y216" s="76" t="s">
        <v>377</v>
      </c>
      <c r="Z216" s="73" t="s">
        <v>447</v>
      </c>
    </row>
    <row r="217" ht="12.75" customHeight="1">
      <c r="A217" s="1" t="s">
        <v>448</v>
      </c>
      <c r="B217" s="2" t="s">
        <v>125</v>
      </c>
      <c r="C217" s="60" t="str">
        <f t="shared" si="45"/>
        <v>A.030.18.147</v>
      </c>
      <c r="D217" s="51" t="s">
        <v>356</v>
      </c>
      <c r="E217" s="62" t="s">
        <v>45</v>
      </c>
      <c r="F217" s="63" t="str">
        <f t="shared" si="46"/>
        <v>Methyl acetate</v>
      </c>
      <c r="G217" s="64">
        <v>0.21520833099468145</v>
      </c>
      <c r="H217" s="10">
        <f t="shared" si="47"/>
        <v>0.215208331</v>
      </c>
      <c r="I217" s="65">
        <v>0.022996058449</v>
      </c>
      <c r="J217" s="65">
        <v>0.035646822613</v>
      </c>
      <c r="K217" s="65">
        <v>0.0052487899326814835</v>
      </c>
      <c r="L217" s="65">
        <v>0.15131666</v>
      </c>
      <c r="N217" s="66">
        <v>1.0087777333333334</v>
      </c>
      <c r="O217" s="10">
        <f t="shared" si="48"/>
        <v>1.008777733</v>
      </c>
      <c r="Q217" s="67">
        <v>41.435399</v>
      </c>
      <c r="S217" s="68">
        <v>0.025854169</v>
      </c>
      <c r="T217" s="68">
        <v>0.022017989</v>
      </c>
      <c r="U217" s="68">
        <v>9.7427356E-4</v>
      </c>
      <c r="V217" s="68">
        <v>0.0028619065</v>
      </c>
      <c r="X217" s="69">
        <v>9.2633813E-5</v>
      </c>
      <c r="Y217" s="76" t="s">
        <v>377</v>
      </c>
      <c r="Z217" s="73" t="s">
        <v>449</v>
      </c>
    </row>
    <row r="218" ht="12.75" customHeight="1">
      <c r="A218" s="1" t="s">
        <v>450</v>
      </c>
      <c r="B218" s="2" t="s">
        <v>125</v>
      </c>
      <c r="C218" s="60" t="str">
        <f t="shared" si="45"/>
        <v>A.030.18.148</v>
      </c>
      <c r="D218" s="51" t="s">
        <v>356</v>
      </c>
      <c r="E218" s="62" t="s">
        <v>45</v>
      </c>
      <c r="F218" s="63" t="str">
        <f t="shared" si="46"/>
        <v>Methyl ethyl ketone</v>
      </c>
      <c r="G218" s="64">
        <v>0.21520833099468145</v>
      </c>
      <c r="H218" s="10">
        <f t="shared" si="47"/>
        <v>0.215208331</v>
      </c>
      <c r="I218" s="65">
        <v>0.022996058449</v>
      </c>
      <c r="J218" s="65">
        <v>0.035646822613</v>
      </c>
      <c r="K218" s="65">
        <v>0.0052487899326814835</v>
      </c>
      <c r="L218" s="65">
        <v>0.15131666</v>
      </c>
      <c r="N218" s="66">
        <v>1.0087777333333334</v>
      </c>
      <c r="O218" s="10">
        <f t="shared" si="48"/>
        <v>1.008777733</v>
      </c>
      <c r="Q218" s="67">
        <v>41.435399</v>
      </c>
      <c r="S218" s="68">
        <v>0.025854169</v>
      </c>
      <c r="T218" s="68">
        <v>0.022017989</v>
      </c>
      <c r="U218" s="68">
        <v>9.7427356E-4</v>
      </c>
      <c r="V218" s="68">
        <v>0.0028619065</v>
      </c>
      <c r="X218" s="69">
        <v>9.2633813E-5</v>
      </c>
      <c r="Y218" s="76" t="s">
        <v>275</v>
      </c>
      <c r="Z218" s="73" t="s">
        <v>451</v>
      </c>
    </row>
    <row r="219" ht="12.75" customHeight="1">
      <c r="A219" s="1" t="s">
        <v>452</v>
      </c>
      <c r="B219" s="2" t="s">
        <v>125</v>
      </c>
      <c r="C219" s="60" t="str">
        <f t="shared" si="45"/>
        <v>A.030.18.149</v>
      </c>
      <c r="D219" s="51" t="s">
        <v>356</v>
      </c>
      <c r="E219" s="62" t="s">
        <v>45</v>
      </c>
      <c r="F219" s="63" t="str">
        <f t="shared" si="46"/>
        <v>Methyl formate</v>
      </c>
      <c r="G219" s="64">
        <v>0.504769665244202</v>
      </c>
      <c r="H219" s="10">
        <f t="shared" si="47"/>
        <v>0.5047696652</v>
      </c>
      <c r="I219" s="65">
        <v>0.035433495739999994</v>
      </c>
      <c r="J219" s="65">
        <v>0.06608374749999998</v>
      </c>
      <c r="K219" s="65">
        <v>0.02961186200420194</v>
      </c>
      <c r="L219" s="65">
        <v>0.37364056</v>
      </c>
      <c r="N219" s="66">
        <v>2.490937066666667</v>
      </c>
      <c r="O219" s="10">
        <f t="shared" si="48"/>
        <v>2.490937067</v>
      </c>
      <c r="Q219" s="67">
        <v>78.795201</v>
      </c>
      <c r="S219" s="68">
        <v>0.054529517</v>
      </c>
      <c r="T219" s="68">
        <v>0.047552291</v>
      </c>
      <c r="U219" s="68">
        <v>0.0020912239</v>
      </c>
      <c r="V219" s="68">
        <v>0.0048860018</v>
      </c>
      <c r="X219" s="69">
        <v>1.8082728E-4</v>
      </c>
      <c r="Y219" s="76" t="s">
        <v>377</v>
      </c>
      <c r="Z219" s="73" t="s">
        <v>453</v>
      </c>
    </row>
    <row r="220" ht="12.75" customHeight="1">
      <c r="A220" s="1" t="s">
        <v>454</v>
      </c>
      <c r="B220" s="2" t="s">
        <v>125</v>
      </c>
      <c r="C220" s="60" t="str">
        <f t="shared" si="45"/>
        <v>A.030.18.150</v>
      </c>
      <c r="D220" s="51" t="s">
        <v>356</v>
      </c>
      <c r="E220" s="62" t="s">
        <v>45</v>
      </c>
      <c r="F220" s="63" t="str">
        <f t="shared" si="46"/>
        <v>Methylcyclohexane</v>
      </c>
      <c r="G220" s="64">
        <v>1.0297205895751076</v>
      </c>
      <c r="H220" s="10">
        <f t="shared" si="47"/>
        <v>1.02972059</v>
      </c>
      <c r="I220" s="65">
        <v>0.166654789</v>
      </c>
      <c r="J220" s="65">
        <v>0.112387673231</v>
      </c>
      <c r="K220" s="65">
        <v>0.01568046734410755</v>
      </c>
      <c r="L220" s="65">
        <v>0.73499766</v>
      </c>
      <c r="N220" s="66">
        <v>4.8999844</v>
      </c>
      <c r="O220" s="10">
        <f t="shared" si="48"/>
        <v>4.8999844</v>
      </c>
      <c r="Q220" s="67">
        <v>106.82332</v>
      </c>
      <c r="S220" s="68">
        <v>0.10728416</v>
      </c>
      <c r="T220" s="68">
        <v>0.095696291</v>
      </c>
      <c r="U220" s="68">
        <v>0.0043287372</v>
      </c>
      <c r="V220" s="68">
        <v>0.0072591317</v>
      </c>
      <c r="X220" s="69">
        <v>3.2061681E-4</v>
      </c>
      <c r="Y220" s="76" t="s">
        <v>411</v>
      </c>
      <c r="Z220" s="73" t="s">
        <v>455</v>
      </c>
    </row>
    <row r="221" ht="12.75" customHeight="1">
      <c r="A221" s="1" t="s">
        <v>456</v>
      </c>
      <c r="B221" s="2" t="s">
        <v>125</v>
      </c>
      <c r="C221" s="60" t="str">
        <f t="shared" si="45"/>
        <v>A.030.18.151</v>
      </c>
      <c r="D221" s="51" t="s">
        <v>356</v>
      </c>
      <c r="E221" s="62" t="s">
        <v>45</v>
      </c>
      <c r="F221" s="63" t="str">
        <f t="shared" si="46"/>
        <v>Monochlorobenzene</v>
      </c>
      <c r="G221" s="64">
        <v>2.662962521713812</v>
      </c>
      <c r="H221" s="10">
        <f t="shared" si="47"/>
        <v>2.662962522</v>
      </c>
      <c r="I221" s="65">
        <v>0.1089189865</v>
      </c>
      <c r="J221" s="65">
        <v>0.6614574691351</v>
      </c>
      <c r="K221" s="65">
        <v>0.0020185660787119942</v>
      </c>
      <c r="L221" s="65">
        <v>1.8905675</v>
      </c>
      <c r="N221" s="66">
        <v>12.603783333333334</v>
      </c>
      <c r="O221" s="10">
        <f t="shared" si="48"/>
        <v>12.60378333</v>
      </c>
      <c r="Q221" s="67">
        <v>351.41293</v>
      </c>
      <c r="S221" s="68">
        <v>0.36127228</v>
      </c>
      <c r="T221" s="68">
        <v>0.32408389</v>
      </c>
      <c r="U221" s="68">
        <v>0.012448993</v>
      </c>
      <c r="V221" s="68">
        <v>0.024739401</v>
      </c>
      <c r="X221" s="69">
        <v>9.7624102E-4</v>
      </c>
      <c r="Y221" s="76" t="s">
        <v>457</v>
      </c>
      <c r="Z221" s="73" t="s">
        <v>458</v>
      </c>
    </row>
    <row r="222" ht="12.75" customHeight="1">
      <c r="A222" s="1" t="s">
        <v>459</v>
      </c>
      <c r="B222" s="2" t="s">
        <v>125</v>
      </c>
      <c r="C222" s="60" t="str">
        <f t="shared" si="45"/>
        <v>A.030.18.152</v>
      </c>
      <c r="D222" s="51" t="s">
        <v>356</v>
      </c>
      <c r="E222" s="62" t="s">
        <v>45</v>
      </c>
      <c r="F222" s="63" t="str">
        <f t="shared" si="46"/>
        <v>N-Dimethyl-2-pyrrolidone</v>
      </c>
      <c r="G222" s="64">
        <v>1.0750873928209217</v>
      </c>
      <c r="H222" s="10">
        <f t="shared" si="47"/>
        <v>1.075087393</v>
      </c>
      <c r="I222" s="65">
        <v>0.05237256779999999</v>
      </c>
      <c r="J222" s="65">
        <v>0.11575981321399999</v>
      </c>
      <c r="K222" s="65">
        <v>0.047087781806921816</v>
      </c>
      <c r="L222" s="65">
        <v>0.85986723</v>
      </c>
      <c r="N222" s="66">
        <v>5.7324482</v>
      </c>
      <c r="O222" s="10">
        <f t="shared" si="48"/>
        <v>5.7324482</v>
      </c>
      <c r="Q222" s="67">
        <v>127.67214</v>
      </c>
      <c r="S222" s="68">
        <v>0.11818531</v>
      </c>
      <c r="T222" s="68">
        <v>0.10528048</v>
      </c>
      <c r="U222" s="68">
        <v>0.0047673654</v>
      </c>
      <c r="V222" s="68">
        <v>0.0081374684</v>
      </c>
      <c r="X222" s="69">
        <v>3.4663645E-4</v>
      </c>
      <c r="Y222" s="76" t="s">
        <v>460</v>
      </c>
      <c r="Z222" s="73" t="s">
        <v>461</v>
      </c>
    </row>
    <row r="223" ht="12.75" customHeight="1">
      <c r="A223" s="1" t="s">
        <v>462</v>
      </c>
      <c r="B223" s="2" t="s">
        <v>125</v>
      </c>
      <c r="C223" s="60" t="str">
        <f t="shared" si="45"/>
        <v>A.030.18.153</v>
      </c>
      <c r="D223" s="51" t="s">
        <v>356</v>
      </c>
      <c r="E223" s="62" t="s">
        <v>45</v>
      </c>
      <c r="F223" s="63" t="str">
        <f t="shared" si="46"/>
        <v>N.N-Dimethylformamide</v>
      </c>
      <c r="G223" s="64">
        <v>0.4525250796261948</v>
      </c>
      <c r="H223" s="10">
        <f t="shared" si="47"/>
        <v>0.4525250796</v>
      </c>
      <c r="I223" s="65">
        <v>0.017612792770000003</v>
      </c>
      <c r="J223" s="65">
        <v>0.16206336106299998</v>
      </c>
      <c r="K223" s="65">
        <v>0.013997225793194843</v>
      </c>
      <c r="L223" s="65">
        <v>0.2588517</v>
      </c>
      <c r="N223" s="66">
        <v>1.7256780000000003</v>
      </c>
      <c r="O223" s="10">
        <f t="shared" si="48"/>
        <v>1.725678</v>
      </c>
      <c r="Q223" s="67">
        <v>46.797843</v>
      </c>
      <c r="S223" s="68">
        <v>0.038239055</v>
      </c>
      <c r="T223" s="68">
        <v>0.033705087</v>
      </c>
      <c r="U223" s="68">
        <v>0.001509827</v>
      </c>
      <c r="V223" s="68">
        <v>0.0030241414</v>
      </c>
      <c r="X223" s="69">
        <v>1.4737432E-4</v>
      </c>
      <c r="Y223" s="76" t="s">
        <v>377</v>
      </c>
      <c r="Z223" s="73" t="s">
        <v>463</v>
      </c>
    </row>
    <row r="224" ht="12.75" customHeight="1">
      <c r="A224" s="1" t="s">
        <v>464</v>
      </c>
      <c r="B224" s="2" t="s">
        <v>125</v>
      </c>
      <c r="C224" s="60" t="str">
        <f t="shared" si="45"/>
        <v>A.030.18.154</v>
      </c>
      <c r="D224" s="51" t="s">
        <v>356</v>
      </c>
      <c r="E224" s="62" t="s">
        <v>45</v>
      </c>
      <c r="F224" s="63" t="str">
        <f t="shared" si="46"/>
        <v>o-dichlorobenzene</v>
      </c>
      <c r="G224" s="64">
        <v>2.662962521713812</v>
      </c>
      <c r="H224" s="10">
        <f t="shared" si="47"/>
        <v>2.662962522</v>
      </c>
      <c r="I224" s="65">
        <v>0.1089189865</v>
      </c>
      <c r="J224" s="65">
        <v>0.6614574691351</v>
      </c>
      <c r="K224" s="65">
        <v>0.0020185660787119942</v>
      </c>
      <c r="L224" s="65">
        <v>1.8905675</v>
      </c>
      <c r="N224" s="66">
        <v>12.603783333333334</v>
      </c>
      <c r="O224" s="10">
        <f t="shared" si="48"/>
        <v>12.60378333</v>
      </c>
      <c r="Q224" s="67">
        <v>351.41293</v>
      </c>
      <c r="S224" s="68">
        <v>0.36127228</v>
      </c>
      <c r="T224" s="68">
        <v>0.32408389</v>
      </c>
      <c r="U224" s="68">
        <v>0.012448993</v>
      </c>
      <c r="V224" s="68">
        <v>0.024739401</v>
      </c>
      <c r="X224" s="69">
        <v>9.7624102E-4</v>
      </c>
      <c r="Y224" s="76" t="s">
        <v>457</v>
      </c>
      <c r="Z224" s="73" t="s">
        <v>465</v>
      </c>
    </row>
    <row r="225" ht="12.75" customHeight="1">
      <c r="A225" s="1" t="s">
        <v>466</v>
      </c>
      <c r="B225" s="2" t="s">
        <v>125</v>
      </c>
      <c r="C225" s="60" t="str">
        <f t="shared" si="45"/>
        <v>A.030.18.155</v>
      </c>
      <c r="D225" s="51" t="s">
        <v>356</v>
      </c>
      <c r="E225" s="62" t="s">
        <v>45</v>
      </c>
      <c r="F225" s="63" t="str">
        <f t="shared" si="46"/>
        <v>p-dichlorobenzene</v>
      </c>
      <c r="G225" s="64">
        <v>2.662962521713812</v>
      </c>
      <c r="H225" s="10">
        <f t="shared" si="47"/>
        <v>2.662962522</v>
      </c>
      <c r="I225" s="65">
        <v>0.1089189865</v>
      </c>
      <c r="J225" s="65">
        <v>0.6614574691351</v>
      </c>
      <c r="K225" s="65">
        <v>0.0020185660787119942</v>
      </c>
      <c r="L225" s="65">
        <v>1.8905675</v>
      </c>
      <c r="N225" s="66">
        <v>12.603783333333334</v>
      </c>
      <c r="O225" s="10">
        <f t="shared" si="48"/>
        <v>12.60378333</v>
      </c>
      <c r="Q225" s="67">
        <v>351.41293</v>
      </c>
      <c r="S225" s="68">
        <v>0.36127228</v>
      </c>
      <c r="T225" s="68">
        <v>0.32408389</v>
      </c>
      <c r="U225" s="68">
        <v>0.012448993</v>
      </c>
      <c r="V225" s="68">
        <v>0.024739401</v>
      </c>
      <c r="X225" s="69">
        <v>9.7624102E-4</v>
      </c>
      <c r="Y225" s="76" t="s">
        <v>457</v>
      </c>
      <c r="Z225" s="73" t="s">
        <v>467</v>
      </c>
    </row>
    <row r="226" ht="12.75" customHeight="1">
      <c r="A226" s="1" t="s">
        <v>468</v>
      </c>
      <c r="B226" s="2" t="s">
        <v>125</v>
      </c>
      <c r="C226" s="60" t="str">
        <f t="shared" si="45"/>
        <v>A.030.18.156</v>
      </c>
      <c r="D226" s="51" t="s">
        <v>356</v>
      </c>
      <c r="E226" s="62" t="s">
        <v>45</v>
      </c>
      <c r="F226" s="63" t="str">
        <f t="shared" si="46"/>
        <v>Propanal</v>
      </c>
      <c r="G226" s="64">
        <v>0.6359174747665252</v>
      </c>
      <c r="H226" s="10">
        <f t="shared" si="47"/>
        <v>0.6359174748</v>
      </c>
      <c r="I226" s="65">
        <v>0.03462902632</v>
      </c>
      <c r="J226" s="65">
        <v>0.070997034995</v>
      </c>
      <c r="K226" s="65">
        <v>0.010144793451525202</v>
      </c>
      <c r="L226" s="65">
        <v>0.52014662</v>
      </c>
      <c r="N226" s="66">
        <v>3.4676441333333337</v>
      </c>
      <c r="O226" s="10">
        <f t="shared" si="48"/>
        <v>3.467644133</v>
      </c>
      <c r="Q226" s="67">
        <v>73.111311</v>
      </c>
      <c r="S226" s="68">
        <v>0.073554757</v>
      </c>
      <c r="T226" s="68">
        <v>0.065670779</v>
      </c>
      <c r="U226" s="68">
        <v>0.0029039966</v>
      </c>
      <c r="V226" s="68">
        <v>0.0049799812</v>
      </c>
      <c r="X226" s="69">
        <v>2.0502079E-4</v>
      </c>
      <c r="Y226" s="76" t="s">
        <v>275</v>
      </c>
      <c r="Z226" s="73" t="s">
        <v>469</v>
      </c>
    </row>
    <row r="227" ht="12.75" customHeight="1">
      <c r="A227" s="1" t="s">
        <v>470</v>
      </c>
      <c r="B227" s="2" t="s">
        <v>125</v>
      </c>
      <c r="C227" s="60" t="str">
        <f t="shared" si="45"/>
        <v>A.030.18.157</v>
      </c>
      <c r="D227" s="51" t="s">
        <v>356</v>
      </c>
      <c r="E227" s="62" t="s">
        <v>45</v>
      </c>
      <c r="F227" s="63" t="str">
        <f t="shared" si="46"/>
        <v>Propanol</v>
      </c>
      <c r="G227" s="64">
        <v>0.9333302318585214</v>
      </c>
      <c r="H227" s="10">
        <f t="shared" si="47"/>
        <v>0.9333302319</v>
      </c>
      <c r="I227" s="65">
        <v>0.19925261543</v>
      </c>
      <c r="J227" s="65">
        <v>0.079547984915</v>
      </c>
      <c r="K227" s="65">
        <v>0.02158944151352135</v>
      </c>
      <c r="L227" s="65">
        <v>0.63294019</v>
      </c>
      <c r="N227" s="66">
        <v>4.219601266666667</v>
      </c>
      <c r="O227" s="10">
        <f t="shared" si="48"/>
        <v>4.219601267</v>
      </c>
      <c r="Q227" s="67">
        <v>85.412274</v>
      </c>
      <c r="S227" s="68">
        <v>0.088011485</v>
      </c>
      <c r="T227" s="68">
        <v>0.078666401</v>
      </c>
      <c r="U227" s="68">
        <v>0.0037857136</v>
      </c>
      <c r="V227" s="68">
        <v>0.0055593699</v>
      </c>
      <c r="X227" s="69">
        <v>2.7281872E-4</v>
      </c>
      <c r="Y227" s="76" t="s">
        <v>305</v>
      </c>
      <c r="Z227" s="73" t="s">
        <v>471</v>
      </c>
    </row>
    <row r="228" ht="12.75" customHeight="1">
      <c r="A228" s="1" t="s">
        <v>472</v>
      </c>
      <c r="B228" s="2" t="s">
        <v>125</v>
      </c>
      <c r="C228" s="60" t="str">
        <f t="shared" si="45"/>
        <v>A.030.18.158</v>
      </c>
      <c r="D228" s="51" t="s">
        <v>356</v>
      </c>
      <c r="E228" s="62" t="s">
        <v>45</v>
      </c>
      <c r="F228" s="63" t="str">
        <f t="shared" si="46"/>
        <v>Propylene ammooxidation</v>
      </c>
      <c r="G228" s="64">
        <v>0.9119868115986953</v>
      </c>
      <c r="H228" s="10">
        <f t="shared" si="47"/>
        <v>0.9119868116</v>
      </c>
      <c r="I228" s="65">
        <v>0.022573592580000003</v>
      </c>
      <c r="J228" s="65">
        <v>0.28305564455500004</v>
      </c>
      <c r="K228" s="65">
        <v>0.01505121446369528</v>
      </c>
      <c r="L228" s="65">
        <v>0.59130636</v>
      </c>
      <c r="N228" s="66">
        <v>3.9420424000000005</v>
      </c>
      <c r="O228" s="10">
        <f t="shared" si="48"/>
        <v>3.9420424</v>
      </c>
      <c r="Q228" s="67">
        <v>80.015851</v>
      </c>
      <c r="S228" s="68">
        <v>0.098194753</v>
      </c>
      <c r="T228" s="68">
        <v>0.088936639</v>
      </c>
      <c r="U228" s="68">
        <v>0.003841856</v>
      </c>
      <c r="V228" s="68">
        <v>0.0054162579</v>
      </c>
      <c r="X228" s="69">
        <v>2.9840896E-4</v>
      </c>
      <c r="Y228" s="79" t="s">
        <v>181</v>
      </c>
      <c r="Z228" s="73" t="s">
        <v>473</v>
      </c>
    </row>
    <row r="229" ht="12.75" customHeight="1">
      <c r="A229" s="1" t="s">
        <v>474</v>
      </c>
      <c r="B229" s="2" t="s">
        <v>125</v>
      </c>
      <c r="C229" s="60" t="str">
        <f t="shared" si="45"/>
        <v>A.030.18.159</v>
      </c>
      <c r="D229" s="51" t="s">
        <v>356</v>
      </c>
      <c r="E229" s="62" t="s">
        <v>45</v>
      </c>
      <c r="F229" s="63" t="str">
        <f t="shared" si="46"/>
        <v>Propylene hydroformylation</v>
      </c>
      <c r="G229" s="64">
        <v>1.1930409738367307</v>
      </c>
      <c r="H229" s="10">
        <f t="shared" si="47"/>
        <v>1.193040974</v>
      </c>
      <c r="I229" s="65">
        <v>0.03196461118999999</v>
      </c>
      <c r="J229" s="65">
        <v>0.085395134002</v>
      </c>
      <c r="K229" s="65">
        <v>0.011030928644730738</v>
      </c>
      <c r="L229" s="65">
        <v>1.0646503</v>
      </c>
      <c r="N229" s="66">
        <v>7.097668666666667</v>
      </c>
      <c r="O229" s="10">
        <f t="shared" si="48"/>
        <v>7.097668667</v>
      </c>
      <c r="Q229" s="67">
        <v>109.35108</v>
      </c>
      <c r="S229" s="68">
        <v>0.13899821</v>
      </c>
      <c r="T229" s="68">
        <v>0.12561958</v>
      </c>
      <c r="U229" s="68">
        <v>0.0057631833</v>
      </c>
      <c r="V229" s="68">
        <v>0.0076154495</v>
      </c>
      <c r="X229" s="69">
        <v>3.5356873E-4</v>
      </c>
      <c r="Y229" s="79" t="s">
        <v>181</v>
      </c>
      <c r="Z229" s="73" t="s">
        <v>475</v>
      </c>
    </row>
    <row r="230" ht="12.75" customHeight="1">
      <c r="A230" s="1" t="s">
        <v>476</v>
      </c>
      <c r="B230" s="2" t="s">
        <v>125</v>
      </c>
      <c r="C230" s="60" t="str">
        <f t="shared" si="45"/>
        <v>A.030.18.160</v>
      </c>
      <c r="D230" s="51" t="s">
        <v>356</v>
      </c>
      <c r="E230" s="62" t="s">
        <v>45</v>
      </c>
      <c r="F230" s="63" t="str">
        <f t="shared" si="46"/>
        <v>Tetrahydrofuran</v>
      </c>
      <c r="G230" s="64">
        <v>0.9531162945313985</v>
      </c>
      <c r="H230" s="10">
        <f t="shared" si="47"/>
        <v>0.9531162945</v>
      </c>
      <c r="I230" s="65">
        <v>0.0618730908</v>
      </c>
      <c r="J230" s="65">
        <v>-0.1844467251</v>
      </c>
      <c r="K230" s="65">
        <v>0.24964626883139843</v>
      </c>
      <c r="L230" s="65">
        <v>0.82604366</v>
      </c>
      <c r="N230" s="66">
        <v>5.5069577333333335</v>
      </c>
      <c r="O230" s="10">
        <f t="shared" si="48"/>
        <v>5.506957733</v>
      </c>
      <c r="Q230" s="67">
        <v>161.97397</v>
      </c>
      <c r="S230" s="68">
        <v>0.11865221</v>
      </c>
      <c r="T230" s="68">
        <v>0.10321856</v>
      </c>
      <c r="U230" s="68">
        <v>0.0045710139</v>
      </c>
      <c r="V230" s="68">
        <v>0.010862646</v>
      </c>
      <c r="X230" s="69">
        <v>3.8465439E-4</v>
      </c>
      <c r="Y230" s="76" t="s">
        <v>477</v>
      </c>
      <c r="Z230" s="73" t="s">
        <v>478</v>
      </c>
    </row>
    <row r="231" ht="12.75" customHeight="1">
      <c r="B231" s="2"/>
      <c r="C231" s="60"/>
      <c r="D231" s="75" t="s">
        <v>479</v>
      </c>
      <c r="E231" s="62"/>
      <c r="G231" s="10"/>
      <c r="H231" s="10"/>
      <c r="I231" s="10"/>
      <c r="J231" s="10"/>
      <c r="K231" s="10"/>
      <c r="L231" s="10"/>
      <c r="N231" s="10"/>
      <c r="O231" s="10"/>
      <c r="Q231" s="67"/>
      <c r="Y231" s="71"/>
      <c r="Z231" s="84"/>
    </row>
    <row r="232" ht="12.75" customHeight="1">
      <c r="A232" s="1" t="s">
        <v>480</v>
      </c>
      <c r="B232" s="2" t="s">
        <v>125</v>
      </c>
      <c r="C232" s="60" t="str">
        <f>MID(A232,1,12)</f>
        <v>A.030.22.101</v>
      </c>
      <c r="D232" s="51" t="s">
        <v>479</v>
      </c>
      <c r="E232" s="62" t="s">
        <v>45</v>
      </c>
      <c r="F232" s="63" t="str">
        <f>MID(A232, 21,85)</f>
        <v>Pesticides (unspecified)</v>
      </c>
      <c r="G232" s="64">
        <v>3.909579805837328</v>
      </c>
      <c r="H232" s="10">
        <f>G232</f>
        <v>3.909579806</v>
      </c>
      <c r="I232" s="65">
        <v>0.1627310147</v>
      </c>
      <c r="J232" s="65">
        <v>0.41619102808</v>
      </c>
      <c r="K232" s="65">
        <v>0.5496846630573278</v>
      </c>
      <c r="L232" s="65">
        <v>2.7809731</v>
      </c>
      <c r="N232" s="66">
        <v>18.539820666666667</v>
      </c>
      <c r="O232" s="10">
        <f>N232</f>
        <v>18.53982067</v>
      </c>
      <c r="Q232" s="67">
        <v>282.26316</v>
      </c>
      <c r="S232" s="68">
        <v>0.40272887</v>
      </c>
      <c r="T232" s="68">
        <v>0.37128644</v>
      </c>
      <c r="U232" s="68">
        <v>0.015765218</v>
      </c>
      <c r="V232" s="68">
        <v>0.015677215</v>
      </c>
      <c r="X232" s="69">
        <v>9.7612718E-4</v>
      </c>
      <c r="Y232" s="79" t="s">
        <v>181</v>
      </c>
      <c r="Z232" s="72"/>
    </row>
    <row r="233" ht="12.75" customHeight="1">
      <c r="B233" s="2"/>
      <c r="C233" s="60"/>
      <c r="D233" s="75" t="s">
        <v>481</v>
      </c>
      <c r="E233" s="62"/>
      <c r="G233" s="10"/>
      <c r="H233" s="10"/>
      <c r="I233" s="10"/>
      <c r="J233" s="10"/>
      <c r="K233" s="10"/>
      <c r="L233" s="10"/>
      <c r="N233" s="10"/>
      <c r="O233" s="10"/>
      <c r="Q233" s="67"/>
      <c r="Y233" s="71"/>
      <c r="Z233" s="72"/>
    </row>
    <row r="234" ht="12.75" customHeight="1">
      <c r="A234" s="1" t="s">
        <v>482</v>
      </c>
      <c r="B234" s="2" t="s">
        <v>125</v>
      </c>
      <c r="C234" s="60" t="str">
        <f t="shared" ref="C234:C237" si="49">MID(A234,1,12)</f>
        <v>A.030.23.101</v>
      </c>
      <c r="D234" s="51" t="s">
        <v>481</v>
      </c>
      <c r="E234" s="62" t="s">
        <v>45</v>
      </c>
      <c r="F234" s="63" t="str">
        <f t="shared" ref="F234:F237" si="50">MID(A234, 21,85)</f>
        <v>Benomyl (1-(Butylcarbamoyl)-1H-1.3-benzimidazol-2-yl methylcarbamate)</v>
      </c>
      <c r="G234" s="64">
        <v>3.050881497704</v>
      </c>
      <c r="H234" s="10">
        <f t="shared" ref="H234:H237" si="51">G234</f>
        <v>3.050881498</v>
      </c>
      <c r="I234" s="65">
        <v>0.1250309163</v>
      </c>
      <c r="J234" s="65">
        <v>0.257930998304</v>
      </c>
      <c r="K234" s="65">
        <v>0.17719518310000001</v>
      </c>
      <c r="L234" s="65">
        <v>2.4907244</v>
      </c>
      <c r="N234" s="66">
        <v>16.604829333333335</v>
      </c>
      <c r="O234" s="10">
        <f t="shared" ref="O234:O237" si="52">N234</f>
        <v>16.60482933</v>
      </c>
      <c r="Q234" s="67">
        <v>263.32814</v>
      </c>
      <c r="S234" s="68">
        <v>0.33174194</v>
      </c>
      <c r="T234" s="68">
        <v>0.3046802</v>
      </c>
      <c r="U234" s="68">
        <v>0.01355524</v>
      </c>
      <c r="V234" s="68">
        <v>0.013506493</v>
      </c>
      <c r="X234" s="69">
        <v>8.4023983E-4</v>
      </c>
      <c r="Y234" s="85" t="s">
        <v>483</v>
      </c>
      <c r="Z234" s="73" t="s">
        <v>484</v>
      </c>
    </row>
    <row r="235" ht="12.75" customHeight="1">
      <c r="A235" s="1" t="s">
        <v>485</v>
      </c>
      <c r="B235" s="2" t="s">
        <v>125</v>
      </c>
      <c r="C235" s="60" t="str">
        <f t="shared" si="49"/>
        <v>A.030.23.102</v>
      </c>
      <c r="D235" s="51" t="s">
        <v>481</v>
      </c>
      <c r="E235" s="62" t="s">
        <v>45</v>
      </c>
      <c r="F235" s="63" t="str">
        <f t="shared" si="50"/>
        <v>Captan ((3aR.7aS)-2-[(Trichloromethyl)sulfanyl]-3a.4.7.7a-te</v>
      </c>
      <c r="G235" s="64">
        <v>0.8606613781796</v>
      </c>
      <c r="H235" s="10">
        <f t="shared" si="51"/>
        <v>0.8606613782</v>
      </c>
      <c r="I235" s="65">
        <v>0.03091827045</v>
      </c>
      <c r="J235" s="65">
        <v>0.0531411859296</v>
      </c>
      <c r="K235" s="65">
        <v>0.0729922918</v>
      </c>
      <c r="L235" s="65">
        <v>0.70360963</v>
      </c>
      <c r="N235" s="66">
        <v>4.690730866666667</v>
      </c>
      <c r="O235" s="10">
        <f t="shared" si="52"/>
        <v>4.690730867</v>
      </c>
      <c r="Q235" s="67">
        <v>78.746006</v>
      </c>
      <c r="S235" s="68">
        <v>0.088120303</v>
      </c>
      <c r="T235" s="68">
        <v>0.080998021</v>
      </c>
      <c r="U235" s="68">
        <v>0.0037352955</v>
      </c>
      <c r="V235" s="68">
        <v>0.0033869866</v>
      </c>
      <c r="X235" s="69">
        <v>2.3313974E-4</v>
      </c>
      <c r="Y235" s="85" t="s">
        <v>486</v>
      </c>
      <c r="Z235" s="73" t="s">
        <v>487</v>
      </c>
    </row>
    <row r="236" ht="12.75" customHeight="1">
      <c r="A236" s="1" t="s">
        <v>488</v>
      </c>
      <c r="B236" s="2" t="s">
        <v>125</v>
      </c>
      <c r="C236" s="60" t="str">
        <f t="shared" si="49"/>
        <v>A.030.23.103</v>
      </c>
      <c r="D236" s="51" t="s">
        <v>481</v>
      </c>
      <c r="E236" s="62" t="s">
        <v>45</v>
      </c>
      <c r="F236" s="63" t="str">
        <f t="shared" si="50"/>
        <v>Ferbam (Iron(III) Dimethyldithiocarbamate)</v>
      </c>
      <c r="G236" s="64">
        <v>0.696832444559</v>
      </c>
      <c r="H236" s="10">
        <f t="shared" si="51"/>
        <v>0.6968324446</v>
      </c>
      <c r="I236" s="65">
        <v>0.027138931529999997</v>
      </c>
      <c r="J236" s="65">
        <v>0.041088226819</v>
      </c>
      <c r="K236" s="65">
        <v>0.02238267621</v>
      </c>
      <c r="L236" s="65">
        <v>0.60622261</v>
      </c>
      <c r="N236" s="66">
        <v>4.0414840666666665</v>
      </c>
      <c r="O236" s="10">
        <f t="shared" si="52"/>
        <v>4.041484067</v>
      </c>
      <c r="Q236" s="67">
        <v>62.179675</v>
      </c>
      <c r="S236" s="68">
        <v>0.075280088</v>
      </c>
      <c r="T236" s="68">
        <v>0.068252441</v>
      </c>
      <c r="U236" s="68">
        <v>0.0031906552</v>
      </c>
      <c r="V236" s="68">
        <v>0.0038369925</v>
      </c>
      <c r="X236" s="69">
        <v>1.9851544E-4</v>
      </c>
      <c r="Y236" s="85" t="s">
        <v>489</v>
      </c>
      <c r="Z236" s="73" t="s">
        <v>490</v>
      </c>
    </row>
    <row r="237" ht="12.75" customHeight="1">
      <c r="A237" s="1" t="s">
        <v>491</v>
      </c>
      <c r="B237" s="2" t="s">
        <v>125</v>
      </c>
      <c r="C237" s="60" t="str">
        <f t="shared" si="49"/>
        <v>A.030.23.104</v>
      </c>
      <c r="D237" s="51" t="s">
        <v>481</v>
      </c>
      <c r="E237" s="62" t="s">
        <v>45</v>
      </c>
      <c r="F237" s="63" t="str">
        <f t="shared" si="50"/>
        <v>Maneb ( [[2-[(Dithio Carboxyl)amino]ethyl]carbodithioate]](2-)-kS,kS']manganese)</v>
      </c>
      <c r="G237" s="64">
        <v>0.7930759292299999</v>
      </c>
      <c r="H237" s="10">
        <f t="shared" si="51"/>
        <v>0.7930759292</v>
      </c>
      <c r="I237" s="65">
        <v>0.037003061829999996</v>
      </c>
      <c r="J237" s="65">
        <v>0.093847761</v>
      </c>
      <c r="K237" s="65">
        <v>0.036846076400000004</v>
      </c>
      <c r="L237" s="65">
        <v>0.62537903</v>
      </c>
      <c r="N237" s="66">
        <v>4.169193533333333</v>
      </c>
      <c r="O237" s="10">
        <f t="shared" si="52"/>
        <v>4.169193533</v>
      </c>
      <c r="Q237" s="67">
        <v>63.509018</v>
      </c>
      <c r="S237" s="68">
        <v>0.091152413</v>
      </c>
      <c r="T237" s="68">
        <v>0.084165596</v>
      </c>
      <c r="U237" s="68">
        <v>0.0035450423</v>
      </c>
      <c r="V237" s="68">
        <v>0.0034417744</v>
      </c>
      <c r="X237" s="69">
        <v>2.179642E-4</v>
      </c>
      <c r="Y237" s="85" t="s">
        <v>181</v>
      </c>
      <c r="Z237" s="73" t="s">
        <v>492</v>
      </c>
    </row>
    <row r="238" ht="12.75" customHeight="1">
      <c r="B238" s="2"/>
      <c r="C238" s="60"/>
      <c r="D238" s="75" t="s">
        <v>493</v>
      </c>
      <c r="E238" s="62"/>
      <c r="G238" s="10"/>
      <c r="H238" s="10"/>
      <c r="I238" s="10"/>
      <c r="J238" s="10"/>
      <c r="K238" s="10"/>
      <c r="L238" s="10"/>
      <c r="N238" s="10"/>
      <c r="O238" s="10"/>
      <c r="Q238" s="67"/>
      <c r="Y238" s="71"/>
      <c r="Z238" s="72"/>
    </row>
    <row r="239" ht="12.75" customHeight="1">
      <c r="A239" s="1" t="s">
        <v>494</v>
      </c>
      <c r="B239" s="2" t="s">
        <v>125</v>
      </c>
      <c r="C239" s="60" t="str">
        <f t="shared" ref="C239:C261" si="53">MID(A239,1,12)</f>
        <v>A.030.24.101</v>
      </c>
      <c r="D239" s="51" t="s">
        <v>493</v>
      </c>
      <c r="E239" s="62" t="s">
        <v>45</v>
      </c>
      <c r="F239" s="63" t="str">
        <f t="shared" ref="F239:F261" si="54">MID(A239, 21,85)</f>
        <v>2.4-D (2.4-Dichlorophenoxyacetic acid)</v>
      </c>
      <c r="G239" s="64">
        <v>0.9010766411869999</v>
      </c>
      <c r="H239" s="10">
        <f t="shared" ref="H239:H273" si="55">G239</f>
        <v>0.9010766412</v>
      </c>
      <c r="I239" s="65">
        <v>0.04148404352</v>
      </c>
      <c r="J239" s="65">
        <v>0.099963174567</v>
      </c>
      <c r="K239" s="65">
        <v>0.0355249131</v>
      </c>
      <c r="L239" s="65">
        <v>0.72410451</v>
      </c>
      <c r="N239" s="66">
        <v>4.8273634</v>
      </c>
      <c r="O239" s="10">
        <f t="shared" ref="O239:O261" si="56">N239</f>
        <v>4.8273634</v>
      </c>
      <c r="Q239" s="67">
        <v>72.940397</v>
      </c>
      <c r="S239" s="68">
        <v>0.10333315</v>
      </c>
      <c r="T239" s="68">
        <v>0.095092599</v>
      </c>
      <c r="U239" s="68">
        <v>0.0040612635</v>
      </c>
      <c r="V239" s="68">
        <v>0.0041792902</v>
      </c>
      <c r="X239" s="69">
        <v>2.5000437E-4</v>
      </c>
      <c r="Y239" s="85" t="s">
        <v>495</v>
      </c>
      <c r="Z239" s="73" t="s">
        <v>496</v>
      </c>
    </row>
    <row r="240" ht="12.75" customHeight="1">
      <c r="A240" s="1" t="s">
        <v>497</v>
      </c>
      <c r="B240" s="2" t="s">
        <v>125</v>
      </c>
      <c r="C240" s="60" t="str">
        <f t="shared" si="53"/>
        <v>A.030.24.102</v>
      </c>
      <c r="D240" s="51" t="s">
        <v>493</v>
      </c>
      <c r="E240" s="62" t="s">
        <v>45</v>
      </c>
      <c r="F240" s="63" t="str">
        <f t="shared" si="54"/>
        <v>2.4.5-T (2.4.5-Trichlorophenoxyacetic acid)</v>
      </c>
      <c r="G240" s="64">
        <v>1.016553744408</v>
      </c>
      <c r="H240" s="10">
        <f t="shared" si="55"/>
        <v>1.016553744</v>
      </c>
      <c r="I240" s="65">
        <v>0.03943765363000001</v>
      </c>
      <c r="J240" s="65">
        <v>0.07179479007799999</v>
      </c>
      <c r="K240" s="65">
        <v>0.0615433307</v>
      </c>
      <c r="L240" s="65">
        <v>0.84377797</v>
      </c>
      <c r="N240" s="66">
        <v>5.625186466666666</v>
      </c>
      <c r="O240" s="10">
        <f t="shared" si="56"/>
        <v>5.625186467</v>
      </c>
      <c r="Q240" s="67">
        <v>90.228249</v>
      </c>
      <c r="S240" s="68">
        <v>0.10821219</v>
      </c>
      <c r="T240" s="68">
        <v>0.099090434</v>
      </c>
      <c r="U240" s="68">
        <v>0.0045159459</v>
      </c>
      <c r="V240" s="68">
        <v>0.0046058106</v>
      </c>
      <c r="X240" s="69">
        <v>2.8082325E-4</v>
      </c>
      <c r="Y240" s="85" t="s">
        <v>495</v>
      </c>
      <c r="Z240" s="73" t="s">
        <v>498</v>
      </c>
    </row>
    <row r="241" ht="12.75" customHeight="1">
      <c r="A241" s="1" t="s">
        <v>499</v>
      </c>
      <c r="B241" s="2" t="s">
        <v>125</v>
      </c>
      <c r="C241" s="60" t="str">
        <f t="shared" si="53"/>
        <v>A.030.24.103</v>
      </c>
      <c r="D241" s="51" t="s">
        <v>493</v>
      </c>
      <c r="E241" s="62" t="s">
        <v>45</v>
      </c>
      <c r="F241" s="63" t="str">
        <f t="shared" si="54"/>
        <v>Alachlor (2-Chloro-N-(2.6-diethylphenyl)-N-(methoxymethyl)acetamide)</v>
      </c>
      <c r="G241" s="64">
        <v>2.008030527907</v>
      </c>
      <c r="H241" s="10">
        <f t="shared" si="55"/>
        <v>2.008030528</v>
      </c>
      <c r="I241" s="65">
        <v>0.08386084493</v>
      </c>
      <c r="J241" s="65">
        <v>0.184065796277</v>
      </c>
      <c r="K241" s="65">
        <v>0.12453228670000001</v>
      </c>
      <c r="L241" s="65">
        <v>1.6155716</v>
      </c>
      <c r="N241" s="66">
        <v>10.770477333333334</v>
      </c>
      <c r="O241" s="10">
        <f t="shared" si="56"/>
        <v>10.77047733</v>
      </c>
      <c r="Q241" s="67">
        <v>171.34317</v>
      </c>
      <c r="S241" s="68">
        <v>0.21949811</v>
      </c>
      <c r="T241" s="68">
        <v>0.20214359</v>
      </c>
      <c r="U241" s="68">
        <v>0.0088755857</v>
      </c>
      <c r="V241" s="68">
        <v>0.008478935</v>
      </c>
      <c r="X241" s="69">
        <v>5.4945118E-4</v>
      </c>
      <c r="Y241" s="85" t="s">
        <v>500</v>
      </c>
      <c r="Z241" s="73" t="s">
        <v>501</v>
      </c>
    </row>
    <row r="242" ht="12.75" customHeight="1">
      <c r="A242" s="1" t="s">
        <v>502</v>
      </c>
      <c r="B242" s="2" t="s">
        <v>125</v>
      </c>
      <c r="C242" s="60" t="str">
        <f t="shared" si="53"/>
        <v>A.030.24.104</v>
      </c>
      <c r="D242" s="51" t="s">
        <v>493</v>
      </c>
      <c r="E242" s="62" t="s">
        <v>45</v>
      </c>
      <c r="F242" s="63" t="str">
        <f t="shared" si="54"/>
        <v>Bentazone (3-isopropyl-2.1.3-benzothiadiazine-4-one-2.2-dioxide)</v>
      </c>
      <c r="G242" s="64">
        <v>3.3457728543389997</v>
      </c>
      <c r="H242" s="10">
        <f t="shared" si="55"/>
        <v>3.345772854</v>
      </c>
      <c r="I242" s="65">
        <v>0.158431959</v>
      </c>
      <c r="J242" s="65">
        <v>0.41914664523899997</v>
      </c>
      <c r="K242" s="65">
        <v>0.1716786501</v>
      </c>
      <c r="L242" s="65">
        <v>2.5965156</v>
      </c>
      <c r="N242" s="66">
        <v>17.310104000000003</v>
      </c>
      <c r="O242" s="10">
        <f t="shared" si="56"/>
        <v>17.310104</v>
      </c>
      <c r="Q242" s="67">
        <v>264.89621</v>
      </c>
      <c r="S242" s="68">
        <v>0.38602928</v>
      </c>
      <c r="T242" s="68">
        <v>0.35741023</v>
      </c>
      <c r="U242" s="68">
        <v>0.014865275</v>
      </c>
      <c r="V242" s="68">
        <v>0.013753774</v>
      </c>
      <c r="X242" s="69">
        <v>9.128374E-4</v>
      </c>
      <c r="Y242" s="85" t="s">
        <v>503</v>
      </c>
      <c r="Z242" s="73" t="s">
        <v>504</v>
      </c>
    </row>
    <row r="243" ht="12.75" customHeight="1">
      <c r="A243" s="1" t="s">
        <v>505</v>
      </c>
      <c r="B243" s="2" t="s">
        <v>125</v>
      </c>
      <c r="C243" s="60" t="str">
        <f t="shared" si="53"/>
        <v>A.030.24.105</v>
      </c>
      <c r="D243" s="51" t="s">
        <v>493</v>
      </c>
      <c r="E243" s="62" t="s">
        <v>45</v>
      </c>
      <c r="F243" s="63" t="str">
        <f t="shared" si="54"/>
        <v>Butylate (Butylated hydroxytoluene 2.6-Di-tert-butyl-4-methylphenol)</v>
      </c>
      <c r="G243" s="64">
        <v>0.915680374779</v>
      </c>
      <c r="H243" s="10">
        <f t="shared" si="55"/>
        <v>0.9156803748</v>
      </c>
      <c r="I243" s="65">
        <v>0.03983263294</v>
      </c>
      <c r="J243" s="65">
        <v>0.089981831439</v>
      </c>
      <c r="K243" s="65">
        <v>0.0458567804</v>
      </c>
      <c r="L243" s="65">
        <v>0.74000913</v>
      </c>
      <c r="N243" s="66">
        <v>4.9333942</v>
      </c>
      <c r="O243" s="10">
        <f t="shared" si="56"/>
        <v>4.9333942</v>
      </c>
      <c r="Q243" s="67">
        <v>76.560823</v>
      </c>
      <c r="S243" s="68">
        <v>0.10221796</v>
      </c>
      <c r="T243" s="68">
        <v>0.094017135</v>
      </c>
      <c r="U243" s="68">
        <v>0.0040919326</v>
      </c>
      <c r="V243" s="68">
        <v>0.0041088956</v>
      </c>
      <c r="X243" s="69">
        <v>2.5275394E-4</v>
      </c>
      <c r="Y243" s="85" t="s">
        <v>506</v>
      </c>
      <c r="Z243" s="73" t="s">
        <v>507</v>
      </c>
    </row>
    <row r="244" ht="12.75" customHeight="1">
      <c r="A244" s="1" t="s">
        <v>508</v>
      </c>
      <c r="B244" s="2" t="s">
        <v>125</v>
      </c>
      <c r="C244" s="60" t="str">
        <f t="shared" si="53"/>
        <v>A.030.24.106</v>
      </c>
      <c r="D244" s="51" t="s">
        <v>493</v>
      </c>
      <c r="E244" s="62" t="s">
        <v>45</v>
      </c>
      <c r="F244" s="63" t="str">
        <f t="shared" si="54"/>
        <v>Chloramben (3-Amino-2.5-dichlorobenzoic acid)</v>
      </c>
      <c r="G244" s="64">
        <v>0.7635712083895</v>
      </c>
      <c r="H244" s="10">
        <f t="shared" si="55"/>
        <v>0.7635712084</v>
      </c>
      <c r="I244" s="65">
        <v>0.03137932683</v>
      </c>
      <c r="J244" s="65">
        <v>0.0727974092595</v>
      </c>
      <c r="K244" s="65">
        <v>0.061466012300000004</v>
      </c>
      <c r="L244" s="65">
        <v>0.59792846</v>
      </c>
      <c r="N244" s="66">
        <v>3.9861897333333336</v>
      </c>
      <c r="O244" s="10">
        <f t="shared" si="56"/>
        <v>3.986189733</v>
      </c>
      <c r="Q244" s="67">
        <v>65.417461</v>
      </c>
      <c r="S244" s="68">
        <v>0.082250811</v>
      </c>
      <c r="T244" s="68">
        <v>0.076163824</v>
      </c>
      <c r="U244" s="68">
        <v>0.00330953</v>
      </c>
      <c r="V244" s="68">
        <v>0.0027774572</v>
      </c>
      <c r="X244" s="69">
        <v>2.0496524E-4</v>
      </c>
      <c r="Y244" s="85" t="s">
        <v>509</v>
      </c>
      <c r="Z244" s="73" t="s">
        <v>510</v>
      </c>
    </row>
    <row r="245" ht="12.75" customHeight="1">
      <c r="A245" s="1" t="s">
        <v>511</v>
      </c>
      <c r="B245" s="2" t="s">
        <v>125</v>
      </c>
      <c r="C245" s="60" t="str">
        <f t="shared" si="53"/>
        <v>A.030.24.107</v>
      </c>
      <c r="D245" s="51" t="s">
        <v>493</v>
      </c>
      <c r="E245" s="62" t="s">
        <v>45</v>
      </c>
      <c r="F245" s="63" t="str">
        <f t="shared" si="54"/>
        <v>Chlorsulfuron (2-chloro-N-[(4-methoxy-6-methyl-1.3.5-triazin-2-yl)carbamoyl]benzene-1</v>
      </c>
      <c r="G245" s="64">
        <v>3.024328159</v>
      </c>
      <c r="H245" s="10">
        <f t="shared" si="55"/>
        <v>3.024328159</v>
      </c>
      <c r="I245" s="65">
        <v>0.1196614067</v>
      </c>
      <c r="J245" s="65">
        <v>0.2222846575</v>
      </c>
      <c r="K245" s="65">
        <v>0.1667062948</v>
      </c>
      <c r="L245" s="65">
        <v>2.5156758</v>
      </c>
      <c r="N245" s="66">
        <v>16.771172</v>
      </c>
      <c r="O245" s="10">
        <f t="shared" si="56"/>
        <v>16.771172</v>
      </c>
      <c r="Q245" s="67">
        <v>266.13998</v>
      </c>
      <c r="S245" s="68">
        <v>0.32507164</v>
      </c>
      <c r="T245" s="68">
        <v>0.29749832</v>
      </c>
      <c r="U245" s="68">
        <v>0.013502428</v>
      </c>
      <c r="V245" s="68">
        <v>0.014070882</v>
      </c>
      <c r="X245" s="69">
        <v>8.3880891E-4</v>
      </c>
      <c r="Y245" s="85" t="s">
        <v>512</v>
      </c>
      <c r="Z245" s="73" t="s">
        <v>513</v>
      </c>
    </row>
    <row r="246" ht="12.75" customHeight="1">
      <c r="A246" s="1" t="s">
        <v>514</v>
      </c>
      <c r="B246" s="2" t="s">
        <v>125</v>
      </c>
      <c r="C246" s="60" t="str">
        <f t="shared" si="53"/>
        <v>A.030.24.108</v>
      </c>
      <c r="D246" s="51" t="s">
        <v>493</v>
      </c>
      <c r="E246" s="62" t="s">
        <v>45</v>
      </c>
      <c r="F246" s="63" t="str">
        <f t="shared" si="54"/>
        <v>Cyanazine (2-[[4-Chloro-6-(ethylamino)-1.3.5-triazin-2-yl]amino]-2-methylpropanenitri</v>
      </c>
      <c r="G246" s="64">
        <v>1.3276320473149998</v>
      </c>
      <c r="H246" s="10">
        <f t="shared" si="55"/>
        <v>1.327632047</v>
      </c>
      <c r="I246" s="65">
        <v>0.06226181417</v>
      </c>
      <c r="J246" s="65">
        <v>0.15759495934499998</v>
      </c>
      <c r="K246" s="65">
        <v>0.0578975738</v>
      </c>
      <c r="L246" s="65">
        <v>1.0498777</v>
      </c>
      <c r="N246" s="66">
        <v>6.999184666666666</v>
      </c>
      <c r="O246" s="10">
        <f t="shared" si="56"/>
        <v>6.999184667</v>
      </c>
      <c r="Q246" s="67">
        <v>106.03831</v>
      </c>
      <c r="S246" s="68">
        <v>0.15309664</v>
      </c>
      <c r="T246" s="68">
        <v>0.14127976</v>
      </c>
      <c r="U246" s="68">
        <v>0.005951134</v>
      </c>
      <c r="V246" s="68">
        <v>0.0058657413</v>
      </c>
      <c r="X246" s="69">
        <v>3.6581012E-4</v>
      </c>
      <c r="Y246" s="85" t="s">
        <v>515</v>
      </c>
      <c r="Z246" s="73" t="s">
        <v>516</v>
      </c>
    </row>
    <row r="247" ht="12.75" customHeight="1">
      <c r="A247" s="1" t="s">
        <v>517</v>
      </c>
      <c r="B247" s="2" t="s">
        <v>125</v>
      </c>
      <c r="C247" s="60" t="str">
        <f t="shared" si="53"/>
        <v>A.030.24.109</v>
      </c>
      <c r="D247" s="51" t="s">
        <v>493</v>
      </c>
      <c r="E247" s="62" t="s">
        <v>45</v>
      </c>
      <c r="F247" s="63" t="str">
        <f t="shared" si="54"/>
        <v>Dicamba (3.6-Dichloro-2-methoxybenzoic acid)</v>
      </c>
      <c r="G247" s="64">
        <v>1.9014378020099998</v>
      </c>
      <c r="H247" s="10">
        <f t="shared" si="55"/>
        <v>1.901437802</v>
      </c>
      <c r="I247" s="65">
        <v>0.07270314977999999</v>
      </c>
      <c r="J247" s="65">
        <v>0.13678629753</v>
      </c>
      <c r="K247" s="65">
        <v>0.13706015470000002</v>
      </c>
      <c r="L247" s="65">
        <v>1.5548882</v>
      </c>
      <c r="N247" s="66">
        <v>10.365921333333333</v>
      </c>
      <c r="O247" s="10">
        <f t="shared" si="56"/>
        <v>10.36592133</v>
      </c>
      <c r="Q247" s="67">
        <v>169.48913</v>
      </c>
      <c r="S247" s="68">
        <v>0.2002496</v>
      </c>
      <c r="T247" s="68">
        <v>0.18395923</v>
      </c>
      <c r="U247" s="68">
        <v>0.0083465134</v>
      </c>
      <c r="V247" s="68">
        <v>0.0079438581</v>
      </c>
      <c r="X247" s="69">
        <v>5.1930002E-4</v>
      </c>
      <c r="Y247" s="85" t="s">
        <v>509</v>
      </c>
      <c r="Z247" s="73" t="s">
        <v>518</v>
      </c>
    </row>
    <row r="248" ht="12.75" customHeight="1">
      <c r="A248" s="1" t="s">
        <v>519</v>
      </c>
      <c r="B248" s="2" t="s">
        <v>125</v>
      </c>
      <c r="C248" s="60" t="str">
        <f t="shared" si="53"/>
        <v>A.030.24.110</v>
      </c>
      <c r="D248" s="51" t="s">
        <v>493</v>
      </c>
      <c r="E248" s="62" t="s">
        <v>45</v>
      </c>
      <c r="F248" s="63" t="str">
        <f t="shared" si="54"/>
        <v>Dinoseb (2-(Butan-2-yl)-4.6-dinitrophenol)</v>
      </c>
      <c r="G248" s="64">
        <v>0.670171733262</v>
      </c>
      <c r="H248" s="10">
        <f t="shared" si="55"/>
        <v>0.6701717333</v>
      </c>
      <c r="I248" s="65">
        <v>0.035158984840000004</v>
      </c>
      <c r="J248" s="65">
        <v>0.095607336452</v>
      </c>
      <c r="K248" s="65">
        <v>0.007819621970000001</v>
      </c>
      <c r="L248" s="65">
        <v>0.53158579</v>
      </c>
      <c r="N248" s="66">
        <v>3.5439052666666666</v>
      </c>
      <c r="O248" s="10">
        <f t="shared" si="56"/>
        <v>3.543905267</v>
      </c>
      <c r="Q248" s="67">
        <v>49.743406</v>
      </c>
      <c r="S248" s="68">
        <v>0.0820492</v>
      </c>
      <c r="T248" s="68">
        <v>0.075578446</v>
      </c>
      <c r="U248" s="68">
        <v>0.0030882133</v>
      </c>
      <c r="V248" s="68">
        <v>0.0033825412</v>
      </c>
      <c r="X248" s="69">
        <v>1.8851418E-4</v>
      </c>
      <c r="Y248" s="85" t="s">
        <v>520</v>
      </c>
      <c r="Z248" s="73" t="s">
        <v>521</v>
      </c>
    </row>
    <row r="249" ht="12.75" customHeight="1">
      <c r="A249" s="1" t="s">
        <v>522</v>
      </c>
      <c r="B249" s="2" t="s">
        <v>125</v>
      </c>
      <c r="C249" s="60" t="str">
        <f t="shared" si="53"/>
        <v>A.030.24.111</v>
      </c>
      <c r="D249" s="51" t="s">
        <v>493</v>
      </c>
      <c r="E249" s="62" t="s">
        <v>45</v>
      </c>
      <c r="F249" s="63" t="str">
        <f t="shared" si="54"/>
        <v>Diquat (6.7-dihydrodipyrido[1.2-a:2'.1'-c]pyrazine-5.8-diium dibromide)</v>
      </c>
      <c r="G249" s="64">
        <v>3.381554279285</v>
      </c>
      <c r="H249" s="10">
        <f t="shared" si="55"/>
        <v>3.381554279</v>
      </c>
      <c r="I249" s="65">
        <v>0.1297625944</v>
      </c>
      <c r="J249" s="65">
        <v>0.207028563985</v>
      </c>
      <c r="K249" s="65">
        <v>0.1554768209</v>
      </c>
      <c r="L249" s="65">
        <v>2.8892863</v>
      </c>
      <c r="N249" s="66">
        <v>19.26190866666667</v>
      </c>
      <c r="O249" s="10">
        <f t="shared" si="56"/>
        <v>19.26190867</v>
      </c>
      <c r="Q249" s="67">
        <v>302.89419</v>
      </c>
      <c r="S249" s="68">
        <v>0.36103871</v>
      </c>
      <c r="T249" s="68">
        <v>0.3286138</v>
      </c>
      <c r="U249" s="68">
        <v>0.015267242</v>
      </c>
      <c r="V249" s="68">
        <v>0.017157664</v>
      </c>
      <c r="X249" s="69">
        <v>9.5034681E-4</v>
      </c>
      <c r="Y249" s="85" t="s">
        <v>523</v>
      </c>
      <c r="Z249" s="73" t="s">
        <v>524</v>
      </c>
    </row>
    <row r="250" ht="12.75" customHeight="1">
      <c r="A250" s="1" t="s">
        <v>525</v>
      </c>
      <c r="B250" s="2" t="s">
        <v>125</v>
      </c>
      <c r="C250" s="60" t="str">
        <f t="shared" si="53"/>
        <v>A.030.24.112</v>
      </c>
      <c r="D250" s="51" t="s">
        <v>493</v>
      </c>
      <c r="E250" s="62" t="s">
        <v>45</v>
      </c>
      <c r="F250" s="63" t="str">
        <f t="shared" si="54"/>
        <v>Diuron  DCMU (3-(3.4-dichlorophenyl)-1.1-dimethylurea)</v>
      </c>
      <c r="G250" s="64">
        <v>1.503739459864</v>
      </c>
      <c r="H250" s="10">
        <f t="shared" si="55"/>
        <v>1.50373946</v>
      </c>
      <c r="I250" s="65">
        <v>0.05835523123</v>
      </c>
      <c r="J250" s="65">
        <v>0.11931485603400001</v>
      </c>
      <c r="K250" s="65">
        <v>0.1201283726</v>
      </c>
      <c r="L250" s="65">
        <v>1.205941</v>
      </c>
      <c r="N250" s="66">
        <v>8.039606666666666</v>
      </c>
      <c r="O250" s="10">
        <f t="shared" si="56"/>
        <v>8.039606667</v>
      </c>
      <c r="Q250" s="67">
        <v>132.79026</v>
      </c>
      <c r="S250" s="68">
        <v>0.15862341</v>
      </c>
      <c r="T250" s="68">
        <v>0.14628385</v>
      </c>
      <c r="U250" s="68">
        <v>0.006539739</v>
      </c>
      <c r="V250" s="68">
        <v>0.0057998142</v>
      </c>
      <c r="X250" s="69">
        <v>4.064475E-4</v>
      </c>
      <c r="Y250" s="85" t="s">
        <v>526</v>
      </c>
      <c r="Z250" s="73" t="s">
        <v>527</v>
      </c>
    </row>
    <row r="251" ht="12.75" customHeight="1">
      <c r="A251" s="1" t="s">
        <v>528</v>
      </c>
      <c r="B251" s="2" t="s">
        <v>125</v>
      </c>
      <c r="C251" s="60" t="str">
        <f t="shared" si="53"/>
        <v>A.030.24.113</v>
      </c>
      <c r="D251" s="51" t="s">
        <v>493</v>
      </c>
      <c r="E251" s="62" t="s">
        <v>45</v>
      </c>
      <c r="F251" s="63" t="str">
        <f t="shared" si="54"/>
        <v>EPTC ( S-Ethyl dipropylthiocarbamate)</v>
      </c>
      <c r="G251" s="64">
        <v>1.430114429345</v>
      </c>
      <c r="H251" s="10">
        <f t="shared" si="55"/>
        <v>1.430114429</v>
      </c>
      <c r="I251" s="65">
        <v>0.05957419832</v>
      </c>
      <c r="J251" s="65">
        <v>0.132884386425</v>
      </c>
      <c r="K251" s="65">
        <v>0.0950315446</v>
      </c>
      <c r="L251" s="65">
        <v>1.1426243</v>
      </c>
      <c r="N251" s="66">
        <v>7.617495333333334</v>
      </c>
      <c r="O251" s="10">
        <f t="shared" si="56"/>
        <v>7.617495333</v>
      </c>
      <c r="Q251" s="67">
        <v>122.05938</v>
      </c>
      <c r="S251" s="68">
        <v>0.15585678</v>
      </c>
      <c r="T251" s="68">
        <v>0.14373419</v>
      </c>
      <c r="U251" s="68">
        <v>0.0062913492</v>
      </c>
      <c r="V251" s="68">
        <v>0.0058312502</v>
      </c>
      <c r="X251" s="69">
        <v>3.8947814E-4</v>
      </c>
      <c r="Y251" s="85" t="s">
        <v>529</v>
      </c>
      <c r="Z251" s="73" t="s">
        <v>530</v>
      </c>
    </row>
    <row r="252" ht="12.75" customHeight="1">
      <c r="A252" s="1" t="s">
        <v>531</v>
      </c>
      <c r="B252" s="2" t="s">
        <v>125</v>
      </c>
      <c r="C252" s="60" t="str">
        <f t="shared" si="53"/>
        <v>A.030.24.114</v>
      </c>
      <c r="D252" s="51" t="s">
        <v>493</v>
      </c>
      <c r="E252" s="62" t="s">
        <v>45</v>
      </c>
      <c r="F252" s="63" t="str">
        <f t="shared" si="54"/>
        <v>Fluazifop-butyl ( (2R)-2-(4-([5-(trifluoromethyl)-2-pyridyl]oxy)phenoxy)propanoic aci</v>
      </c>
      <c r="G252" s="64">
        <v>5.482656391192</v>
      </c>
      <c r="H252" s="10">
        <f t="shared" si="55"/>
        <v>5.482656391</v>
      </c>
      <c r="I252" s="65">
        <v>0.19157665528</v>
      </c>
      <c r="J252" s="65">
        <v>0.39384303191199993</v>
      </c>
      <c r="K252" s="65">
        <v>0.671547004</v>
      </c>
      <c r="L252" s="65">
        <v>4.2256897</v>
      </c>
      <c r="N252" s="66">
        <v>28.17126466666667</v>
      </c>
      <c r="O252" s="10">
        <f t="shared" si="56"/>
        <v>28.17126467</v>
      </c>
      <c r="Q252" s="67">
        <v>503.10311</v>
      </c>
      <c r="S252" s="68">
        <v>0.54561564</v>
      </c>
      <c r="T252" s="68">
        <v>0.50793312</v>
      </c>
      <c r="U252" s="68">
        <v>0.022825588</v>
      </c>
      <c r="V252" s="68">
        <v>0.014856941</v>
      </c>
      <c r="X252" s="69">
        <v>0.0014255583</v>
      </c>
      <c r="Y252" s="85" t="s">
        <v>532</v>
      </c>
      <c r="Z252" s="73" t="s">
        <v>533</v>
      </c>
    </row>
    <row r="253" ht="12.75" customHeight="1">
      <c r="A253" s="1" t="s">
        <v>534</v>
      </c>
      <c r="B253" s="2" t="s">
        <v>125</v>
      </c>
      <c r="C253" s="60" t="str">
        <f t="shared" si="53"/>
        <v>A.030.24.115</v>
      </c>
      <c r="D253" s="51" t="s">
        <v>493</v>
      </c>
      <c r="E253" s="62" t="s">
        <v>45</v>
      </c>
      <c r="F253" s="63" t="str">
        <f t="shared" si="54"/>
        <v>Fluometuron (N,N-Dimethyl-N'-[3-(trifluoromethyl)phenyl]urea)</v>
      </c>
      <c r="G253" s="64">
        <v>2.084123739652</v>
      </c>
      <c r="H253" s="10">
        <f t="shared" si="55"/>
        <v>2.08412374</v>
      </c>
      <c r="I253" s="65">
        <v>0.08346881149999998</v>
      </c>
      <c r="J253" s="65">
        <v>0.17172652155200002</v>
      </c>
      <c r="K253" s="65">
        <v>0.14090090660000001</v>
      </c>
      <c r="L253" s="65">
        <v>1.6880275</v>
      </c>
      <c r="N253" s="66">
        <v>11.253516666666668</v>
      </c>
      <c r="O253" s="10">
        <f t="shared" si="56"/>
        <v>11.25351667</v>
      </c>
      <c r="Q253" s="67">
        <v>181.65779</v>
      </c>
      <c r="S253" s="68">
        <v>0.22369812</v>
      </c>
      <c r="T253" s="68">
        <v>0.20581993</v>
      </c>
      <c r="U253" s="68">
        <v>0.0091740308</v>
      </c>
      <c r="V253" s="68">
        <v>0.0087041625</v>
      </c>
      <c r="X253" s="69">
        <v>5.6929867E-4</v>
      </c>
      <c r="Y253" s="85" t="s">
        <v>526</v>
      </c>
      <c r="Z253" s="73" t="s">
        <v>535</v>
      </c>
    </row>
    <row r="254" ht="12.75" customHeight="1">
      <c r="A254" s="1" t="s">
        <v>536</v>
      </c>
      <c r="B254" s="2" t="s">
        <v>125</v>
      </c>
      <c r="C254" s="60" t="str">
        <f t="shared" si="53"/>
        <v>A.030.24.116</v>
      </c>
      <c r="D254" s="51" t="s">
        <v>493</v>
      </c>
      <c r="E254" s="62" t="s">
        <v>45</v>
      </c>
      <c r="F254" s="63" t="str">
        <f t="shared" si="54"/>
        <v>Glyphosate (N-(Phosphonomethyl)glycine)</v>
      </c>
      <c r="G254" s="64">
        <v>3.575727876751</v>
      </c>
      <c r="H254" s="10">
        <f t="shared" si="55"/>
        <v>3.575727877</v>
      </c>
      <c r="I254" s="65">
        <v>0.12838568774</v>
      </c>
      <c r="J254" s="65">
        <v>0.226701361711</v>
      </c>
      <c r="K254" s="65">
        <v>0.31755532729999997</v>
      </c>
      <c r="L254" s="65">
        <v>2.9030855</v>
      </c>
      <c r="N254" s="66">
        <v>19.353903333333335</v>
      </c>
      <c r="O254" s="10">
        <f t="shared" si="56"/>
        <v>19.35390333</v>
      </c>
      <c r="Q254" s="67">
        <v>326.91371</v>
      </c>
      <c r="S254" s="68">
        <v>0.36531873</v>
      </c>
      <c r="T254" s="68">
        <v>0.33628845</v>
      </c>
      <c r="U254" s="68">
        <v>0.015450101</v>
      </c>
      <c r="V254" s="68">
        <v>0.013580185</v>
      </c>
      <c r="X254" s="69">
        <v>9.6426005E-4</v>
      </c>
      <c r="Y254" s="85" t="s">
        <v>537</v>
      </c>
      <c r="Z254" s="73" t="s">
        <v>538</v>
      </c>
    </row>
    <row r="255" ht="12.75" customHeight="1">
      <c r="A255" s="1" t="s">
        <v>539</v>
      </c>
      <c r="B255" s="2" t="s">
        <v>125</v>
      </c>
      <c r="C255" s="60" t="str">
        <f t="shared" si="53"/>
        <v>A.030.24.117</v>
      </c>
      <c r="D255" s="51" t="s">
        <v>493</v>
      </c>
      <c r="E255" s="62" t="s">
        <v>45</v>
      </c>
      <c r="F255" s="63" t="str">
        <f t="shared" si="54"/>
        <v>Linuron (3-(3.4-dichlorophenyl)-1-methoxy-1-methylurea)</v>
      </c>
      <c r="G255" s="64">
        <v>1.586924184968</v>
      </c>
      <c r="H255" s="10">
        <f t="shared" si="55"/>
        <v>1.586924185</v>
      </c>
      <c r="I255" s="65">
        <v>0.06255566813</v>
      </c>
      <c r="J255" s="65">
        <v>0.131535445238</v>
      </c>
      <c r="K255" s="65">
        <v>0.1244060716</v>
      </c>
      <c r="L255" s="65">
        <v>1.268427</v>
      </c>
      <c r="N255" s="66">
        <v>8.45618</v>
      </c>
      <c r="O255" s="10">
        <f t="shared" si="56"/>
        <v>8.45618</v>
      </c>
      <c r="Q255" s="67">
        <v>139.07686</v>
      </c>
      <c r="S255" s="68">
        <v>0.16847916</v>
      </c>
      <c r="T255" s="68">
        <v>0.15545241</v>
      </c>
      <c r="U255" s="68">
        <v>0.0069079416</v>
      </c>
      <c r="V255" s="68">
        <v>0.0061188092</v>
      </c>
      <c r="X255" s="69">
        <v>4.2894908E-4</v>
      </c>
      <c r="Y255" s="85" t="s">
        <v>526</v>
      </c>
      <c r="Z255" s="73" t="s">
        <v>540</v>
      </c>
    </row>
    <row r="256" ht="12.75" customHeight="1">
      <c r="A256" s="1" t="s">
        <v>541</v>
      </c>
      <c r="B256" s="2" t="s">
        <v>125</v>
      </c>
      <c r="C256" s="60" t="str">
        <f t="shared" si="53"/>
        <v>A.030.24.118</v>
      </c>
      <c r="D256" s="51" t="s">
        <v>493</v>
      </c>
      <c r="E256" s="62" t="s">
        <v>45</v>
      </c>
      <c r="F256" s="63" t="str">
        <f t="shared" si="54"/>
        <v>MCPA (2-methyl-4-chlorophenoxyacetic acid)</v>
      </c>
      <c r="G256" s="64">
        <v>1.110814904954</v>
      </c>
      <c r="H256" s="10">
        <f t="shared" si="55"/>
        <v>1.110814905</v>
      </c>
      <c r="I256" s="65">
        <v>0.052349823399999995</v>
      </c>
      <c r="J256" s="65">
        <v>0.130933218954</v>
      </c>
      <c r="K256" s="65">
        <v>0.0424355726</v>
      </c>
      <c r="L256" s="65">
        <v>0.88509629</v>
      </c>
      <c r="N256" s="66">
        <v>5.9006419333333335</v>
      </c>
      <c r="O256" s="10">
        <f t="shared" si="56"/>
        <v>5.900641933</v>
      </c>
      <c r="Q256" s="67">
        <v>88.564382</v>
      </c>
      <c r="S256" s="68">
        <v>0.12865029</v>
      </c>
      <c r="T256" s="68">
        <v>0.11854881</v>
      </c>
      <c r="U256" s="68">
        <v>0.0050069221</v>
      </c>
      <c r="V256" s="68">
        <v>0.0050945618</v>
      </c>
      <c r="X256" s="69">
        <v>3.0772977E-4</v>
      </c>
      <c r="Y256" s="85" t="s">
        <v>495</v>
      </c>
      <c r="Z256" s="73" t="s">
        <v>542</v>
      </c>
    </row>
    <row r="257" ht="12.75" customHeight="1">
      <c r="A257" s="1" t="s">
        <v>543</v>
      </c>
      <c r="B257" s="2" t="s">
        <v>125</v>
      </c>
      <c r="C257" s="60" t="str">
        <f t="shared" si="53"/>
        <v>A.030.24.119</v>
      </c>
      <c r="D257" s="51" t="s">
        <v>493</v>
      </c>
      <c r="E257" s="62" t="s">
        <v>45</v>
      </c>
      <c r="F257" s="63" t="str">
        <f t="shared" si="54"/>
        <v>Metolachlor ((RS)-2-Chloro-N-(2-ethyl-6-methyl-phenyl)-N-(1-methoxypropan-2-yl)acetam</v>
      </c>
      <c r="G257" s="64">
        <v>2.026364994782</v>
      </c>
      <c r="H257" s="10">
        <f t="shared" si="55"/>
        <v>2.026364995</v>
      </c>
      <c r="I257" s="65">
        <v>0.08747018241</v>
      </c>
      <c r="J257" s="65">
        <v>0.20005365577200002</v>
      </c>
      <c r="K257" s="65">
        <v>0.1139770566</v>
      </c>
      <c r="L257" s="65">
        <v>1.6248641</v>
      </c>
      <c r="N257" s="66">
        <v>10.832427333333333</v>
      </c>
      <c r="O257" s="10">
        <f t="shared" si="56"/>
        <v>10.83242733</v>
      </c>
      <c r="Q257" s="67">
        <v>169.91823</v>
      </c>
      <c r="S257" s="68">
        <v>0.22490393</v>
      </c>
      <c r="T257" s="68">
        <v>0.20718867</v>
      </c>
      <c r="U257" s="68">
        <v>0.0089984511</v>
      </c>
      <c r="V257" s="68">
        <v>0.008716807</v>
      </c>
      <c r="X257" s="69">
        <v>5.5598573E-4</v>
      </c>
      <c r="Y257" s="85" t="s">
        <v>500</v>
      </c>
      <c r="Z257" s="73" t="s">
        <v>544</v>
      </c>
    </row>
    <row r="258" ht="12.75" customHeight="1">
      <c r="A258" s="1" t="s">
        <v>545</v>
      </c>
      <c r="B258" s="2" t="s">
        <v>125</v>
      </c>
      <c r="C258" s="60" t="str">
        <f t="shared" si="53"/>
        <v>A.030.24.120</v>
      </c>
      <c r="D258" s="51" t="s">
        <v>493</v>
      </c>
      <c r="E258" s="62" t="s">
        <v>45</v>
      </c>
      <c r="F258" s="63" t="str">
        <f t="shared" si="54"/>
        <v>Paraquat (1.1'-Dimethyl[4.4'-bipyridine]-1.1'-diium dichloride)</v>
      </c>
      <c r="G258" s="64">
        <v>3.8762044923510004</v>
      </c>
      <c r="H258" s="10">
        <f t="shared" si="55"/>
        <v>3.876204492</v>
      </c>
      <c r="I258" s="65">
        <v>0.1489587335</v>
      </c>
      <c r="J258" s="65">
        <v>0.253828604851</v>
      </c>
      <c r="K258" s="65">
        <v>0.211891554</v>
      </c>
      <c r="L258" s="65">
        <v>3.2615256</v>
      </c>
      <c r="N258" s="66">
        <v>21.743504</v>
      </c>
      <c r="O258" s="10">
        <f t="shared" si="56"/>
        <v>21.743504</v>
      </c>
      <c r="Q258" s="67">
        <v>346.19093</v>
      </c>
      <c r="S258" s="68">
        <v>0.41236581</v>
      </c>
      <c r="T258" s="68">
        <v>0.37655125</v>
      </c>
      <c r="U258" s="68">
        <v>0.017336908</v>
      </c>
      <c r="V258" s="68">
        <v>0.018477654</v>
      </c>
      <c r="X258" s="69">
        <v>0.0010788478</v>
      </c>
      <c r="Y258" s="85" t="s">
        <v>546</v>
      </c>
      <c r="Z258" s="73" t="s">
        <v>547</v>
      </c>
    </row>
    <row r="259" ht="12.75" customHeight="1">
      <c r="A259" s="1" t="s">
        <v>548</v>
      </c>
      <c r="B259" s="2" t="s">
        <v>125</v>
      </c>
      <c r="C259" s="60" t="str">
        <f t="shared" si="53"/>
        <v>A.030.24.121</v>
      </c>
      <c r="D259" s="51" t="s">
        <v>493</v>
      </c>
      <c r="E259" s="62" t="s">
        <v>45</v>
      </c>
      <c r="F259" s="63" t="str">
        <f t="shared" si="54"/>
        <v>Propachlor (2-Chloro-N-phenyl-N-(propan-2-yl)acetamide)</v>
      </c>
      <c r="G259" s="64">
        <v>2.0795909682950002</v>
      </c>
      <c r="H259" s="10">
        <f t="shared" si="55"/>
        <v>2.079590968</v>
      </c>
      <c r="I259" s="65">
        <v>0.08836435242</v>
      </c>
      <c r="J259" s="65">
        <v>0.197834062675</v>
      </c>
      <c r="K259" s="65">
        <v>0.12181565320000001</v>
      </c>
      <c r="L259" s="65">
        <v>1.6715769</v>
      </c>
      <c r="N259" s="66">
        <v>11.143846</v>
      </c>
      <c r="O259" s="10">
        <f t="shared" si="56"/>
        <v>11.143846</v>
      </c>
      <c r="Q259" s="67">
        <v>175.87777</v>
      </c>
      <c r="S259" s="68">
        <v>0.2291793</v>
      </c>
      <c r="T259" s="68">
        <v>0.21106188</v>
      </c>
      <c r="U259" s="68">
        <v>0.0092186361</v>
      </c>
      <c r="V259" s="68">
        <v>0.0088987765</v>
      </c>
      <c r="X259" s="69">
        <v>5.7012535E-4</v>
      </c>
      <c r="Y259" s="85" t="s">
        <v>500</v>
      </c>
      <c r="Z259" s="73" t="s">
        <v>549</v>
      </c>
    </row>
    <row r="260" ht="12.75" customHeight="1">
      <c r="A260" s="1" t="s">
        <v>550</v>
      </c>
      <c r="B260" s="2" t="s">
        <v>125</v>
      </c>
      <c r="C260" s="60" t="str">
        <f t="shared" si="53"/>
        <v>A.030.24.122</v>
      </c>
      <c r="D260" s="51" t="s">
        <v>493</v>
      </c>
      <c r="E260" s="62" t="s">
        <v>45</v>
      </c>
      <c r="F260" s="63" t="str">
        <f t="shared" si="54"/>
        <v>Propanil (N-(3.4-Dichlorophenyl)propanamide)</v>
      </c>
      <c r="G260" s="64">
        <v>1.5802878939329998</v>
      </c>
      <c r="H260" s="10">
        <f t="shared" si="55"/>
        <v>1.580287894</v>
      </c>
      <c r="I260" s="65">
        <v>0.06132548834</v>
      </c>
      <c r="J260" s="65">
        <v>0.110953760193</v>
      </c>
      <c r="K260" s="65">
        <v>0.0939366454</v>
      </c>
      <c r="L260" s="65">
        <v>1.314072</v>
      </c>
      <c r="N260" s="66">
        <v>8.76048</v>
      </c>
      <c r="O260" s="10">
        <f t="shared" si="56"/>
        <v>8.76048</v>
      </c>
      <c r="Q260" s="67">
        <v>140.28408</v>
      </c>
      <c r="S260" s="68">
        <v>0.16832655</v>
      </c>
      <c r="T260" s="68">
        <v>0.15407914</v>
      </c>
      <c r="U260" s="68">
        <v>0.0070285703</v>
      </c>
      <c r="V260" s="68">
        <v>0.0072188434</v>
      </c>
      <c r="X260" s="69">
        <v>4.3707612E-4</v>
      </c>
      <c r="Y260" s="85" t="s">
        <v>500</v>
      </c>
      <c r="Z260" s="73" t="s">
        <v>551</v>
      </c>
    </row>
    <row r="261" ht="12.75" customHeight="1">
      <c r="A261" s="1" t="s">
        <v>552</v>
      </c>
      <c r="B261" s="2" t="s">
        <v>125</v>
      </c>
      <c r="C261" s="60" t="str">
        <f t="shared" si="53"/>
        <v>A.030.24.123</v>
      </c>
      <c r="D261" s="51" t="s">
        <v>493</v>
      </c>
      <c r="E261" s="62" t="s">
        <v>45</v>
      </c>
      <c r="F261" s="63" t="str">
        <f t="shared" si="54"/>
        <v>Trifluralin (2.6-Dinitro-N.N-dipropyl-4-(trifluoromethyl)aniline)</v>
      </c>
      <c r="G261" s="64">
        <v>1.166428588503</v>
      </c>
      <c r="H261" s="10">
        <f t="shared" si="55"/>
        <v>1.166428589</v>
      </c>
      <c r="I261" s="65">
        <v>0.04884086489000001</v>
      </c>
      <c r="J261" s="65">
        <v>0.111906244613</v>
      </c>
      <c r="K261" s="65">
        <v>0.081537039</v>
      </c>
      <c r="L261" s="65">
        <v>0.92414444</v>
      </c>
      <c r="N261" s="66">
        <v>6.160962933333333</v>
      </c>
      <c r="O261" s="10">
        <f t="shared" si="56"/>
        <v>6.160962933</v>
      </c>
      <c r="Q261" s="67">
        <v>99.175176</v>
      </c>
      <c r="S261" s="68">
        <v>0.12716497</v>
      </c>
      <c r="T261" s="68">
        <v>0.1174601</v>
      </c>
      <c r="U261" s="68">
        <v>0.0051106175</v>
      </c>
      <c r="V261" s="68">
        <v>0.0045942503</v>
      </c>
      <c r="X261" s="69">
        <v>3.1624338E-4</v>
      </c>
      <c r="Y261" s="85" t="s">
        <v>553</v>
      </c>
      <c r="Z261" s="73" t="s">
        <v>554</v>
      </c>
    </row>
    <row r="262" ht="12.75" customHeight="1">
      <c r="B262" s="2"/>
      <c r="C262" s="60"/>
      <c r="D262" s="75" t="s">
        <v>555</v>
      </c>
      <c r="E262" s="62"/>
      <c r="G262" s="10"/>
      <c r="H262" s="10" t="str">
        <f t="shared" si="55"/>
        <v/>
      </c>
      <c r="I262" s="10"/>
      <c r="J262" s="10"/>
      <c r="K262" s="10"/>
      <c r="L262" s="10"/>
      <c r="N262" s="10"/>
      <c r="O262" s="10"/>
      <c r="Q262" s="67"/>
      <c r="Y262" s="71"/>
      <c r="Z262" s="72"/>
    </row>
    <row r="263" ht="12.75" customHeight="1">
      <c r="A263" s="1" t="s">
        <v>556</v>
      </c>
      <c r="B263" s="2" t="s">
        <v>125</v>
      </c>
      <c r="C263" s="60" t="str">
        <f t="shared" ref="C263:C273" si="57">MID(A263,1,12)</f>
        <v>A.030.25.101</v>
      </c>
      <c r="D263" s="51" t="s">
        <v>555</v>
      </c>
      <c r="E263" s="62" t="s">
        <v>45</v>
      </c>
      <c r="F263" s="63" t="str">
        <f t="shared" ref="F263:F273" si="58">MID(A263, 21,85)</f>
        <v>Carbaryl (Naphthalen-1-yl methylcarbamate)</v>
      </c>
      <c r="G263" s="64">
        <v>0.929491616667</v>
      </c>
      <c r="H263" s="10">
        <f t="shared" si="55"/>
        <v>0.9294916167</v>
      </c>
      <c r="I263" s="65">
        <v>0.03430086589999999</v>
      </c>
      <c r="J263" s="65">
        <v>0.062410738267</v>
      </c>
      <c r="K263" s="65">
        <v>0.07607640249999999</v>
      </c>
      <c r="L263" s="65">
        <v>0.75670361</v>
      </c>
      <c r="N263" s="66">
        <v>5.044690733333334</v>
      </c>
      <c r="O263" s="10">
        <f t="shared" ref="O263:O273" si="59">N263</f>
        <v>5.044690733</v>
      </c>
      <c r="Q263" s="67">
        <v>84.064579</v>
      </c>
      <c r="S263" s="68">
        <v>0.096206308</v>
      </c>
      <c r="T263" s="68">
        <v>0.088488841</v>
      </c>
      <c r="U263" s="68">
        <v>0.004042636</v>
      </c>
      <c r="V263" s="68">
        <v>0.0036748304</v>
      </c>
      <c r="X263" s="69">
        <v>2.5196649E-4</v>
      </c>
      <c r="Y263" s="85" t="s">
        <v>557</v>
      </c>
      <c r="Z263" s="73" t="s">
        <v>558</v>
      </c>
    </row>
    <row r="264" ht="12.75" customHeight="1">
      <c r="A264" s="1" t="s">
        <v>559</v>
      </c>
      <c r="B264" s="2" t="s">
        <v>125</v>
      </c>
      <c r="C264" s="60" t="str">
        <f t="shared" si="57"/>
        <v>A.030.25.102</v>
      </c>
      <c r="D264" s="51" t="s">
        <v>555</v>
      </c>
      <c r="E264" s="62" t="s">
        <v>45</v>
      </c>
      <c r="F264" s="63" t="str">
        <f t="shared" si="58"/>
        <v>Carbofuran (2.2-Dimethyl-2.3-dihydro-1-benzofuran-7-yl methylcarbamate)</v>
      </c>
      <c r="G264" s="64">
        <v>3.510248788736</v>
      </c>
      <c r="H264" s="10">
        <f t="shared" si="55"/>
        <v>3.510248789</v>
      </c>
      <c r="I264" s="65">
        <v>0.16574516520000002</v>
      </c>
      <c r="J264" s="65">
        <v>0.437966474136</v>
      </c>
      <c r="K264" s="65">
        <v>0.1834280494</v>
      </c>
      <c r="L264" s="65">
        <v>2.7231091</v>
      </c>
      <c r="N264" s="66">
        <v>18.154060666666666</v>
      </c>
      <c r="O264" s="10">
        <f t="shared" si="59"/>
        <v>18.15406067</v>
      </c>
      <c r="Q264" s="67">
        <v>278.38709</v>
      </c>
      <c r="S264" s="68">
        <v>0.40436941</v>
      </c>
      <c r="T264" s="68">
        <v>0.37443098</v>
      </c>
      <c r="U264" s="68">
        <v>0.015582509</v>
      </c>
      <c r="V264" s="68">
        <v>0.014355923</v>
      </c>
      <c r="X264" s="69">
        <v>9.5704115E-4</v>
      </c>
      <c r="Y264" s="85" t="s">
        <v>560</v>
      </c>
      <c r="Z264" s="73" t="s">
        <v>561</v>
      </c>
    </row>
    <row r="265" ht="12.75" customHeight="1">
      <c r="A265" s="1" t="s">
        <v>562</v>
      </c>
      <c r="B265" s="2" t="s">
        <v>125</v>
      </c>
      <c r="C265" s="60" t="str">
        <f t="shared" si="57"/>
        <v>A.030.25.103</v>
      </c>
      <c r="D265" s="51" t="s">
        <v>555</v>
      </c>
      <c r="E265" s="62" t="s">
        <v>45</v>
      </c>
      <c r="F265" s="63" t="str">
        <f t="shared" si="58"/>
        <v>Chlordimeform (N'-(4-chloro-2-methylphenyl)-N.N-dimethylmethanimidamide)</v>
      </c>
      <c r="G265" s="64">
        <v>1.7338044811659998</v>
      </c>
      <c r="H265" s="10">
        <f t="shared" si="55"/>
        <v>1.733804481</v>
      </c>
      <c r="I265" s="65">
        <v>0.06854844185</v>
      </c>
      <c r="J265" s="65">
        <v>0.13935990911600002</v>
      </c>
      <c r="K265" s="65">
        <v>0.12306483019999999</v>
      </c>
      <c r="L265" s="65">
        <v>1.4028313</v>
      </c>
      <c r="N265" s="66">
        <v>9.352208666666666</v>
      </c>
      <c r="O265" s="10">
        <f t="shared" si="59"/>
        <v>9.352208667</v>
      </c>
      <c r="Q265" s="67">
        <v>152.00912</v>
      </c>
      <c r="S265" s="68">
        <v>0.18492171</v>
      </c>
      <c r="T265" s="68">
        <v>0.17019863</v>
      </c>
      <c r="U265" s="68">
        <v>0.0076083208</v>
      </c>
      <c r="V265" s="68">
        <v>0.0071147554</v>
      </c>
      <c r="X265" s="69">
        <v>4.7245745E-4</v>
      </c>
      <c r="Y265" s="85" t="s">
        <v>457</v>
      </c>
      <c r="Z265" s="73" t="s">
        <v>563</v>
      </c>
    </row>
    <row r="266" ht="12.75" customHeight="1">
      <c r="A266" s="1" t="s">
        <v>564</v>
      </c>
      <c r="B266" s="2" t="s">
        <v>125</v>
      </c>
      <c r="C266" s="60" t="str">
        <f t="shared" si="57"/>
        <v>A.030.25.104</v>
      </c>
      <c r="D266" s="51" t="s">
        <v>555</v>
      </c>
      <c r="E266" s="62" t="s">
        <v>45</v>
      </c>
      <c r="F266" s="63" t="str">
        <f t="shared" si="58"/>
        <v>Cypermethrin ([Cyano-(3-phenoxyphenyl)methyl]3-(2.2-dichloroethenyl)-2.2-dimethylcycl</v>
      </c>
      <c r="G266" s="64">
        <v>5.070008913483</v>
      </c>
      <c r="H266" s="10">
        <f t="shared" si="55"/>
        <v>5.070008913</v>
      </c>
      <c r="I266" s="65">
        <v>0.19766210219999997</v>
      </c>
      <c r="J266" s="65">
        <v>0.359085554083</v>
      </c>
      <c r="K266" s="65">
        <v>0.2943158572</v>
      </c>
      <c r="L266" s="65">
        <v>4.2189454</v>
      </c>
      <c r="N266" s="66">
        <v>28.126302666666668</v>
      </c>
      <c r="O266" s="10">
        <f t="shared" si="59"/>
        <v>28.12630267</v>
      </c>
      <c r="Q266" s="67">
        <v>449.1865</v>
      </c>
      <c r="S266" s="68">
        <v>0.54129746</v>
      </c>
      <c r="T266" s="68">
        <v>0.49539184</v>
      </c>
      <c r="U266" s="68">
        <v>0.022579017</v>
      </c>
      <c r="V266" s="68">
        <v>0.023326603</v>
      </c>
      <c r="X266" s="69">
        <v>0.0014037677</v>
      </c>
      <c r="Y266" s="85" t="s">
        <v>565</v>
      </c>
      <c r="Z266" s="73" t="s">
        <v>566</v>
      </c>
    </row>
    <row r="267" ht="12.75" customHeight="1">
      <c r="A267" s="1" t="s">
        <v>567</v>
      </c>
      <c r="B267" s="2" t="s">
        <v>125</v>
      </c>
      <c r="C267" s="60" t="str">
        <f t="shared" si="57"/>
        <v>A.030.25.105</v>
      </c>
      <c r="D267" s="51" t="s">
        <v>555</v>
      </c>
      <c r="E267" s="62" t="s">
        <v>45</v>
      </c>
      <c r="F267" s="63" t="str">
        <f t="shared" si="58"/>
        <v>Lindane (Hexachlorocyclohexane, or benzene hexachloride, BHC)</v>
      </c>
      <c r="G267" s="64">
        <v>0.6175832714757</v>
      </c>
      <c r="H267" s="10">
        <f t="shared" si="55"/>
        <v>0.6175832715</v>
      </c>
      <c r="I267" s="65">
        <v>0.02434192826</v>
      </c>
      <c r="J267" s="65">
        <v>0.0490339375157</v>
      </c>
      <c r="K267" s="65">
        <v>0.0436335757</v>
      </c>
      <c r="L267" s="65">
        <v>0.50057383</v>
      </c>
      <c r="N267" s="66">
        <v>3.337158866666667</v>
      </c>
      <c r="O267" s="10">
        <f t="shared" si="59"/>
        <v>3.337158867</v>
      </c>
      <c r="Q267" s="67">
        <v>54.236403</v>
      </c>
      <c r="S267" s="68">
        <v>0.065805254</v>
      </c>
      <c r="T267" s="68">
        <v>0.060545975</v>
      </c>
      <c r="U267" s="68">
        <v>0.0027114551</v>
      </c>
      <c r="V267" s="68">
        <v>0.0025478246</v>
      </c>
      <c r="X267" s="69">
        <v>1.6840705E-4</v>
      </c>
      <c r="Y267" s="85" t="s">
        <v>568</v>
      </c>
      <c r="Z267" s="73" t="s">
        <v>569</v>
      </c>
    </row>
    <row r="268" ht="12.75" customHeight="1">
      <c r="A268" s="1" t="s">
        <v>570</v>
      </c>
      <c r="B268" s="2" t="s">
        <v>125</v>
      </c>
      <c r="C268" s="60" t="str">
        <f t="shared" si="57"/>
        <v>A.030.25.106</v>
      </c>
      <c r="D268" s="51" t="s">
        <v>555</v>
      </c>
      <c r="E268" s="62" t="s">
        <v>45</v>
      </c>
      <c r="F268" s="63" t="str">
        <f t="shared" si="58"/>
        <v>Malathion (Diethyl 2-[(dimethoxyphosphorothioyl)sulfanyl]butanedioate)</v>
      </c>
      <c r="G268" s="64">
        <v>1.568358873637</v>
      </c>
      <c r="H268" s="10">
        <f t="shared" si="55"/>
        <v>1.568358874</v>
      </c>
      <c r="I268" s="65">
        <v>0.06116658702</v>
      </c>
      <c r="J268" s="65">
        <v>0.128125084117</v>
      </c>
      <c r="K268" s="65">
        <v>0.1288659025</v>
      </c>
      <c r="L268" s="65">
        <v>1.2502013</v>
      </c>
      <c r="N268" s="66">
        <v>8.334675333333335</v>
      </c>
      <c r="O268" s="10">
        <f t="shared" si="59"/>
        <v>8.334675333</v>
      </c>
      <c r="Q268" s="67">
        <v>138.06779</v>
      </c>
      <c r="S268" s="68">
        <v>0.16555994</v>
      </c>
      <c r="T268" s="68">
        <v>0.1528596</v>
      </c>
      <c r="U268" s="68">
        <v>0.0068019529</v>
      </c>
      <c r="V268" s="68">
        <v>0.0058983857</v>
      </c>
      <c r="X268" s="69">
        <v>4.2259173E-4</v>
      </c>
      <c r="Y268" s="85" t="s">
        <v>565</v>
      </c>
      <c r="Z268" s="73" t="s">
        <v>571</v>
      </c>
    </row>
    <row r="269" ht="12.75" customHeight="1">
      <c r="A269" s="1" t="s">
        <v>572</v>
      </c>
      <c r="B269" s="2" t="s">
        <v>125</v>
      </c>
      <c r="C269" s="60" t="str">
        <f t="shared" si="57"/>
        <v>A.030.25.107</v>
      </c>
      <c r="D269" s="51" t="s">
        <v>555</v>
      </c>
      <c r="E269" s="62" t="s">
        <v>45</v>
      </c>
      <c r="F269" s="63" t="str">
        <f t="shared" si="58"/>
        <v>Methoxychlor (1.1'-(2.2.2-Trichloroethane-1.1-diyl)bis(4-methoxybenzene))</v>
      </c>
      <c r="G269" s="64">
        <v>0.8042286055069999</v>
      </c>
      <c r="H269" s="10">
        <f t="shared" si="55"/>
        <v>0.8042286055</v>
      </c>
      <c r="I269" s="65">
        <v>0.0321434342</v>
      </c>
      <c r="J269" s="65">
        <v>0.060720931107</v>
      </c>
      <c r="K269" s="65">
        <v>0.0429693502</v>
      </c>
      <c r="L269" s="65">
        <v>0.66839489</v>
      </c>
      <c r="N269" s="66">
        <v>4.455965933333333</v>
      </c>
      <c r="O269" s="10">
        <f t="shared" si="59"/>
        <v>4.455965933</v>
      </c>
      <c r="Q269" s="67">
        <v>70.432956</v>
      </c>
      <c r="S269" s="68">
        <v>0.086831123</v>
      </c>
      <c r="T269" s="68">
        <v>0.079474558</v>
      </c>
      <c r="U269" s="68">
        <v>0.0035954723</v>
      </c>
      <c r="V269" s="68">
        <v>0.0037610921</v>
      </c>
      <c r="X269" s="69">
        <v>2.2323835E-4</v>
      </c>
      <c r="Y269" s="85" t="s">
        <v>573</v>
      </c>
      <c r="Z269" s="73" t="s">
        <v>574</v>
      </c>
    </row>
    <row r="270" ht="12.75" customHeight="1">
      <c r="A270" s="1" t="s">
        <v>575</v>
      </c>
      <c r="B270" s="2" t="s">
        <v>125</v>
      </c>
      <c r="C270" s="60" t="str">
        <f t="shared" si="57"/>
        <v>A.030.25.108</v>
      </c>
      <c r="D270" s="51" t="s">
        <v>555</v>
      </c>
      <c r="E270" s="62" t="s">
        <v>45</v>
      </c>
      <c r="F270" s="63" t="str">
        <f t="shared" si="58"/>
        <v>Methyl  parathion (O.O-Dimethyl O-4-nitrophenyl phosphorothioate)</v>
      </c>
      <c r="G270" s="64">
        <v>1.180667449566</v>
      </c>
      <c r="H270" s="10">
        <f t="shared" si="55"/>
        <v>1.18066745</v>
      </c>
      <c r="I270" s="65">
        <v>0.043814260540000004</v>
      </c>
      <c r="J270" s="65">
        <v>0.083325292926</v>
      </c>
      <c r="K270" s="65">
        <v>0.1019429761</v>
      </c>
      <c r="L270" s="65">
        <v>0.95158492</v>
      </c>
      <c r="N270" s="66">
        <v>6.343899466666667</v>
      </c>
      <c r="O270" s="10">
        <f t="shared" si="59"/>
        <v>6.343899467</v>
      </c>
      <c r="Q270" s="67">
        <v>106.3811</v>
      </c>
      <c r="S270" s="68">
        <v>0.12217805</v>
      </c>
      <c r="T270" s="68">
        <v>0.11260778</v>
      </c>
      <c r="U270" s="68">
        <v>0.0051081998</v>
      </c>
      <c r="V270" s="68">
        <v>0.004462072</v>
      </c>
      <c r="X270" s="69">
        <v>3.1824365E-4</v>
      </c>
      <c r="Y270" s="85" t="s">
        <v>576</v>
      </c>
      <c r="Z270" s="73" t="s">
        <v>577</v>
      </c>
    </row>
    <row r="271" ht="12.75" customHeight="1">
      <c r="A271" s="1" t="s">
        <v>578</v>
      </c>
      <c r="B271" s="2" t="s">
        <v>125</v>
      </c>
      <c r="C271" s="60" t="str">
        <f t="shared" si="57"/>
        <v>A.030.25.109</v>
      </c>
      <c r="D271" s="51" t="s">
        <v>555</v>
      </c>
      <c r="E271" s="62" t="s">
        <v>45</v>
      </c>
      <c r="F271" s="63" t="str">
        <f t="shared" si="58"/>
        <v>Parathion (O.O-Diethyl O-(4-nitrophenyl) phosphorothioate)</v>
      </c>
      <c r="G271" s="64">
        <v>1.010052271162</v>
      </c>
      <c r="H271" s="10">
        <f t="shared" si="55"/>
        <v>1.010052271</v>
      </c>
      <c r="I271" s="65">
        <v>0.03778627486</v>
      </c>
      <c r="J271" s="65">
        <v>0.07035496130199999</v>
      </c>
      <c r="K271" s="65">
        <v>0.080465395</v>
      </c>
      <c r="L271" s="65">
        <v>0.82144564</v>
      </c>
      <c r="N271" s="66">
        <v>5.476304266666666</v>
      </c>
      <c r="O271" s="10">
        <f t="shared" si="59"/>
        <v>5.476304267</v>
      </c>
      <c r="Q271" s="67">
        <v>90.814052</v>
      </c>
      <c r="S271" s="68">
        <v>0.10516265</v>
      </c>
      <c r="T271" s="68">
        <v>0.096735983</v>
      </c>
      <c r="U271" s="68">
        <v>0.0044010268</v>
      </c>
      <c r="V271" s="68">
        <v>0.0040256418</v>
      </c>
      <c r="X271" s="69">
        <v>2.7410838E-4</v>
      </c>
      <c r="Y271" s="85" t="s">
        <v>576</v>
      </c>
      <c r="Z271" s="73" t="s">
        <v>579</v>
      </c>
    </row>
    <row r="272" ht="12.75" customHeight="1">
      <c r="A272" s="1" t="s">
        <v>580</v>
      </c>
      <c r="B272" s="2" t="s">
        <v>125</v>
      </c>
      <c r="C272" s="60" t="str">
        <f t="shared" si="57"/>
        <v>A.030.25.110</v>
      </c>
      <c r="D272" s="51" t="s">
        <v>555</v>
      </c>
      <c r="E272" s="62" t="s">
        <v>45</v>
      </c>
      <c r="F272" s="63" t="str">
        <f t="shared" si="58"/>
        <v>Phorate (O.O-Diethyl S-[(ethylsulfanyl)methyl] phosphorodithioate)</v>
      </c>
      <c r="G272" s="64">
        <v>1.481756031558</v>
      </c>
      <c r="H272" s="10">
        <f t="shared" si="55"/>
        <v>1.481756032</v>
      </c>
      <c r="I272" s="65">
        <v>0.05749223599</v>
      </c>
      <c r="J272" s="65">
        <v>0.120367594068</v>
      </c>
      <c r="K272" s="65">
        <v>0.1247853015</v>
      </c>
      <c r="L272" s="65">
        <v>1.1791109</v>
      </c>
      <c r="N272" s="66">
        <v>7.860739333333333</v>
      </c>
      <c r="O272" s="10">
        <f t="shared" si="59"/>
        <v>7.860739333</v>
      </c>
      <c r="Q272" s="67">
        <v>130.71466</v>
      </c>
      <c r="S272" s="68">
        <v>0.15597138</v>
      </c>
      <c r="T272" s="68">
        <v>0.14406534</v>
      </c>
      <c r="U272" s="68">
        <v>0.0064132328</v>
      </c>
      <c r="V272" s="68">
        <v>0.0054928095</v>
      </c>
      <c r="X272" s="69">
        <v>3.9854004E-4</v>
      </c>
      <c r="Y272" s="85" t="s">
        <v>581</v>
      </c>
      <c r="Z272" s="73" t="s">
        <v>582</v>
      </c>
    </row>
    <row r="273" ht="12.75" customHeight="1">
      <c r="A273" s="1" t="s">
        <v>583</v>
      </c>
      <c r="B273" s="2" t="s">
        <v>125</v>
      </c>
      <c r="C273" s="60" t="str">
        <f t="shared" si="57"/>
        <v>A.030.25.111</v>
      </c>
      <c r="D273" s="51" t="s">
        <v>555</v>
      </c>
      <c r="E273" s="62" t="s">
        <v>45</v>
      </c>
      <c r="F273" s="63" t="str">
        <f t="shared" si="58"/>
        <v>Toxaphene (Polychlorocamphene)</v>
      </c>
      <c r="G273" s="64">
        <v>0.6084762187027</v>
      </c>
      <c r="H273" s="10">
        <f t="shared" si="55"/>
        <v>0.6084762187</v>
      </c>
      <c r="I273" s="65">
        <v>0.022952594410000002</v>
      </c>
      <c r="J273" s="65">
        <v>0.0424206548927</v>
      </c>
      <c r="K273" s="65">
        <v>0.0456463094</v>
      </c>
      <c r="L273" s="65">
        <v>0.49745666</v>
      </c>
      <c r="N273" s="66">
        <v>3.3163777333333333</v>
      </c>
      <c r="O273" s="10">
        <f t="shared" si="59"/>
        <v>3.316377733</v>
      </c>
      <c r="Q273" s="67">
        <v>54.555708</v>
      </c>
      <c r="S273" s="68">
        <v>0.063681969</v>
      </c>
      <c r="T273" s="68">
        <v>0.058510936</v>
      </c>
      <c r="U273" s="68">
        <v>0.0026639435</v>
      </c>
      <c r="V273" s="68">
        <v>0.0025070889</v>
      </c>
      <c r="X273" s="69">
        <v>1.658599E-4</v>
      </c>
      <c r="Y273" s="85" t="s">
        <v>181</v>
      </c>
      <c r="Z273" s="73" t="s">
        <v>584</v>
      </c>
    </row>
    <row r="274" ht="12.75" customHeight="1">
      <c r="B274" s="2"/>
      <c r="C274" s="60"/>
      <c r="D274" s="75" t="s">
        <v>585</v>
      </c>
      <c r="E274" s="62"/>
      <c r="G274" s="10"/>
      <c r="H274" s="10"/>
      <c r="I274" s="10"/>
      <c r="J274" s="10"/>
      <c r="K274" s="10"/>
      <c r="L274" s="10"/>
      <c r="N274" s="10"/>
      <c r="O274" s="10"/>
      <c r="Q274" s="67"/>
      <c r="Y274" s="71"/>
      <c r="Z274" s="48"/>
    </row>
    <row r="275" ht="12.75" customHeight="1">
      <c r="A275" s="1" t="s">
        <v>586</v>
      </c>
      <c r="B275" s="2" t="s">
        <v>125</v>
      </c>
      <c r="C275" s="60" t="str">
        <f t="shared" ref="C275:C280" si="60">MID(A275,1,12)</f>
        <v>A.030.26.101</v>
      </c>
      <c r="D275" s="51" t="s">
        <v>585</v>
      </c>
      <c r="E275" s="62" t="s">
        <v>45</v>
      </c>
      <c r="F275" s="63" t="str">
        <f t="shared" ref="F275:F280" si="61">MID(A275, 21,85)</f>
        <v>Printing Ink Black - conventional</v>
      </c>
      <c r="G275" s="64">
        <v>1.1148748156</v>
      </c>
      <c r="H275" s="10">
        <f t="shared" ref="H275:H280" si="62">G275</f>
        <v>1.114874816</v>
      </c>
      <c r="I275" s="65">
        <v>0.04333600929999999</v>
      </c>
      <c r="J275" s="65">
        <v>0.8126056796</v>
      </c>
      <c r="K275" s="65">
        <v>0.015682386700000002</v>
      </c>
      <c r="L275" s="65">
        <v>0.24325074</v>
      </c>
      <c r="N275" s="66">
        <v>1.6216716</v>
      </c>
      <c r="O275" s="10">
        <f t="shared" ref="O275:O280" si="63">N275</f>
        <v>1.6216716</v>
      </c>
      <c r="Q275" s="67">
        <v>52.566099</v>
      </c>
      <c r="S275" s="68">
        <v>0.040743705</v>
      </c>
      <c r="T275" s="68">
        <v>0.036521738</v>
      </c>
      <c r="U275" s="68">
        <v>0.0014307069</v>
      </c>
      <c r="V275" s="68">
        <v>0.0027912604</v>
      </c>
      <c r="X275" s="69">
        <v>1.2468947E-4</v>
      </c>
      <c r="Y275" s="70"/>
      <c r="Z275" s="48"/>
    </row>
    <row r="276" ht="12.75" customHeight="1">
      <c r="A276" s="1" t="s">
        <v>587</v>
      </c>
      <c r="B276" s="2" t="s">
        <v>125</v>
      </c>
      <c r="C276" s="60" t="str">
        <f t="shared" si="60"/>
        <v>A.030.26.102</v>
      </c>
      <c r="D276" s="51" t="s">
        <v>585</v>
      </c>
      <c r="E276" s="62" t="s">
        <v>45</v>
      </c>
      <c r="F276" s="63" t="str">
        <f t="shared" si="61"/>
        <v>Printing Ink Black - UV inkjet</v>
      </c>
      <c r="G276" s="64">
        <v>2.089185537</v>
      </c>
      <c r="H276" s="10">
        <f t="shared" si="62"/>
        <v>2.089185537</v>
      </c>
      <c r="I276" s="65">
        <v>0.18501083399999999</v>
      </c>
      <c r="J276" s="65">
        <v>1.128039241</v>
      </c>
      <c r="K276" s="65">
        <v>0.149655302</v>
      </c>
      <c r="L276" s="65">
        <v>0.62648016</v>
      </c>
      <c r="N276" s="66">
        <v>4.1765343999999995</v>
      </c>
      <c r="O276" s="10">
        <f t="shared" si="63"/>
        <v>4.1765344</v>
      </c>
      <c r="Q276" s="67">
        <v>109.45375</v>
      </c>
      <c r="S276" s="68">
        <v>0.12581474</v>
      </c>
      <c r="T276" s="68">
        <v>0.11585525</v>
      </c>
      <c r="U276" s="68">
        <v>0.004035797</v>
      </c>
      <c r="V276" s="68">
        <v>0.005923693</v>
      </c>
      <c r="X276" s="69">
        <v>3.9221615E-4</v>
      </c>
      <c r="Y276" s="70"/>
      <c r="Z276" s="48"/>
    </row>
    <row r="277" ht="12.75" customHeight="1">
      <c r="A277" s="1" t="s">
        <v>588</v>
      </c>
      <c r="B277" s="2" t="s">
        <v>125</v>
      </c>
      <c r="C277" s="60" t="str">
        <f t="shared" si="60"/>
        <v>A.030.26.103</v>
      </c>
      <c r="D277" s="51" t="s">
        <v>585</v>
      </c>
      <c r="E277" s="62" t="s">
        <v>45</v>
      </c>
      <c r="F277" s="63" t="str">
        <f t="shared" si="61"/>
        <v>Printing Ink Magenta - conventional</v>
      </c>
      <c r="G277" s="64">
        <v>0.9391648686999999</v>
      </c>
      <c r="H277" s="10">
        <f t="shared" si="62"/>
        <v>0.9391648687</v>
      </c>
      <c r="I277" s="65">
        <v>0.04820713270000001</v>
      </c>
      <c r="J277" s="65">
        <v>0.6044100539999999</v>
      </c>
      <c r="K277" s="65">
        <v>0.038382632</v>
      </c>
      <c r="L277" s="65">
        <v>0.24816505</v>
      </c>
      <c r="N277" s="66">
        <v>1.6544336666666668</v>
      </c>
      <c r="O277" s="10">
        <f t="shared" si="63"/>
        <v>1.654433667</v>
      </c>
      <c r="Q277" s="67">
        <v>50.86755</v>
      </c>
      <c r="S277" s="68">
        <v>0.048633222</v>
      </c>
      <c r="T277" s="68">
        <v>0.044521698</v>
      </c>
      <c r="U277" s="68">
        <v>0.0015734977</v>
      </c>
      <c r="V277" s="68">
        <v>0.0025380262</v>
      </c>
      <c r="X277" s="69">
        <v>1.4036209E-4</v>
      </c>
      <c r="Y277" s="70"/>
      <c r="Z277" s="48"/>
    </row>
    <row r="278" ht="12.75" customHeight="1">
      <c r="A278" s="1" t="s">
        <v>589</v>
      </c>
      <c r="B278" s="2" t="s">
        <v>125</v>
      </c>
      <c r="C278" s="60" t="str">
        <f t="shared" si="60"/>
        <v>A.030.26.104</v>
      </c>
      <c r="D278" s="51" t="s">
        <v>585</v>
      </c>
      <c r="E278" s="62" t="s">
        <v>45</v>
      </c>
      <c r="F278" s="63" t="str">
        <f t="shared" si="61"/>
        <v>Printing Ink Magenta - UV inkjet</v>
      </c>
      <c r="G278" s="64">
        <v>2.1243739020000003</v>
      </c>
      <c r="H278" s="10">
        <f t="shared" si="62"/>
        <v>2.124373902</v>
      </c>
      <c r="I278" s="65">
        <v>0.185672295</v>
      </c>
      <c r="J278" s="65">
        <v>1.158964253</v>
      </c>
      <c r="K278" s="65">
        <v>0.152616204</v>
      </c>
      <c r="L278" s="65">
        <v>0.62712115</v>
      </c>
      <c r="N278" s="66">
        <v>4.180807666666667</v>
      </c>
      <c r="O278" s="10">
        <f t="shared" si="63"/>
        <v>4.180807667</v>
      </c>
      <c r="Q278" s="67">
        <v>109.2322</v>
      </c>
      <c r="S278" s="68">
        <v>0.12661664</v>
      </c>
      <c r="T278" s="68">
        <v>0.11667578</v>
      </c>
      <c r="U278" s="68">
        <v>0.0040501976</v>
      </c>
      <c r="V278" s="68">
        <v>0.0058906625</v>
      </c>
      <c r="X278" s="69">
        <v>3.9409416E-4</v>
      </c>
      <c r="Y278" s="70"/>
      <c r="Z278" s="48"/>
    </row>
    <row r="279" ht="12.75" customHeight="1">
      <c r="A279" s="1" t="s">
        <v>590</v>
      </c>
      <c r="B279" s="2" t="s">
        <v>125</v>
      </c>
      <c r="C279" s="60" t="str">
        <f t="shared" si="60"/>
        <v>A.030.26.105</v>
      </c>
      <c r="D279" s="51" t="s">
        <v>585</v>
      </c>
      <c r="E279" s="62" t="s">
        <v>45</v>
      </c>
      <c r="F279" s="63" t="str">
        <f t="shared" si="61"/>
        <v>Printing Ink Varnish - conventional</v>
      </c>
      <c r="G279" s="64">
        <v>1.00125081049</v>
      </c>
      <c r="H279" s="10">
        <f t="shared" si="62"/>
        <v>1.00125081</v>
      </c>
      <c r="I279" s="65">
        <v>0.0975739588</v>
      </c>
      <c r="J279" s="65">
        <v>0.49932510250000006</v>
      </c>
      <c r="K279" s="65">
        <v>0.00779970919</v>
      </c>
      <c r="L279" s="65">
        <v>0.39655204</v>
      </c>
      <c r="N279" s="66">
        <v>2.643680266666667</v>
      </c>
      <c r="O279" s="10">
        <f t="shared" si="63"/>
        <v>2.643680267</v>
      </c>
      <c r="Q279" s="67">
        <v>68.252328</v>
      </c>
      <c r="S279" s="68">
        <v>0.088084225</v>
      </c>
      <c r="T279" s="68">
        <v>0.080438371</v>
      </c>
      <c r="U279" s="68">
        <v>0.0030080667</v>
      </c>
      <c r="V279" s="68">
        <v>0.0046377879</v>
      </c>
      <c r="X279" s="69">
        <v>2.3826185E-4</v>
      </c>
      <c r="Y279" s="70"/>
      <c r="Z279" s="48"/>
    </row>
    <row r="280" ht="12.75" customHeight="1">
      <c r="A280" s="1" t="s">
        <v>591</v>
      </c>
      <c r="B280" s="2" t="s">
        <v>125</v>
      </c>
      <c r="C280" s="60" t="str">
        <f t="shared" si="60"/>
        <v>A.030.26.106</v>
      </c>
      <c r="D280" s="51" t="s">
        <v>585</v>
      </c>
      <c r="E280" s="62" t="s">
        <v>45</v>
      </c>
      <c r="F280" s="63" t="str">
        <f t="shared" si="61"/>
        <v>Printing Ink White - UV inkjet</v>
      </c>
      <c r="G280" s="64">
        <v>2.289759077999998</v>
      </c>
      <c r="H280" s="10">
        <f t="shared" si="62"/>
        <v>2.289759078</v>
      </c>
      <c r="I280" s="65">
        <v>0.18219955699999998</v>
      </c>
      <c r="J280" s="65">
        <v>1.118307494</v>
      </c>
      <c r="K280" s="65">
        <v>0.37106288699999823</v>
      </c>
      <c r="L280" s="65">
        <v>0.61818914</v>
      </c>
      <c r="N280" s="66">
        <v>4.121260933333334</v>
      </c>
      <c r="O280" s="10">
        <f t="shared" si="63"/>
        <v>4.121260933</v>
      </c>
      <c r="Q280" s="67">
        <v>106.36293</v>
      </c>
      <c r="S280" s="68">
        <v>0.12253891</v>
      </c>
      <c r="T280" s="68">
        <v>0.1125441</v>
      </c>
      <c r="U280" s="68">
        <v>0.0039330822</v>
      </c>
      <c r="V280" s="68">
        <v>0.0060617319</v>
      </c>
      <c r="X280" s="69">
        <v>4.9222011E-4</v>
      </c>
      <c r="Y280" s="70"/>
      <c r="Z280" s="72"/>
    </row>
    <row r="281" ht="12.75" customHeight="1">
      <c r="B281" s="2"/>
      <c r="C281" s="60"/>
      <c r="D281" s="75" t="s">
        <v>592</v>
      </c>
      <c r="E281" s="62"/>
      <c r="G281" s="10"/>
      <c r="H281" s="10"/>
      <c r="I281" s="10"/>
      <c r="J281" s="10"/>
      <c r="K281" s="10"/>
      <c r="L281" s="10"/>
      <c r="N281" s="10"/>
      <c r="O281" s="10"/>
      <c r="Q281" s="67"/>
      <c r="Y281" s="71"/>
      <c r="Z281" s="72"/>
    </row>
    <row r="282" ht="12.75" customHeight="1">
      <c r="A282" s="1" t="s">
        <v>593</v>
      </c>
      <c r="B282" s="2" t="s">
        <v>125</v>
      </c>
      <c r="C282" s="60" t="str">
        <f t="shared" ref="C282:C284" si="64">MID(A282,1,12)</f>
        <v>A.030.28.101</v>
      </c>
      <c r="D282" s="51" t="s">
        <v>592</v>
      </c>
      <c r="E282" s="62" t="s">
        <v>45</v>
      </c>
      <c r="F282" s="63" t="str">
        <f t="shared" ref="F282:F284" si="65">MID(A282, 21,85)</f>
        <v>R-1234 yf</v>
      </c>
      <c r="G282" s="64">
        <v>0.015597719297550001</v>
      </c>
      <c r="H282" s="10">
        <f t="shared" ref="H282:H284" si="66">G282</f>
        <v>0.0155977193</v>
      </c>
      <c r="I282" s="65">
        <v>6.283535031E-4</v>
      </c>
      <c r="J282" s="65">
        <v>9.0049773345E-4</v>
      </c>
      <c r="K282" s="65">
        <v>1.36952061E-4</v>
      </c>
      <c r="L282" s="65">
        <v>0.013931916</v>
      </c>
      <c r="N282" s="66">
        <v>0.09287944000000001</v>
      </c>
      <c r="O282" s="10">
        <f t="shared" ref="O282:O284" si="67">N282</f>
        <v>0.09287944</v>
      </c>
      <c r="Q282" s="67">
        <v>17.763779</v>
      </c>
      <c r="S282" s="68">
        <v>0.00289413</v>
      </c>
      <c r="T282" s="68">
        <v>0.0015542456</v>
      </c>
      <c r="U282" s="68">
        <v>7.3068594E-5</v>
      </c>
      <c r="V282" s="68">
        <v>0.0012668158</v>
      </c>
      <c r="X282" s="69">
        <v>2.4327743E-5</v>
      </c>
      <c r="Y282" s="76" t="s">
        <v>594</v>
      </c>
      <c r="Z282" s="73" t="s">
        <v>595</v>
      </c>
    </row>
    <row r="283" ht="12.75" customHeight="1">
      <c r="A283" s="1" t="s">
        <v>596</v>
      </c>
      <c r="B283" s="2" t="s">
        <v>125</v>
      </c>
      <c r="C283" s="60" t="str">
        <f t="shared" si="64"/>
        <v>A.030.28.102</v>
      </c>
      <c r="D283" s="51" t="s">
        <v>592</v>
      </c>
      <c r="E283" s="62" t="s">
        <v>45</v>
      </c>
      <c r="F283" s="63" t="str">
        <f t="shared" si="65"/>
        <v>R-134a</v>
      </c>
      <c r="G283" s="64">
        <v>0.00570548150179</v>
      </c>
      <c r="H283" s="10">
        <f t="shared" si="66"/>
        <v>0.005705481502</v>
      </c>
      <c r="I283" s="65">
        <v>2.298450947E-4</v>
      </c>
      <c r="J283" s="65">
        <v>3.2939258549E-4</v>
      </c>
      <c r="K283" s="65">
        <v>5.0095621599999996E-5</v>
      </c>
      <c r="L283" s="65">
        <v>0.0050961482</v>
      </c>
      <c r="N283" s="66">
        <v>0.033974321333333335</v>
      </c>
      <c r="O283" s="10">
        <f t="shared" si="67"/>
        <v>0.03397432133</v>
      </c>
      <c r="Q283" s="67">
        <v>12.746392</v>
      </c>
      <c r="S283" s="68">
        <v>0.0015047915</v>
      </c>
      <c r="T283" s="68">
        <v>5.6852666E-4</v>
      </c>
      <c r="U283" s="68">
        <v>2.6727723E-5</v>
      </c>
      <c r="V283" s="68">
        <v>9.095371E-4</v>
      </c>
      <c r="X283" s="69">
        <v>1.6443803E-5</v>
      </c>
      <c r="Y283" s="76" t="s">
        <v>597</v>
      </c>
      <c r="Z283" s="73" t="s">
        <v>598</v>
      </c>
    </row>
    <row r="284" ht="12.75" customHeight="1">
      <c r="A284" s="1" t="s">
        <v>599</v>
      </c>
      <c r="B284" s="2" t="s">
        <v>125</v>
      </c>
      <c r="C284" s="60" t="str">
        <f t="shared" si="64"/>
        <v>A.030.28.103</v>
      </c>
      <c r="D284" s="51" t="s">
        <v>592</v>
      </c>
      <c r="E284" s="62" t="s">
        <v>45</v>
      </c>
      <c r="F284" s="63" t="str">
        <f t="shared" si="65"/>
        <v>R-744 (CO2)</v>
      </c>
      <c r="G284" s="64">
        <v>0.0843674507192</v>
      </c>
      <c r="H284" s="10">
        <f t="shared" si="66"/>
        <v>0.08436745072</v>
      </c>
      <c r="I284" s="65">
        <v>0.0030732967140000003</v>
      </c>
      <c r="J284" s="65">
        <v>0.0051701429152</v>
      </c>
      <c r="K284" s="65">
        <v>0.00641436309</v>
      </c>
      <c r="L284" s="65">
        <v>0.069709648</v>
      </c>
      <c r="N284" s="66">
        <v>0.4647309866666667</v>
      </c>
      <c r="O284" s="10">
        <f t="shared" si="67"/>
        <v>0.4647309867</v>
      </c>
      <c r="Q284" s="67">
        <v>7.6873639</v>
      </c>
      <c r="S284" s="68">
        <v>0.0087174769</v>
      </c>
      <c r="T284" s="68">
        <v>0.0079938607</v>
      </c>
      <c r="U284" s="68">
        <v>3.6951427E-4</v>
      </c>
      <c r="V284" s="68">
        <v>3.5410193E-4</v>
      </c>
      <c r="X284" s="69">
        <v>2.3050639E-5</v>
      </c>
      <c r="Y284" s="76" t="s">
        <v>169</v>
      </c>
      <c r="Z284" s="73" t="s">
        <v>600</v>
      </c>
    </row>
    <row r="285" ht="12.75" customHeight="1">
      <c r="B285" s="2"/>
      <c r="C285" s="60"/>
      <c r="D285" s="75" t="s">
        <v>601</v>
      </c>
      <c r="E285" s="62"/>
      <c r="G285" s="10"/>
      <c r="H285" s="10"/>
      <c r="I285" s="10"/>
      <c r="J285" s="10"/>
      <c r="K285" s="10"/>
      <c r="L285" s="10"/>
      <c r="N285" s="10"/>
      <c r="O285" s="10"/>
      <c r="Q285" s="67"/>
      <c r="Y285" s="71"/>
      <c r="Z285" s="48"/>
    </row>
    <row r="286" ht="12.75" customHeight="1">
      <c r="A286" s="1" t="s">
        <v>602</v>
      </c>
      <c r="B286" s="2" t="s">
        <v>125</v>
      </c>
      <c r="C286" s="60" t="str">
        <f t="shared" ref="C286:C289" si="68">MID(A286,1,12)</f>
        <v>A.030.30.101</v>
      </c>
      <c r="D286" s="51" t="s">
        <v>601</v>
      </c>
      <c r="E286" s="62" t="s">
        <v>45</v>
      </c>
      <c r="F286" s="63" t="str">
        <f t="shared" ref="F286:F289" si="69">MID(A286, 21,85)</f>
        <v>Carboxymethyl cellulose</v>
      </c>
      <c r="G286" s="64">
        <v>0.737025521055209</v>
      </c>
      <c r="H286" s="10">
        <f t="shared" ref="H286:H289" si="70">G286</f>
        <v>0.7370255211</v>
      </c>
      <c r="I286" s="65">
        <v>0.04418981222</v>
      </c>
      <c r="J286" s="65">
        <v>0.10998504748000001</v>
      </c>
      <c r="K286" s="65">
        <v>0.02883928135520897</v>
      </c>
      <c r="L286" s="65">
        <v>0.55401138</v>
      </c>
      <c r="N286" s="66">
        <v>3.6934092000000005</v>
      </c>
      <c r="O286" s="10">
        <f t="shared" ref="O286:O289" si="71">N286</f>
        <v>3.6934092</v>
      </c>
      <c r="Q286" s="67">
        <v>48.938746</v>
      </c>
      <c r="S286" s="68">
        <v>0.087759228</v>
      </c>
      <c r="T286" s="68">
        <v>0.08183877</v>
      </c>
      <c r="U286" s="68">
        <v>0.0032896782</v>
      </c>
      <c r="V286" s="68">
        <v>0.0026307796</v>
      </c>
      <c r="X286" s="69">
        <v>2.0834207E-4</v>
      </c>
      <c r="Y286" s="79" t="s">
        <v>181</v>
      </c>
      <c r="Z286" s="48"/>
    </row>
    <row r="287" ht="12.75" customHeight="1">
      <c r="A287" s="1" t="s">
        <v>603</v>
      </c>
      <c r="B287" s="2" t="s">
        <v>125</v>
      </c>
      <c r="C287" s="60" t="str">
        <f t="shared" si="68"/>
        <v>A.030.30.102</v>
      </c>
      <c r="D287" s="51" t="s">
        <v>601</v>
      </c>
      <c r="E287" s="62" t="s">
        <v>45</v>
      </c>
      <c r="F287" s="63" t="str">
        <f t="shared" si="69"/>
        <v>Fluorescent whitening agent DAS1 - triazinylaminostilben type</v>
      </c>
      <c r="G287" s="64">
        <v>5.1249888141</v>
      </c>
      <c r="H287" s="10">
        <f t="shared" si="70"/>
        <v>5.124988814</v>
      </c>
      <c r="I287" s="65">
        <v>0.6785322341</v>
      </c>
      <c r="J287" s="65">
        <v>2.2955929200000003</v>
      </c>
      <c r="K287" s="65">
        <v>0.50626366</v>
      </c>
      <c r="L287" s="65">
        <v>1.6446</v>
      </c>
      <c r="N287" s="66">
        <v>10.964</v>
      </c>
      <c r="O287" s="10">
        <f t="shared" si="71"/>
        <v>10.964</v>
      </c>
      <c r="Q287" s="67">
        <v>225.86633</v>
      </c>
      <c r="S287" s="68">
        <v>0.49741265</v>
      </c>
      <c r="T287" s="68">
        <v>0.47157094</v>
      </c>
      <c r="U287" s="68">
        <v>0.013089781</v>
      </c>
      <c r="V287" s="68">
        <v>0.012751925</v>
      </c>
      <c r="X287" s="69">
        <v>0.0012613251</v>
      </c>
      <c r="Y287" s="79" t="s">
        <v>181</v>
      </c>
      <c r="Z287" s="48"/>
    </row>
    <row r="288" ht="12.75" customHeight="1">
      <c r="A288" s="1" t="s">
        <v>604</v>
      </c>
      <c r="B288" s="2" t="s">
        <v>125</v>
      </c>
      <c r="C288" s="60" t="str">
        <f t="shared" si="68"/>
        <v>A.030.30.103</v>
      </c>
      <c r="D288" s="51" t="s">
        <v>601</v>
      </c>
      <c r="E288" s="62" t="s">
        <v>45</v>
      </c>
      <c r="F288" s="63" t="str">
        <f t="shared" si="69"/>
        <v>Fluorescent whitening agent - distyrylbiphenyl type</v>
      </c>
      <c r="G288" s="64">
        <v>7.3579850781000005</v>
      </c>
      <c r="H288" s="10">
        <f t="shared" si="70"/>
        <v>7.357985078</v>
      </c>
      <c r="I288" s="65">
        <v>1.0850900381</v>
      </c>
      <c r="J288" s="65">
        <v>2.0142006</v>
      </c>
      <c r="K288" s="65">
        <v>0.87124444</v>
      </c>
      <c r="L288" s="65">
        <v>3.38745</v>
      </c>
      <c r="N288" s="66">
        <v>22.583</v>
      </c>
      <c r="O288" s="10">
        <f t="shared" si="71"/>
        <v>22.583</v>
      </c>
      <c r="Q288" s="67">
        <v>486.16915</v>
      </c>
      <c r="S288" s="68">
        <v>0.80986879</v>
      </c>
      <c r="T288" s="68">
        <v>0.75844153</v>
      </c>
      <c r="U288" s="68">
        <v>0.023682947</v>
      </c>
      <c r="V288" s="68">
        <v>0.027744309</v>
      </c>
      <c r="X288" s="69">
        <v>0.0020639468</v>
      </c>
      <c r="Y288" s="79" t="s">
        <v>181</v>
      </c>
      <c r="Z288" s="48"/>
    </row>
    <row r="289" ht="12.75" customHeight="1">
      <c r="A289" s="1" t="s">
        <v>605</v>
      </c>
      <c r="B289" s="2" t="s">
        <v>125</v>
      </c>
      <c r="C289" s="60" t="str">
        <f t="shared" si="68"/>
        <v>A.030.30.104</v>
      </c>
      <c r="D289" s="51" t="s">
        <v>601</v>
      </c>
      <c r="E289" s="62" t="s">
        <v>45</v>
      </c>
      <c r="F289" s="63" t="str">
        <f t="shared" si="69"/>
        <v>Sodium dodecylbenzenesulfonate</v>
      </c>
      <c r="G289" s="64">
        <v>0.2883365097581</v>
      </c>
      <c r="H289" s="10">
        <f t="shared" si="70"/>
        <v>0.2883365098</v>
      </c>
      <c r="I289" s="65">
        <v>0.01082976692</v>
      </c>
      <c r="J289" s="65">
        <v>0.0148218410481</v>
      </c>
      <c r="K289" s="65">
        <v>0.00225322179</v>
      </c>
      <c r="L289" s="65">
        <v>0.26043168</v>
      </c>
      <c r="N289" s="66">
        <v>1.7362112</v>
      </c>
      <c r="O289" s="10">
        <f t="shared" si="71"/>
        <v>1.7362112</v>
      </c>
      <c r="Q289" s="67">
        <v>67.167009</v>
      </c>
      <c r="S289" s="68">
        <v>0.035617293</v>
      </c>
      <c r="T289" s="68">
        <v>0.029454146</v>
      </c>
      <c r="U289" s="68">
        <v>0.0013923968</v>
      </c>
      <c r="V289" s="68">
        <v>0.0047707496</v>
      </c>
      <c r="X289" s="69">
        <v>1.3490443E-4</v>
      </c>
      <c r="Y289" s="76" t="s">
        <v>233</v>
      </c>
      <c r="Z289" s="86"/>
    </row>
    <row r="290" ht="12.75" customHeight="1">
      <c r="B290" s="2"/>
      <c r="C290" s="60"/>
      <c r="D290" s="75" t="s">
        <v>606</v>
      </c>
      <c r="E290" s="62"/>
      <c r="G290" s="10"/>
      <c r="H290" s="10"/>
      <c r="I290" s="10"/>
      <c r="J290" s="10"/>
      <c r="K290" s="10"/>
      <c r="L290" s="10"/>
      <c r="N290" s="10"/>
      <c r="O290" s="10"/>
      <c r="Q290" s="67"/>
      <c r="Y290" s="71"/>
      <c r="Z290" s="86"/>
    </row>
    <row r="291" ht="12.75" customHeight="1">
      <c r="A291" s="1" t="s">
        <v>607</v>
      </c>
      <c r="B291" s="2" t="s">
        <v>125</v>
      </c>
      <c r="C291" s="60" t="str">
        <f t="shared" ref="C291:C306" si="72">MID(A291,1,12)</f>
        <v>A.030.36.101</v>
      </c>
      <c r="D291" s="51" t="s">
        <v>606</v>
      </c>
      <c r="E291" s="62" t="s">
        <v>45</v>
      </c>
      <c r="F291" s="63" t="str">
        <f t="shared" ref="F291:F306" si="73">MID(A291, 21,85)</f>
        <v>3-dimethylamino-propylamine</v>
      </c>
      <c r="G291" s="64">
        <v>0.799245791303</v>
      </c>
      <c r="H291" s="10">
        <f t="shared" ref="H291:H306" si="74">G291</f>
        <v>0.7992457913</v>
      </c>
      <c r="I291" s="65">
        <v>0.03010357438</v>
      </c>
      <c r="J291" s="65">
        <v>0.041727082933</v>
      </c>
      <c r="K291" s="65">
        <v>0.00634424399</v>
      </c>
      <c r="L291" s="65">
        <v>0.72107089</v>
      </c>
      <c r="N291" s="66">
        <v>4.807139266666667</v>
      </c>
      <c r="O291" s="10">
        <f t="shared" ref="O291:O306" si="75">N291</f>
        <v>4.807139267</v>
      </c>
      <c r="Q291" s="67">
        <v>120.06762</v>
      </c>
      <c r="S291" s="68">
        <v>0.093601357</v>
      </c>
      <c r="T291" s="68">
        <v>0.081262335</v>
      </c>
      <c r="U291" s="68">
        <v>0.0038365142</v>
      </c>
      <c r="V291" s="68">
        <v>0.0085025081</v>
      </c>
      <c r="X291" s="69">
        <v>2.93297E-4</v>
      </c>
      <c r="Y291" s="76" t="s">
        <v>323</v>
      </c>
      <c r="Z291" s="73" t="s">
        <v>608</v>
      </c>
    </row>
    <row r="292" ht="12.75" customHeight="1">
      <c r="A292" s="1" t="s">
        <v>609</v>
      </c>
      <c r="B292" s="2" t="s">
        <v>125</v>
      </c>
      <c r="C292" s="60" t="str">
        <f t="shared" si="72"/>
        <v>A.030.36.102</v>
      </c>
      <c r="D292" s="51" t="s">
        <v>606</v>
      </c>
      <c r="E292" s="62" t="s">
        <v>45</v>
      </c>
      <c r="F292" s="63" t="str">
        <f t="shared" si="73"/>
        <v>Aminoethylethanol-amine</v>
      </c>
      <c r="G292" s="64">
        <v>0.4854124361437</v>
      </c>
      <c r="H292" s="10">
        <f t="shared" si="74"/>
        <v>0.4854124361</v>
      </c>
      <c r="I292" s="65">
        <v>0.01751147928</v>
      </c>
      <c r="J292" s="65">
        <v>0.0243117727237</v>
      </c>
      <c r="K292" s="65">
        <v>0.0036963841400000003</v>
      </c>
      <c r="L292" s="65">
        <v>0.4398928</v>
      </c>
      <c r="N292" s="66">
        <v>2.9326186666666665</v>
      </c>
      <c r="O292" s="10">
        <f t="shared" si="75"/>
        <v>2.932618667</v>
      </c>
      <c r="Q292" s="67">
        <v>72.802592</v>
      </c>
      <c r="S292" s="68">
        <v>0.057129132</v>
      </c>
      <c r="T292" s="68">
        <v>0.049627657</v>
      </c>
      <c r="U292" s="68">
        <v>0.0023443411</v>
      </c>
      <c r="V292" s="68">
        <v>0.0051571342</v>
      </c>
      <c r="X292" s="69">
        <v>1.7802653E-4</v>
      </c>
      <c r="Y292" s="76" t="s">
        <v>323</v>
      </c>
      <c r="Z292" s="73" t="s">
        <v>610</v>
      </c>
    </row>
    <row r="293" ht="12.75" customHeight="1">
      <c r="A293" s="1" t="s">
        <v>611</v>
      </c>
      <c r="B293" s="2" t="s">
        <v>125</v>
      </c>
      <c r="C293" s="60" t="str">
        <f t="shared" si="72"/>
        <v>A.030.36.103</v>
      </c>
      <c r="D293" s="51" t="s">
        <v>606</v>
      </c>
      <c r="E293" s="62" t="s">
        <v>45</v>
      </c>
      <c r="F293" s="63" t="str">
        <f t="shared" si="73"/>
        <v>Beef tallow</v>
      </c>
      <c r="G293" s="64">
        <v>0.4044479649045</v>
      </c>
      <c r="H293" s="10">
        <f t="shared" si="74"/>
        <v>0.4044479649</v>
      </c>
      <c r="I293" s="65">
        <v>0.009175260065999998</v>
      </c>
      <c r="J293" s="65">
        <v>0.0078871709585</v>
      </c>
      <c r="K293" s="65">
        <v>0.0011923238799999999</v>
      </c>
      <c r="L293" s="65">
        <v>0.38619321</v>
      </c>
      <c r="N293" s="66">
        <v>2.5746214000000003</v>
      </c>
      <c r="O293" s="10">
        <f t="shared" si="75"/>
        <v>2.5746214</v>
      </c>
      <c r="Q293" s="67">
        <v>16.644254</v>
      </c>
      <c r="S293" s="68">
        <v>0.04961537</v>
      </c>
      <c r="T293" s="68">
        <v>0.046207253</v>
      </c>
      <c r="U293" s="68">
        <v>0.0022329334</v>
      </c>
      <c r="V293" s="68">
        <v>0.001175184</v>
      </c>
      <c r="X293" s="69">
        <v>9.5420636E-5</v>
      </c>
      <c r="Y293" s="79" t="s">
        <v>181</v>
      </c>
      <c r="Z293" s="86"/>
    </row>
    <row r="294" ht="12.75" customHeight="1">
      <c r="A294" s="1" t="s">
        <v>612</v>
      </c>
      <c r="B294" s="2" t="s">
        <v>125</v>
      </c>
      <c r="C294" s="60" t="str">
        <f t="shared" si="72"/>
        <v>A.030.36.104</v>
      </c>
      <c r="D294" s="51" t="s">
        <v>606</v>
      </c>
      <c r="E294" s="62" t="s">
        <v>45</v>
      </c>
      <c r="F294" s="63" t="str">
        <f t="shared" si="73"/>
        <v>C16–C18 fatty alcohol (palm oil)</v>
      </c>
      <c r="G294" s="64">
        <v>0.2955988243916</v>
      </c>
      <c r="H294" s="10">
        <f t="shared" si="74"/>
        <v>0.2955988244</v>
      </c>
      <c r="I294" s="65">
        <v>0.006481412099000001</v>
      </c>
      <c r="J294" s="65">
        <v>0.0051275820996</v>
      </c>
      <c r="K294" s="65">
        <v>7.74740193E-4</v>
      </c>
      <c r="L294" s="65">
        <v>0.28321509</v>
      </c>
      <c r="N294" s="66">
        <v>1.8881006</v>
      </c>
      <c r="O294" s="10">
        <f t="shared" si="75"/>
        <v>1.8881006</v>
      </c>
      <c r="Q294" s="67">
        <v>11.030616</v>
      </c>
      <c r="S294" s="68">
        <v>0.036282526</v>
      </c>
      <c r="T294" s="68">
        <v>0.033866468</v>
      </c>
      <c r="U294" s="68">
        <v>0.0016370599</v>
      </c>
      <c r="V294" s="68">
        <v>7.7899875E-4</v>
      </c>
      <c r="X294" s="69">
        <v>6.8379876E-5</v>
      </c>
      <c r="Y294" s="79" t="s">
        <v>181</v>
      </c>
      <c r="Z294" s="73" t="s">
        <v>613</v>
      </c>
    </row>
    <row r="295" ht="12.75" customHeight="1">
      <c r="A295" s="1" t="s">
        <v>614</v>
      </c>
      <c r="B295" s="2" t="s">
        <v>125</v>
      </c>
      <c r="C295" s="60" t="str">
        <f t="shared" si="72"/>
        <v>A.030.36.105</v>
      </c>
      <c r="D295" s="51" t="s">
        <v>606</v>
      </c>
      <c r="E295" s="62" t="s">
        <v>45</v>
      </c>
      <c r="F295" s="63" t="str">
        <f t="shared" si="73"/>
        <v>C16–C18 fatty alcohol (tallow)</v>
      </c>
      <c r="G295" s="64">
        <v>0.45655300089109996</v>
      </c>
      <c r="H295" s="10">
        <f t="shared" si="74"/>
        <v>0.4565530009</v>
      </c>
      <c r="I295" s="65">
        <v>0.011207873962</v>
      </c>
      <c r="J295" s="65">
        <v>0.0107385116891</v>
      </c>
      <c r="K295" s="65">
        <v>0.00162588524</v>
      </c>
      <c r="L295" s="65">
        <v>0.43298073</v>
      </c>
      <c r="N295" s="66">
        <v>2.8865382</v>
      </c>
      <c r="O295" s="10">
        <f t="shared" si="75"/>
        <v>2.8865382</v>
      </c>
      <c r="Q295" s="67">
        <v>22.832145</v>
      </c>
      <c r="S295" s="68">
        <v>0.055554768</v>
      </c>
      <c r="T295" s="68">
        <v>0.051461934</v>
      </c>
      <c r="U295" s="68">
        <v>0.0024806399</v>
      </c>
      <c r="V295" s="68">
        <v>0.0016121938</v>
      </c>
      <c r="X295" s="69">
        <v>1.1253611E-4</v>
      </c>
      <c r="Y295" s="79" t="s">
        <v>181</v>
      </c>
      <c r="Z295" s="73" t="s">
        <v>613</v>
      </c>
    </row>
    <row r="296" ht="12.75" customHeight="1">
      <c r="A296" s="1" t="s">
        <v>615</v>
      </c>
      <c r="B296" s="2" t="s">
        <v>125</v>
      </c>
      <c r="C296" s="60" t="str">
        <f t="shared" si="72"/>
        <v>A.030.36.106</v>
      </c>
      <c r="D296" s="51" t="s">
        <v>606</v>
      </c>
      <c r="E296" s="62" t="s">
        <v>45</v>
      </c>
      <c r="F296" s="63" t="str">
        <f t="shared" si="73"/>
        <v>Chloroacetic acid (2)</v>
      </c>
      <c r="G296" s="64">
        <v>0.2394517473946</v>
      </c>
      <c r="H296" s="10">
        <f t="shared" si="74"/>
        <v>0.2394517474</v>
      </c>
      <c r="I296" s="65">
        <v>0.009264738290000001</v>
      </c>
      <c r="J296" s="65">
        <v>0.012969149604600001</v>
      </c>
      <c r="K296" s="65">
        <v>0.0019719895</v>
      </c>
      <c r="L296" s="65">
        <v>0.21524587</v>
      </c>
      <c r="N296" s="66">
        <v>1.4349724666666668</v>
      </c>
      <c r="O296" s="10">
        <f t="shared" si="75"/>
        <v>1.434972467</v>
      </c>
      <c r="Q296" s="67">
        <v>32.212064</v>
      </c>
      <c r="S296" s="68">
        <v>0.027611548</v>
      </c>
      <c r="T296" s="68">
        <v>0.024192642</v>
      </c>
      <c r="U296" s="68">
        <v>0.0011408227</v>
      </c>
      <c r="V296" s="68">
        <v>0.0022780838</v>
      </c>
      <c r="X296" s="69">
        <v>8.326389E-5</v>
      </c>
      <c r="Y296" s="76" t="s">
        <v>149</v>
      </c>
      <c r="Z296" s="73" t="s">
        <v>150</v>
      </c>
    </row>
    <row r="297" ht="12.75" customHeight="1">
      <c r="A297" s="1" t="s">
        <v>616</v>
      </c>
      <c r="B297" s="2" t="s">
        <v>125</v>
      </c>
      <c r="C297" s="60" t="str">
        <f t="shared" si="72"/>
        <v>A.030.36.107</v>
      </c>
      <c r="D297" s="51" t="s">
        <v>606</v>
      </c>
      <c r="E297" s="62" t="s">
        <v>45</v>
      </c>
      <c r="F297" s="63" t="str">
        <f t="shared" si="73"/>
        <v>Coconut oil methyl ester</v>
      </c>
      <c r="G297" s="64">
        <v>0.1102514399602</v>
      </c>
      <c r="H297" s="10">
        <f t="shared" si="74"/>
        <v>0.11025144</v>
      </c>
      <c r="I297" s="65">
        <v>0.0033570977760000002</v>
      </c>
      <c r="J297" s="65">
        <v>0.004545924827199999</v>
      </c>
      <c r="K297" s="65">
        <v>6.91127357E-4</v>
      </c>
      <c r="L297" s="65">
        <v>0.10165729</v>
      </c>
      <c r="N297" s="66">
        <v>0.6777152666666667</v>
      </c>
      <c r="O297" s="10">
        <f t="shared" si="75"/>
        <v>0.6777152667</v>
      </c>
      <c r="Q297" s="67">
        <v>11.249873</v>
      </c>
      <c r="S297" s="68">
        <v>0.012868564</v>
      </c>
      <c r="T297" s="68">
        <v>0.011526912</v>
      </c>
      <c r="U297" s="68">
        <v>5.4607156E-4</v>
      </c>
      <c r="V297" s="68">
        <v>7.9558045E-4</v>
      </c>
      <c r="X297" s="69">
        <v>3.4032626E-5</v>
      </c>
      <c r="Y297" s="79" t="s">
        <v>181</v>
      </c>
      <c r="Z297" s="73" t="s">
        <v>617</v>
      </c>
    </row>
    <row r="298" ht="12.75" customHeight="1">
      <c r="A298" s="1" t="s">
        <v>618</v>
      </c>
      <c r="B298" s="2" t="s">
        <v>125</v>
      </c>
      <c r="C298" s="60" t="str">
        <f t="shared" si="72"/>
        <v>A.030.36.108</v>
      </c>
      <c r="D298" s="51" t="s">
        <v>606</v>
      </c>
      <c r="E298" s="62" t="s">
        <v>45</v>
      </c>
      <c r="F298" s="63" t="str">
        <f t="shared" si="73"/>
        <v>Cumene</v>
      </c>
      <c r="G298" s="64">
        <v>0.2023206163342</v>
      </c>
      <c r="H298" s="10">
        <f t="shared" si="74"/>
        <v>0.2023206163</v>
      </c>
      <c r="I298" s="65">
        <v>0.007563925368</v>
      </c>
      <c r="J298" s="65">
        <v>0.010326378036200002</v>
      </c>
      <c r="K298" s="65">
        <v>0.00156978293</v>
      </c>
      <c r="L298" s="65">
        <v>0.18286053</v>
      </c>
      <c r="N298" s="66">
        <v>1.2190702</v>
      </c>
      <c r="O298" s="10">
        <f t="shared" si="75"/>
        <v>1.2190702</v>
      </c>
      <c r="Q298" s="67">
        <v>64.565545</v>
      </c>
      <c r="S298" s="68">
        <v>0.026266293</v>
      </c>
      <c r="T298" s="68">
        <v>0.020695114</v>
      </c>
      <c r="U298" s="68">
        <v>9.7859885E-4</v>
      </c>
      <c r="V298" s="68">
        <v>0.0045925804</v>
      </c>
      <c r="X298" s="69">
        <v>1.1591776E-4</v>
      </c>
      <c r="Y298" s="76" t="s">
        <v>297</v>
      </c>
      <c r="Z298" s="73" t="s">
        <v>619</v>
      </c>
    </row>
    <row r="299" ht="12.75" customHeight="1">
      <c r="A299" s="1" t="s">
        <v>620</v>
      </c>
      <c r="B299" s="2" t="s">
        <v>125</v>
      </c>
      <c r="C299" s="60" t="str">
        <f t="shared" si="72"/>
        <v>A.030.36.109</v>
      </c>
      <c r="D299" s="51" t="s">
        <v>606</v>
      </c>
      <c r="E299" s="62" t="s">
        <v>45</v>
      </c>
      <c r="F299" s="63" t="str">
        <f t="shared" si="73"/>
        <v>Diethanolamine</v>
      </c>
      <c r="G299" s="64">
        <v>0.36324811572800003</v>
      </c>
      <c r="H299" s="10">
        <f t="shared" si="74"/>
        <v>0.3632481157</v>
      </c>
      <c r="I299" s="65">
        <v>0.013392864849999998</v>
      </c>
      <c r="J299" s="65">
        <v>0.018575545117999998</v>
      </c>
      <c r="K299" s="65">
        <v>0.00282421576</v>
      </c>
      <c r="L299" s="65">
        <v>0.32845549</v>
      </c>
      <c r="N299" s="66">
        <v>2.1897032666666667</v>
      </c>
      <c r="O299" s="10">
        <f t="shared" si="75"/>
        <v>2.189703267</v>
      </c>
      <c r="Q299" s="67">
        <v>58.152207</v>
      </c>
      <c r="S299" s="68">
        <v>0.042915813</v>
      </c>
      <c r="T299" s="68">
        <v>0.037045435</v>
      </c>
      <c r="U299" s="68">
        <v>0.0017496142</v>
      </c>
      <c r="V299" s="68">
        <v>0.0041207639</v>
      </c>
      <c r="X299" s="69">
        <v>1.3768412E-4</v>
      </c>
      <c r="Y299" s="76" t="s">
        <v>323</v>
      </c>
      <c r="Z299" s="73" t="s">
        <v>621</v>
      </c>
    </row>
    <row r="300" ht="12.75" customHeight="1">
      <c r="A300" s="1" t="s">
        <v>622</v>
      </c>
      <c r="B300" s="2" t="s">
        <v>125</v>
      </c>
      <c r="C300" s="60" t="str">
        <f t="shared" si="72"/>
        <v>A.030.36.110</v>
      </c>
      <c r="D300" s="51" t="s">
        <v>606</v>
      </c>
      <c r="E300" s="62" t="s">
        <v>45</v>
      </c>
      <c r="F300" s="63" t="str">
        <f t="shared" si="73"/>
        <v>Dimethylamine (2)</v>
      </c>
      <c r="G300" s="64">
        <v>0.499324009802</v>
      </c>
      <c r="H300" s="10">
        <f t="shared" si="74"/>
        <v>0.4993240098</v>
      </c>
      <c r="I300" s="65">
        <v>0.018380192679999997</v>
      </c>
      <c r="J300" s="65">
        <v>0.025660015222</v>
      </c>
      <c r="K300" s="65">
        <v>0.0039015719</v>
      </c>
      <c r="L300" s="65">
        <v>0.45138223</v>
      </c>
      <c r="N300" s="66">
        <v>3.009214866666667</v>
      </c>
      <c r="O300" s="10">
        <f t="shared" si="75"/>
        <v>3.009214867</v>
      </c>
      <c r="Q300" s="67">
        <v>87.611445</v>
      </c>
      <c r="S300" s="68">
        <v>0.059444708</v>
      </c>
      <c r="T300" s="68">
        <v>0.050833054</v>
      </c>
      <c r="U300" s="68">
        <v>0.0023994423</v>
      </c>
      <c r="V300" s="68">
        <v>0.006212212</v>
      </c>
      <c r="X300" s="69">
        <v>1.9860363E-4</v>
      </c>
      <c r="Y300" s="76" t="s">
        <v>323</v>
      </c>
      <c r="Z300" s="73" t="s">
        <v>423</v>
      </c>
    </row>
    <row r="301" ht="12.75" customHeight="1">
      <c r="A301" s="1" t="s">
        <v>623</v>
      </c>
      <c r="B301" s="2" t="s">
        <v>125</v>
      </c>
      <c r="C301" s="60" t="str">
        <f t="shared" si="72"/>
        <v>A.030.36.111</v>
      </c>
      <c r="D301" s="51" t="s">
        <v>606</v>
      </c>
      <c r="E301" s="62" t="s">
        <v>45</v>
      </c>
      <c r="F301" s="63" t="str">
        <f t="shared" si="73"/>
        <v>Dimethylsulfate</v>
      </c>
      <c r="G301" s="64">
        <v>0.1936729330751</v>
      </c>
      <c r="H301" s="10">
        <f t="shared" si="74"/>
        <v>0.1936729331</v>
      </c>
      <c r="I301" s="65">
        <v>0.00745346756</v>
      </c>
      <c r="J301" s="65">
        <v>0.0103735043051</v>
      </c>
      <c r="K301" s="65">
        <v>0.0015772312100000001</v>
      </c>
      <c r="L301" s="65">
        <v>0.17426873</v>
      </c>
      <c r="N301" s="66">
        <v>1.1617915333333335</v>
      </c>
      <c r="O301" s="10">
        <f t="shared" si="75"/>
        <v>1.161791533</v>
      </c>
      <c r="Q301" s="67">
        <v>33.38924</v>
      </c>
      <c r="S301" s="68">
        <v>0.022910447</v>
      </c>
      <c r="T301" s="68">
        <v>0.019618242</v>
      </c>
      <c r="U301" s="68">
        <v>9.2569527E-4</v>
      </c>
      <c r="V301" s="68">
        <v>0.0023665096</v>
      </c>
      <c r="X301" s="69">
        <v>7.6294871E-5</v>
      </c>
      <c r="Y301" s="76" t="s">
        <v>624</v>
      </c>
      <c r="Z301" s="73" t="s">
        <v>625</v>
      </c>
    </row>
    <row r="302" ht="12.75" customHeight="1">
      <c r="A302" s="1" t="s">
        <v>626</v>
      </c>
      <c r="B302" s="2" t="s">
        <v>125</v>
      </c>
      <c r="C302" s="60" t="str">
        <f t="shared" si="72"/>
        <v>A.030.36.112</v>
      </c>
      <c r="D302" s="51" t="s">
        <v>606</v>
      </c>
      <c r="E302" s="62" t="s">
        <v>45</v>
      </c>
      <c r="F302" s="63" t="str">
        <f t="shared" si="73"/>
        <v>Ethylene oxide (2)</v>
      </c>
      <c r="G302" s="64">
        <v>0.2638380769272</v>
      </c>
      <c r="H302" s="10">
        <f t="shared" si="74"/>
        <v>0.2638380769</v>
      </c>
      <c r="I302" s="65">
        <v>0.00995925514</v>
      </c>
      <c r="J302" s="65">
        <v>0.0136974797472</v>
      </c>
      <c r="K302" s="65">
        <v>0.00208239204</v>
      </c>
      <c r="L302" s="65">
        <v>0.23809895</v>
      </c>
      <c r="N302" s="66">
        <v>1.5873263333333334</v>
      </c>
      <c r="O302" s="10">
        <f t="shared" si="75"/>
        <v>1.587326333</v>
      </c>
      <c r="Q302" s="67">
        <v>61.100257</v>
      </c>
      <c r="S302" s="68">
        <v>0.032504285</v>
      </c>
      <c r="T302" s="68">
        <v>0.026894073</v>
      </c>
      <c r="U302" s="68">
        <v>0.0012707352</v>
      </c>
      <c r="V302" s="68">
        <v>0.004339477</v>
      </c>
      <c r="X302" s="69">
        <v>1.2299481E-4</v>
      </c>
      <c r="Y302" s="76" t="s">
        <v>317</v>
      </c>
      <c r="Z302" s="73" t="s">
        <v>627</v>
      </c>
    </row>
    <row r="303" ht="12.75" customHeight="1">
      <c r="A303" s="1" t="s">
        <v>628</v>
      </c>
      <c r="B303" s="2" t="s">
        <v>125</v>
      </c>
      <c r="C303" s="60" t="str">
        <f t="shared" si="72"/>
        <v>A.030.36.113</v>
      </c>
      <c r="D303" s="51" t="s">
        <v>606</v>
      </c>
      <c r="E303" s="62" t="s">
        <v>45</v>
      </c>
      <c r="F303" s="63" t="str">
        <f t="shared" si="73"/>
        <v>Hydrogen peroxide</v>
      </c>
      <c r="G303" s="64">
        <v>0.4083990474659</v>
      </c>
      <c r="H303" s="10">
        <f t="shared" si="74"/>
        <v>0.4083990475</v>
      </c>
      <c r="I303" s="65">
        <v>0.01574967126</v>
      </c>
      <c r="J303" s="65">
        <v>0.0219649581659</v>
      </c>
      <c r="K303" s="65">
        <v>0.00333970804</v>
      </c>
      <c r="L303" s="65">
        <v>0.36734471</v>
      </c>
      <c r="N303" s="66">
        <v>2.4489647333333338</v>
      </c>
      <c r="O303" s="10">
        <f t="shared" si="75"/>
        <v>2.448964733</v>
      </c>
      <c r="Q303" s="67">
        <v>48.294092</v>
      </c>
      <c r="S303" s="68">
        <v>0.046691202</v>
      </c>
      <c r="T303" s="68">
        <v>0.041330271</v>
      </c>
      <c r="U303" s="68">
        <v>0.0019497495</v>
      </c>
      <c r="V303" s="68">
        <v>0.0034111807</v>
      </c>
      <c r="X303" s="69">
        <v>1.3392124E-4</v>
      </c>
      <c r="Y303" s="76" t="s">
        <v>172</v>
      </c>
      <c r="Z303" s="73" t="s">
        <v>629</v>
      </c>
    </row>
    <row r="304" ht="12.75" customHeight="1">
      <c r="A304" s="1" t="s">
        <v>630</v>
      </c>
      <c r="B304" s="2" t="s">
        <v>125</v>
      </c>
      <c r="C304" s="60" t="str">
        <f t="shared" si="72"/>
        <v>A.030.36.114</v>
      </c>
      <c r="D304" s="51" t="s">
        <v>606</v>
      </c>
      <c r="E304" s="62" t="s">
        <v>45</v>
      </c>
      <c r="F304" s="63" t="str">
        <f t="shared" si="73"/>
        <v>Palm kernel oil methyl ester</v>
      </c>
      <c r="G304" s="64">
        <v>0.2534342134324</v>
      </c>
      <c r="H304" s="10">
        <f t="shared" si="74"/>
        <v>0.2534342134</v>
      </c>
      <c r="I304" s="65">
        <v>0.0053460571149999995</v>
      </c>
      <c r="J304" s="65">
        <v>0.0038706678044000005</v>
      </c>
      <c r="K304" s="65">
        <v>5.84088513E-4</v>
      </c>
      <c r="L304" s="65">
        <v>0.2436334</v>
      </c>
      <c r="N304" s="66">
        <v>1.6242226666666668</v>
      </c>
      <c r="O304" s="10">
        <f t="shared" si="75"/>
        <v>1.624222667</v>
      </c>
      <c r="Q304" s="67">
        <v>10.073481</v>
      </c>
      <c r="S304" s="68">
        <v>0.031352655</v>
      </c>
      <c r="T304" s="68">
        <v>0.029225414</v>
      </c>
      <c r="U304" s="68">
        <v>0.0014144687</v>
      </c>
      <c r="V304" s="68">
        <v>7.1277247E-4</v>
      </c>
      <c r="X304" s="69">
        <v>5.9407364E-5</v>
      </c>
      <c r="Y304" s="79" t="s">
        <v>181</v>
      </c>
      <c r="Z304" s="73" t="s">
        <v>631</v>
      </c>
    </row>
    <row r="305" ht="12.75" customHeight="1">
      <c r="A305" s="1" t="s">
        <v>632</v>
      </c>
      <c r="B305" s="2" t="s">
        <v>125</v>
      </c>
      <c r="C305" s="60" t="str">
        <f t="shared" si="72"/>
        <v>A.030.36.115</v>
      </c>
      <c r="D305" s="51" t="s">
        <v>606</v>
      </c>
      <c r="E305" s="62" t="s">
        <v>45</v>
      </c>
      <c r="F305" s="63" t="str">
        <f t="shared" si="73"/>
        <v>Palm oil methyl ester</v>
      </c>
      <c r="G305" s="64">
        <v>0.2356525896325</v>
      </c>
      <c r="H305" s="10">
        <f t="shared" si="74"/>
        <v>0.2356525896</v>
      </c>
      <c r="I305" s="65">
        <v>0.004662942871</v>
      </c>
      <c r="J305" s="65">
        <v>0.0029224983055000002</v>
      </c>
      <c r="K305" s="65">
        <v>4.3992845600000004E-4</v>
      </c>
      <c r="L305" s="65">
        <v>0.22762722</v>
      </c>
      <c r="N305" s="66">
        <v>1.5175148</v>
      </c>
      <c r="O305" s="10">
        <f t="shared" si="75"/>
        <v>1.5175148</v>
      </c>
      <c r="Q305" s="67">
        <v>8.5251218</v>
      </c>
      <c r="S305" s="68">
        <v>0.029355411</v>
      </c>
      <c r="T305" s="68">
        <v>0.027422232</v>
      </c>
      <c r="U305" s="68">
        <v>0.001329361</v>
      </c>
      <c r="V305" s="68">
        <v>6.0381751E-4</v>
      </c>
      <c r="X305" s="69">
        <v>5.4251642E-5</v>
      </c>
      <c r="Y305" s="79" t="s">
        <v>181</v>
      </c>
      <c r="Z305" s="73" t="s">
        <v>633</v>
      </c>
    </row>
    <row r="306" ht="12.75" customHeight="1">
      <c r="A306" s="1" t="s">
        <v>634</v>
      </c>
      <c r="B306" s="2" t="s">
        <v>125</v>
      </c>
      <c r="C306" s="60" t="str">
        <f t="shared" si="72"/>
        <v>A.030.36.116</v>
      </c>
      <c r="D306" s="51" t="s">
        <v>606</v>
      </c>
      <c r="E306" s="62" t="s">
        <v>45</v>
      </c>
      <c r="F306" s="63" t="str">
        <f t="shared" si="73"/>
        <v>Triethanolamine</v>
      </c>
      <c r="G306" s="64">
        <v>0.49632994083900006</v>
      </c>
      <c r="H306" s="10">
        <f t="shared" si="74"/>
        <v>0.4963299408</v>
      </c>
      <c r="I306" s="65">
        <v>0.018296440750000004</v>
      </c>
      <c r="J306" s="65">
        <v>0.025376336349000002</v>
      </c>
      <c r="K306" s="65">
        <v>0.0038582037400000002</v>
      </c>
      <c r="L306" s="65">
        <v>0.44879896</v>
      </c>
      <c r="N306" s="66">
        <v>2.9919930666666668</v>
      </c>
      <c r="O306" s="10">
        <f t="shared" si="75"/>
        <v>2.991993067</v>
      </c>
      <c r="Q306" s="67">
        <v>79.439255</v>
      </c>
      <c r="S306" s="68">
        <v>0.058638828</v>
      </c>
      <c r="T306" s="68">
        <v>0.050618945</v>
      </c>
      <c r="U306" s="68">
        <v>0.0023906842</v>
      </c>
      <c r="V306" s="68">
        <v>0.0056291984</v>
      </c>
      <c r="X306" s="69">
        <v>1.8810524E-4</v>
      </c>
      <c r="Y306" s="76" t="s">
        <v>323</v>
      </c>
      <c r="Z306" s="73" t="s">
        <v>635</v>
      </c>
    </row>
    <row r="307" ht="12.75" customHeight="1">
      <c r="B307" s="2"/>
      <c r="C307" s="60"/>
      <c r="D307" s="75" t="s">
        <v>636</v>
      </c>
      <c r="E307" s="62"/>
      <c r="G307" s="10"/>
      <c r="H307" s="10"/>
      <c r="I307" s="10"/>
      <c r="J307" s="10"/>
      <c r="K307" s="10"/>
      <c r="L307" s="10"/>
      <c r="N307" s="10"/>
      <c r="O307" s="10"/>
      <c r="Q307" s="67"/>
      <c r="Y307" s="71"/>
      <c r="Z307" s="86"/>
    </row>
    <row r="308" ht="12.75" customHeight="1">
      <c r="A308" s="1" t="s">
        <v>637</v>
      </c>
      <c r="B308" s="2" t="s">
        <v>125</v>
      </c>
      <c r="C308" s="60" t="str">
        <f t="shared" ref="C308:C322" si="76">MID(A308,1,12)</f>
        <v>A.030.38.101</v>
      </c>
      <c r="D308" s="51" t="s">
        <v>636</v>
      </c>
      <c r="E308" s="62" t="s">
        <v>45</v>
      </c>
      <c r="F308" s="63" t="str">
        <f t="shared" ref="F308:F322" si="77">MID(A308, 21,85)</f>
        <v>C12–C13 sodium alkyl ether sulphate. 2 EO</v>
      </c>
      <c r="G308" s="64">
        <v>0.3996373413389</v>
      </c>
      <c r="H308" s="10">
        <f t="shared" ref="H308:H322" si="78">G308</f>
        <v>0.3996373413</v>
      </c>
      <c r="I308" s="65">
        <v>0.01518093728</v>
      </c>
      <c r="J308" s="65">
        <v>0.0209650150789</v>
      </c>
      <c r="K308" s="65">
        <v>0.0031873789800000002</v>
      </c>
      <c r="L308" s="65">
        <v>0.36030401</v>
      </c>
      <c r="N308" s="66">
        <v>2.4020267333333334</v>
      </c>
      <c r="O308" s="10">
        <f t="shared" ref="O308:O322" si="79">N308</f>
        <v>2.402026733</v>
      </c>
      <c r="Q308" s="67">
        <v>70.783195</v>
      </c>
      <c r="S308" s="68">
        <v>0.047589976</v>
      </c>
      <c r="T308" s="68">
        <v>0.040651493</v>
      </c>
      <c r="U308" s="68">
        <v>0.001919892</v>
      </c>
      <c r="V308" s="68">
        <v>0.0050185911</v>
      </c>
      <c r="X308" s="69">
        <v>1.5975631E-4</v>
      </c>
      <c r="Y308" s="79" t="s">
        <v>181</v>
      </c>
      <c r="Z308" s="73" t="s">
        <v>638</v>
      </c>
    </row>
    <row r="309" ht="12.75" customHeight="1">
      <c r="A309" s="1" t="s">
        <v>639</v>
      </c>
      <c r="B309" s="2" t="s">
        <v>125</v>
      </c>
      <c r="C309" s="60" t="str">
        <f t="shared" si="76"/>
        <v>A.030.38.102</v>
      </c>
      <c r="D309" s="51" t="s">
        <v>636</v>
      </c>
      <c r="E309" s="62" t="s">
        <v>45</v>
      </c>
      <c r="F309" s="63" t="str">
        <f t="shared" si="77"/>
        <v>C12–C14 alcohol ethoxylate. 3 EO</v>
      </c>
      <c r="G309" s="64">
        <v>0.30184337094619995</v>
      </c>
      <c r="H309" s="10">
        <f t="shared" si="78"/>
        <v>0.3018433709</v>
      </c>
      <c r="I309" s="65">
        <v>0.008851148481</v>
      </c>
      <c r="J309" s="65">
        <v>0.0100875925952</v>
      </c>
      <c r="K309" s="65">
        <v>0.00153097987</v>
      </c>
      <c r="L309" s="65">
        <v>0.28137365</v>
      </c>
      <c r="N309" s="66">
        <v>1.8758243333333333</v>
      </c>
      <c r="O309" s="10">
        <f t="shared" si="79"/>
        <v>1.875824333</v>
      </c>
      <c r="Q309" s="67">
        <v>35.293278</v>
      </c>
      <c r="S309" s="68">
        <v>0.036877962</v>
      </c>
      <c r="T309" s="68">
        <v>0.032804839</v>
      </c>
      <c r="U309" s="68">
        <v>0.001570153</v>
      </c>
      <c r="V309" s="68">
        <v>0.0025029706</v>
      </c>
      <c r="X309" s="69">
        <v>9.8841143E-5</v>
      </c>
      <c r="Y309" s="79" t="s">
        <v>181</v>
      </c>
      <c r="Z309" s="73" t="s">
        <v>640</v>
      </c>
    </row>
    <row r="310" ht="12.75" customHeight="1">
      <c r="A310" s="1" t="s">
        <v>641</v>
      </c>
      <c r="B310" s="2" t="s">
        <v>125</v>
      </c>
      <c r="C310" s="60" t="str">
        <f t="shared" si="76"/>
        <v>A.030.38.103</v>
      </c>
      <c r="D310" s="51" t="s">
        <v>636</v>
      </c>
      <c r="E310" s="62" t="s">
        <v>45</v>
      </c>
      <c r="F310" s="63" t="str">
        <f t="shared" si="77"/>
        <v>C12–C14 alcohol ethoxylate. 7 EO</v>
      </c>
      <c r="G310" s="64">
        <v>0.33765513541439995</v>
      </c>
      <c r="H310" s="10">
        <f t="shared" si="78"/>
        <v>0.3376551354</v>
      </c>
      <c r="I310" s="65">
        <v>0.011373232819999999</v>
      </c>
      <c r="J310" s="65">
        <v>0.014601739294399998</v>
      </c>
      <c r="K310" s="65">
        <v>0.0022186233</v>
      </c>
      <c r="L310" s="65">
        <v>0.30946154</v>
      </c>
      <c r="N310" s="66">
        <v>2.0630769333333334</v>
      </c>
      <c r="O310" s="10">
        <f t="shared" si="79"/>
        <v>2.063076933</v>
      </c>
      <c r="Q310" s="67">
        <v>53.035992</v>
      </c>
      <c r="S310" s="68">
        <v>0.040900002</v>
      </c>
      <c r="T310" s="68">
        <v>0.035452732</v>
      </c>
      <c r="U310" s="68">
        <v>0.0016850919</v>
      </c>
      <c r="V310" s="68">
        <v>0.0037621786</v>
      </c>
      <c r="X310" s="69">
        <v>1.2689957E-4</v>
      </c>
      <c r="Y310" s="79" t="s">
        <v>181</v>
      </c>
      <c r="Z310" s="73" t="s">
        <v>642</v>
      </c>
    </row>
    <row r="311" ht="12.75" customHeight="1">
      <c r="A311" s="1" t="s">
        <v>643</v>
      </c>
      <c r="B311" s="2" t="s">
        <v>125</v>
      </c>
      <c r="C311" s="60" t="str">
        <f t="shared" si="76"/>
        <v>A.030.38.104</v>
      </c>
      <c r="D311" s="51" t="s">
        <v>636</v>
      </c>
      <c r="E311" s="62" t="s">
        <v>45</v>
      </c>
      <c r="F311" s="63" t="str">
        <f t="shared" si="77"/>
        <v>C12–C14 amine oxide</v>
      </c>
      <c r="G311" s="64">
        <v>0.4191054730548</v>
      </c>
      <c r="H311" s="10">
        <f t="shared" si="78"/>
        <v>0.4191054731</v>
      </c>
      <c r="I311" s="65">
        <v>0.01282108569</v>
      </c>
      <c r="J311" s="65">
        <v>0.0155494855848</v>
      </c>
      <c r="K311" s="65">
        <v>0.00236134178</v>
      </c>
      <c r="L311" s="65">
        <v>0.38837356</v>
      </c>
      <c r="N311" s="66">
        <v>2.589157066666667</v>
      </c>
      <c r="O311" s="10">
        <f t="shared" si="79"/>
        <v>2.589157067</v>
      </c>
      <c r="Q311" s="67">
        <v>44.079315</v>
      </c>
      <c r="S311" s="68">
        <v>0.050180895</v>
      </c>
      <c r="T311" s="68">
        <v>0.04491663</v>
      </c>
      <c r="U311" s="68">
        <v>0.0021431751</v>
      </c>
      <c r="V311" s="68">
        <v>0.0031210899</v>
      </c>
      <c r="X311" s="69">
        <v>1.3113808E-4</v>
      </c>
      <c r="Y311" s="79" t="s">
        <v>181</v>
      </c>
      <c r="Z311" s="73" t="s">
        <v>644</v>
      </c>
    </row>
    <row r="312" ht="12.75" customHeight="1">
      <c r="A312" s="1" t="s">
        <v>645</v>
      </c>
      <c r="B312" s="2" t="s">
        <v>125</v>
      </c>
      <c r="C312" s="60" t="str">
        <f t="shared" si="76"/>
        <v>A.030.38.105</v>
      </c>
      <c r="D312" s="51" t="s">
        <v>636</v>
      </c>
      <c r="E312" s="62" t="s">
        <v>45</v>
      </c>
      <c r="F312" s="63" t="str">
        <f t="shared" si="77"/>
        <v>C12–C14 sodium alkyl ether sulphate. 2 EO</v>
      </c>
      <c r="G312" s="64">
        <v>0.29740290762349997</v>
      </c>
      <c r="H312" s="10">
        <f t="shared" si="78"/>
        <v>0.2974029076</v>
      </c>
      <c r="I312" s="65">
        <v>0.01013950253</v>
      </c>
      <c r="J312" s="65">
        <v>0.0132237838835</v>
      </c>
      <c r="K312" s="65">
        <v>0.00200959121</v>
      </c>
      <c r="L312" s="65">
        <v>0.27203003</v>
      </c>
      <c r="N312" s="66">
        <v>1.8135335333333333</v>
      </c>
      <c r="O312" s="10">
        <f t="shared" si="79"/>
        <v>1.813533533</v>
      </c>
      <c r="Q312" s="67">
        <v>37.750659</v>
      </c>
      <c r="S312" s="68">
        <v>0.035205209</v>
      </c>
      <c r="T312" s="68">
        <v>0.031057792</v>
      </c>
      <c r="U312" s="68">
        <v>0.0014742942</v>
      </c>
      <c r="V312" s="68">
        <v>0.0026731227</v>
      </c>
      <c r="X312" s="69">
        <v>1.00821E-4</v>
      </c>
      <c r="Y312" s="79" t="s">
        <v>181</v>
      </c>
      <c r="Z312" s="73" t="s">
        <v>646</v>
      </c>
    </row>
    <row r="313" ht="12.75" customHeight="1">
      <c r="A313" s="1" t="s">
        <v>647</v>
      </c>
      <c r="B313" s="2" t="s">
        <v>125</v>
      </c>
      <c r="C313" s="60" t="str">
        <f t="shared" si="76"/>
        <v>A.030.38.106</v>
      </c>
      <c r="D313" s="51" t="s">
        <v>636</v>
      </c>
      <c r="E313" s="62" t="s">
        <v>45</v>
      </c>
      <c r="F313" s="63" t="str">
        <f t="shared" si="77"/>
        <v>C12–C14 sodium alkyl sulphate</v>
      </c>
      <c r="G313" s="64">
        <v>0.4277344166675</v>
      </c>
      <c r="H313" s="10">
        <f t="shared" si="78"/>
        <v>0.4277344167</v>
      </c>
      <c r="I313" s="65">
        <v>0.0152357584</v>
      </c>
      <c r="J313" s="65">
        <v>0.0204756225175</v>
      </c>
      <c r="K313" s="65">
        <v>0.00311241575</v>
      </c>
      <c r="L313" s="65">
        <v>0.38891062</v>
      </c>
      <c r="N313" s="66">
        <v>2.5927374666666667</v>
      </c>
      <c r="O313" s="10">
        <f t="shared" si="79"/>
        <v>2.592737467</v>
      </c>
      <c r="Q313" s="67">
        <v>48.333768</v>
      </c>
      <c r="S313" s="68">
        <v>0.04964159</v>
      </c>
      <c r="T313" s="68">
        <v>0.044135181</v>
      </c>
      <c r="U313" s="68">
        <v>0.0020898754</v>
      </c>
      <c r="V313" s="68">
        <v>0.0034165329</v>
      </c>
      <c r="X313" s="69">
        <v>1.3765566E-4</v>
      </c>
      <c r="Y313" s="79" t="s">
        <v>181</v>
      </c>
      <c r="Z313" s="73" t="s">
        <v>648</v>
      </c>
    </row>
    <row r="314" ht="12.75" customHeight="1">
      <c r="A314" s="1" t="s">
        <v>649</v>
      </c>
      <c r="B314" s="2" t="s">
        <v>125</v>
      </c>
      <c r="C314" s="60" t="str">
        <f t="shared" si="76"/>
        <v>A.030.38.107</v>
      </c>
      <c r="D314" s="51" t="s">
        <v>636</v>
      </c>
      <c r="E314" s="62" t="s">
        <v>45</v>
      </c>
      <c r="F314" s="63" t="str">
        <f t="shared" si="77"/>
        <v>C12–C15 alcohol ethoxylate. 3 EO</v>
      </c>
      <c r="G314" s="64">
        <v>0.44015988202129996</v>
      </c>
      <c r="H314" s="10">
        <f t="shared" si="78"/>
        <v>0.440159882</v>
      </c>
      <c r="I314" s="65">
        <v>0.016614081</v>
      </c>
      <c r="J314" s="65">
        <v>0.022834026721299996</v>
      </c>
      <c r="K314" s="65">
        <v>0.0034713743</v>
      </c>
      <c r="L314" s="65">
        <v>0.3972404</v>
      </c>
      <c r="N314" s="66">
        <v>2.6482693333333334</v>
      </c>
      <c r="O314" s="10">
        <f t="shared" si="79"/>
        <v>2.648269333</v>
      </c>
      <c r="Q314" s="67">
        <v>83.682305</v>
      </c>
      <c r="S314" s="68">
        <v>0.052934322</v>
      </c>
      <c r="T314" s="68">
        <v>0.044877309</v>
      </c>
      <c r="U314" s="68">
        <v>0.0021205732</v>
      </c>
      <c r="V314" s="68">
        <v>0.0059364397</v>
      </c>
      <c r="X314" s="69">
        <v>1.8294587E-4</v>
      </c>
      <c r="Y314" s="79" t="s">
        <v>181</v>
      </c>
      <c r="Z314" s="73" t="s">
        <v>650</v>
      </c>
    </row>
    <row r="315" ht="12.75" customHeight="1">
      <c r="A315" s="1" t="s">
        <v>651</v>
      </c>
      <c r="B315" s="2" t="s">
        <v>125</v>
      </c>
      <c r="C315" s="60" t="str">
        <f t="shared" si="76"/>
        <v>A.030.38.108</v>
      </c>
      <c r="D315" s="51" t="s">
        <v>636</v>
      </c>
      <c r="E315" s="62" t="s">
        <v>45</v>
      </c>
      <c r="F315" s="63" t="str">
        <f t="shared" si="77"/>
        <v>C12–C15 alcohol ethoxylate. 7 EO</v>
      </c>
      <c r="G315" s="64">
        <v>0.3818287214312</v>
      </c>
      <c r="H315" s="10">
        <f t="shared" si="78"/>
        <v>0.3818287214</v>
      </c>
      <c r="I315" s="65">
        <v>0.014441372420000001</v>
      </c>
      <c r="J315" s="65">
        <v>0.019884602571199998</v>
      </c>
      <c r="K315" s="65">
        <v>0.00302303644</v>
      </c>
      <c r="L315" s="65">
        <v>0.34447971</v>
      </c>
      <c r="N315" s="66">
        <v>2.2965314</v>
      </c>
      <c r="O315" s="10">
        <f t="shared" si="79"/>
        <v>2.2965314</v>
      </c>
      <c r="Q315" s="67">
        <v>78.588081</v>
      </c>
      <c r="S315" s="68">
        <v>0.046313175</v>
      </c>
      <c r="T315" s="68">
        <v>0.038897821</v>
      </c>
      <c r="U315" s="68">
        <v>0.0018376719</v>
      </c>
      <c r="V315" s="68">
        <v>0.0055776815</v>
      </c>
      <c r="X315" s="69">
        <v>1.660049E-4</v>
      </c>
      <c r="Y315" s="79" t="s">
        <v>181</v>
      </c>
      <c r="Z315" s="73" t="s">
        <v>652</v>
      </c>
    </row>
    <row r="316" ht="12.75" customHeight="1">
      <c r="A316" s="1" t="s">
        <v>653</v>
      </c>
      <c r="B316" s="2" t="s">
        <v>125</v>
      </c>
      <c r="C316" s="60" t="str">
        <f t="shared" si="76"/>
        <v>A.030.38.109</v>
      </c>
      <c r="D316" s="51" t="s">
        <v>636</v>
      </c>
      <c r="E316" s="62" t="s">
        <v>45</v>
      </c>
      <c r="F316" s="63" t="str">
        <f t="shared" si="77"/>
        <v>C16–C18 alcohol ethoxylate. &gt; 20 EO</v>
      </c>
      <c r="G316" s="64">
        <v>0.3958553666336</v>
      </c>
      <c r="H316" s="10">
        <f t="shared" si="78"/>
        <v>0.3958553666</v>
      </c>
      <c r="I316" s="65">
        <v>0.013879655259999998</v>
      </c>
      <c r="J316" s="65">
        <v>0.0183085522436</v>
      </c>
      <c r="K316" s="65">
        <v>0.0027822891299999998</v>
      </c>
      <c r="L316" s="65">
        <v>0.36088487</v>
      </c>
      <c r="N316" s="66">
        <v>2.4058991333333335</v>
      </c>
      <c r="O316" s="10">
        <f t="shared" si="79"/>
        <v>2.405899133</v>
      </c>
      <c r="Q316" s="67">
        <v>70.747754</v>
      </c>
      <c r="S316" s="68">
        <v>0.048168363</v>
      </c>
      <c r="T316" s="68">
        <v>0.04119316</v>
      </c>
      <c r="U316" s="68">
        <v>0.0019546521</v>
      </c>
      <c r="V316" s="68">
        <v>0.0050205506</v>
      </c>
      <c r="X316" s="69">
        <v>1.5915923E-4</v>
      </c>
      <c r="Y316" s="79" t="s">
        <v>181</v>
      </c>
      <c r="Z316" s="73" t="s">
        <v>654</v>
      </c>
    </row>
    <row r="317" ht="12.75" customHeight="1">
      <c r="A317" s="1" t="s">
        <v>655</v>
      </c>
      <c r="B317" s="2" t="s">
        <v>125</v>
      </c>
      <c r="C317" s="60" t="str">
        <f t="shared" si="76"/>
        <v>A.030.38.110</v>
      </c>
      <c r="D317" s="51" t="s">
        <v>636</v>
      </c>
      <c r="E317" s="62" t="s">
        <v>45</v>
      </c>
      <c r="F317" s="63" t="str">
        <f t="shared" si="77"/>
        <v>C16–C18 triethanolamine esterquats</v>
      </c>
      <c r="G317" s="64">
        <v>0.4726639852685</v>
      </c>
      <c r="H317" s="10">
        <f t="shared" si="78"/>
        <v>0.4726639853</v>
      </c>
      <c r="I317" s="65">
        <v>0.0290954945</v>
      </c>
      <c r="J317" s="65">
        <v>0.0157858505985</v>
      </c>
      <c r="K317" s="65">
        <v>0.00239594017</v>
      </c>
      <c r="L317" s="65">
        <v>0.4253867</v>
      </c>
      <c r="N317" s="66">
        <v>2.8359113333333337</v>
      </c>
      <c r="O317" s="10">
        <f t="shared" si="79"/>
        <v>2.835911333</v>
      </c>
      <c r="Q317" s="67">
        <v>43.124981</v>
      </c>
      <c r="S317" s="68">
        <v>0.055029367</v>
      </c>
      <c r="T317" s="68">
        <v>0.049579363</v>
      </c>
      <c r="U317" s="68">
        <v>0.0023974366</v>
      </c>
      <c r="V317" s="68">
        <v>0.003052567</v>
      </c>
      <c r="X317" s="69">
        <v>1.4008229E-4</v>
      </c>
      <c r="Y317" s="79" t="s">
        <v>181</v>
      </c>
      <c r="Z317" s="73" t="s">
        <v>656</v>
      </c>
    </row>
    <row r="318" ht="12.75" customHeight="1">
      <c r="A318" s="1" t="s">
        <v>657</v>
      </c>
      <c r="B318" s="2" t="s">
        <v>125</v>
      </c>
      <c r="C318" s="60" t="str">
        <f t="shared" si="76"/>
        <v>A.030.38.111</v>
      </c>
      <c r="D318" s="51" t="s">
        <v>636</v>
      </c>
      <c r="E318" s="62" t="s">
        <v>45</v>
      </c>
      <c r="F318" s="63" t="str">
        <f t="shared" si="77"/>
        <v>C8–C18 alkyl amidopropyl betaine</v>
      </c>
      <c r="G318" s="64">
        <v>0.5232036388654</v>
      </c>
      <c r="H318" s="10">
        <f t="shared" si="78"/>
        <v>0.5232036389</v>
      </c>
      <c r="I318" s="65">
        <v>0.018496923810000003</v>
      </c>
      <c r="J318" s="65">
        <v>0.0248199262854</v>
      </c>
      <c r="K318" s="65">
        <v>0.00377266877</v>
      </c>
      <c r="L318" s="65">
        <v>0.47611412</v>
      </c>
      <c r="N318" s="66">
        <v>3.1740941333333335</v>
      </c>
      <c r="O318" s="10">
        <f t="shared" si="79"/>
        <v>3.174094133</v>
      </c>
      <c r="Q318" s="67">
        <v>58.618197</v>
      </c>
      <c r="S318" s="68">
        <v>0.060776162</v>
      </c>
      <c r="T318" s="68">
        <v>0.054071527</v>
      </c>
      <c r="U318" s="68">
        <v>0.0025611114</v>
      </c>
      <c r="V318" s="68">
        <v>0.0041435229</v>
      </c>
      <c r="X318" s="69">
        <v>1.6777863E-4</v>
      </c>
      <c r="Y318" s="79" t="s">
        <v>181</v>
      </c>
      <c r="Z318" s="86" t="s">
        <v>658</v>
      </c>
    </row>
    <row r="319" ht="12.75" customHeight="1">
      <c r="A319" s="1" t="s">
        <v>659</v>
      </c>
      <c r="B319" s="2" t="s">
        <v>125</v>
      </c>
      <c r="C319" s="60" t="str">
        <f t="shared" si="76"/>
        <v>A.030.38.112</v>
      </c>
      <c r="D319" s="51" t="s">
        <v>636</v>
      </c>
      <c r="E319" s="62" t="s">
        <v>45</v>
      </c>
      <c r="F319" s="63" t="str">
        <f t="shared" si="77"/>
        <v>Cocamide diethanolamine</v>
      </c>
      <c r="G319" s="64">
        <v>0.1738035719307</v>
      </c>
      <c r="H319" s="10">
        <f t="shared" si="78"/>
        <v>0.1738035719</v>
      </c>
      <c r="I319" s="65">
        <v>0.005822740557</v>
      </c>
      <c r="J319" s="65">
        <v>0.0079461100237</v>
      </c>
      <c r="K319" s="65">
        <v>0.00120806135</v>
      </c>
      <c r="L319" s="65">
        <v>0.15882666</v>
      </c>
      <c r="N319" s="66">
        <v>1.0588444000000001</v>
      </c>
      <c r="O319" s="10">
        <f t="shared" si="79"/>
        <v>1.0588444</v>
      </c>
      <c r="Q319" s="67">
        <v>20.653793</v>
      </c>
      <c r="S319" s="68">
        <v>0.020288122</v>
      </c>
      <c r="T319" s="68">
        <v>0.017976219</v>
      </c>
      <c r="U319" s="68">
        <v>8.5061235E-4</v>
      </c>
      <c r="V319" s="68">
        <v>0.0014612907</v>
      </c>
      <c r="X319" s="69">
        <v>5.7177493E-5</v>
      </c>
      <c r="Y319" s="79" t="s">
        <v>181</v>
      </c>
      <c r="Z319" s="73" t="s">
        <v>660</v>
      </c>
    </row>
    <row r="320" ht="12.75" customHeight="1">
      <c r="A320" s="1" t="s">
        <v>661</v>
      </c>
      <c r="B320" s="2" t="s">
        <v>125</v>
      </c>
      <c r="C320" s="60" t="str">
        <f t="shared" si="76"/>
        <v>A.030.38.113</v>
      </c>
      <c r="D320" s="51" t="s">
        <v>636</v>
      </c>
      <c r="E320" s="62" t="s">
        <v>45</v>
      </c>
      <c r="F320" s="63" t="str">
        <f t="shared" si="77"/>
        <v>Linear alkylbenzene sulphonic acid</v>
      </c>
      <c r="G320" s="64">
        <v>0.2883365097581</v>
      </c>
      <c r="H320" s="10">
        <f t="shared" si="78"/>
        <v>0.2883365098</v>
      </c>
      <c r="I320" s="65">
        <v>0.01082976692</v>
      </c>
      <c r="J320" s="65">
        <v>0.0148218410481</v>
      </c>
      <c r="K320" s="65">
        <v>0.00225322179</v>
      </c>
      <c r="L320" s="65">
        <v>0.26043168</v>
      </c>
      <c r="N320" s="66">
        <v>1.7362112</v>
      </c>
      <c r="O320" s="10">
        <f t="shared" si="79"/>
        <v>1.7362112</v>
      </c>
      <c r="Q320" s="67">
        <v>67.167009</v>
      </c>
      <c r="S320" s="68">
        <v>0.035617293</v>
      </c>
      <c r="T320" s="68">
        <v>0.029454146</v>
      </c>
      <c r="U320" s="68">
        <v>0.0013923968</v>
      </c>
      <c r="V320" s="68">
        <v>0.0047707496</v>
      </c>
      <c r="X320" s="69">
        <v>1.3490443E-4</v>
      </c>
      <c r="Y320" s="79" t="s">
        <v>181</v>
      </c>
      <c r="Z320" s="73" t="s">
        <v>662</v>
      </c>
    </row>
    <row r="321" ht="12.75" customHeight="1">
      <c r="A321" s="1" t="s">
        <v>663</v>
      </c>
      <c r="B321" s="2" t="s">
        <v>125</v>
      </c>
      <c r="C321" s="60" t="str">
        <f t="shared" si="76"/>
        <v>A.030.38.114</v>
      </c>
      <c r="D321" s="51" t="s">
        <v>636</v>
      </c>
      <c r="E321" s="62" t="s">
        <v>45</v>
      </c>
      <c r="F321" s="63" t="str">
        <f t="shared" si="77"/>
        <v>Sodium cocoamphoacetate</v>
      </c>
      <c r="G321" s="64">
        <v>0.560594106246</v>
      </c>
      <c r="H321" s="10">
        <f t="shared" si="78"/>
        <v>0.5605941062</v>
      </c>
      <c r="I321" s="65">
        <v>0.020624696189999996</v>
      </c>
      <c r="J321" s="65">
        <v>0.028511716996</v>
      </c>
      <c r="K321" s="65">
        <v>0.00433489306</v>
      </c>
      <c r="L321" s="65">
        <v>0.5071228</v>
      </c>
      <c r="N321" s="66">
        <v>3.380818666666667</v>
      </c>
      <c r="O321" s="10">
        <f t="shared" si="79"/>
        <v>3.380818667</v>
      </c>
      <c r="Q321" s="67">
        <v>63.022472</v>
      </c>
      <c r="S321" s="68">
        <v>0.06436177</v>
      </c>
      <c r="T321" s="68">
        <v>0.057207794</v>
      </c>
      <c r="U321" s="68">
        <v>0.0027022199</v>
      </c>
      <c r="V321" s="68">
        <v>0.0044517564</v>
      </c>
      <c r="X321" s="69">
        <v>1.7991827E-4</v>
      </c>
      <c r="Y321" s="79" t="s">
        <v>181</v>
      </c>
      <c r="Z321" s="48"/>
    </row>
    <row r="322" ht="12.75" customHeight="1">
      <c r="A322" s="1" t="s">
        <v>664</v>
      </c>
      <c r="B322" s="2" t="s">
        <v>125</v>
      </c>
      <c r="C322" s="60" t="str">
        <f t="shared" si="76"/>
        <v>A.030.38.115</v>
      </c>
      <c r="D322" s="51" t="s">
        <v>636</v>
      </c>
      <c r="E322" s="62" t="s">
        <v>45</v>
      </c>
      <c r="F322" s="63" t="str">
        <f t="shared" si="77"/>
        <v>Sodium cumene sulphonate</v>
      </c>
      <c r="G322" s="64">
        <v>0.28676722877280003</v>
      </c>
      <c r="H322" s="10">
        <f t="shared" si="78"/>
        <v>0.2867672288</v>
      </c>
      <c r="I322" s="65">
        <v>0.010905391079999998</v>
      </c>
      <c r="J322" s="65">
        <v>0.0151046378828</v>
      </c>
      <c r="K322" s="65">
        <v>0.00229646981</v>
      </c>
      <c r="L322" s="65">
        <v>0.25846073</v>
      </c>
      <c r="N322" s="66">
        <v>1.7230715333333335</v>
      </c>
      <c r="O322" s="10">
        <f t="shared" si="79"/>
        <v>1.723071533</v>
      </c>
      <c r="Q322" s="67">
        <v>57.013391</v>
      </c>
      <c r="S322" s="68">
        <v>0.034560513</v>
      </c>
      <c r="T322" s="68">
        <v>0.029139404</v>
      </c>
      <c r="U322" s="68">
        <v>0.0013758078</v>
      </c>
      <c r="V322" s="68">
        <v>0.004045302</v>
      </c>
      <c r="X322" s="69">
        <v>1.2221535E-4</v>
      </c>
      <c r="Y322" s="76" t="s">
        <v>233</v>
      </c>
      <c r="Z322" s="73" t="s">
        <v>665</v>
      </c>
    </row>
    <row r="323" ht="12.75" customHeight="1">
      <c r="B323" s="2"/>
      <c r="C323" s="60"/>
      <c r="D323" s="51"/>
      <c r="E323" s="62"/>
      <c r="G323" s="10"/>
      <c r="H323" s="10"/>
      <c r="I323" s="10"/>
      <c r="J323" s="10"/>
      <c r="K323" s="10"/>
      <c r="L323" s="10"/>
      <c r="N323" s="10"/>
      <c r="O323" s="10"/>
      <c r="Q323" s="67"/>
      <c r="Y323" s="71"/>
      <c r="Z323" s="48"/>
    </row>
    <row r="324" ht="12.75" customHeight="1">
      <c r="B324" s="2"/>
      <c r="C324" s="60"/>
      <c r="D324" s="75" t="s">
        <v>666</v>
      </c>
      <c r="E324" s="62"/>
      <c r="G324" s="10"/>
      <c r="H324" s="10"/>
      <c r="I324" s="10"/>
      <c r="J324" s="10"/>
      <c r="K324" s="10"/>
      <c r="L324" s="10"/>
      <c r="N324" s="10"/>
      <c r="O324" s="10"/>
      <c r="Q324" s="67"/>
      <c r="Y324" s="71"/>
      <c r="Z324" s="48"/>
    </row>
    <row r="325" ht="12.75" customHeight="1">
      <c r="A325" s="1" t="s">
        <v>667</v>
      </c>
      <c r="B325" s="2" t="s">
        <v>668</v>
      </c>
      <c r="C325" s="60" t="str">
        <f t="shared" ref="C325:C327" si="80">MID(A325,1,12)</f>
        <v>A.040.01.101</v>
      </c>
      <c r="D325" s="51" t="s">
        <v>666</v>
      </c>
      <c r="E325" s="62" t="s">
        <v>45</v>
      </c>
      <c r="F325" s="63" t="str">
        <f t="shared" ref="F325:F327" si="81">MID(A325, 21,85)</f>
        <v>Cement (blastfurnace CEM III B 42.5 N)</v>
      </c>
      <c r="G325" s="64">
        <v>0.07412675664822962</v>
      </c>
      <c r="H325" s="10">
        <f t="shared" ref="H325:H327" si="82">G325</f>
        <v>0.07412675665</v>
      </c>
      <c r="I325" s="65">
        <v>0.002821296801</v>
      </c>
      <c r="J325" s="65">
        <v>0.008600519877399999</v>
      </c>
      <c r="K325" s="65">
        <v>0.00189439496982962</v>
      </c>
      <c r="L325" s="65">
        <v>0.060810545</v>
      </c>
      <c r="N325" s="66">
        <v>0.40540363333333335</v>
      </c>
      <c r="O325" s="10">
        <f t="shared" ref="O325:O327" si="83">N325</f>
        <v>0.4054036333</v>
      </c>
      <c r="Q325" s="67">
        <v>3.5525842</v>
      </c>
      <c r="S325" s="68">
        <v>0.0087864594</v>
      </c>
      <c r="T325" s="68">
        <v>0.0082349475</v>
      </c>
      <c r="U325" s="68">
        <v>3.4467155E-4</v>
      </c>
      <c r="V325" s="68">
        <v>2.0684034E-4</v>
      </c>
      <c r="X325" s="69">
        <v>1.8119161E-5</v>
      </c>
      <c r="Y325" s="70"/>
      <c r="Z325" s="48"/>
    </row>
    <row r="326" ht="12.75" customHeight="1">
      <c r="A326" s="1" t="s">
        <v>669</v>
      </c>
      <c r="B326" s="2" t="s">
        <v>668</v>
      </c>
      <c r="C326" s="60" t="str">
        <f t="shared" si="80"/>
        <v>A.040.01.102</v>
      </c>
      <c r="D326" s="51" t="s">
        <v>666</v>
      </c>
      <c r="E326" s="62" t="s">
        <v>45</v>
      </c>
      <c r="F326" s="63" t="str">
        <f t="shared" si="81"/>
        <v>Cement (Portland CEM I 52.5 N)</v>
      </c>
      <c r="G326" s="64">
        <v>0.189298489804</v>
      </c>
      <c r="H326" s="10">
        <f t="shared" si="82"/>
        <v>0.1892984898</v>
      </c>
      <c r="I326" s="65">
        <v>0.015840577304</v>
      </c>
      <c r="J326" s="65">
        <v>0.027800912499999997</v>
      </c>
      <c r="K326" s="65">
        <v>0.010207</v>
      </c>
      <c r="L326" s="65">
        <v>0.13545</v>
      </c>
      <c r="N326" s="66">
        <v>0.9029999999999999</v>
      </c>
      <c r="O326" s="10">
        <f t="shared" si="83"/>
        <v>0.903</v>
      </c>
      <c r="Q326" s="67">
        <v>4.0130628</v>
      </c>
      <c r="S326" s="68">
        <v>0.018939042</v>
      </c>
      <c r="T326" s="68">
        <v>0.017887715</v>
      </c>
      <c r="U326" s="68">
        <v>7.6812544E-4</v>
      </c>
      <c r="V326" s="68">
        <v>2.832021E-4</v>
      </c>
      <c r="X326" s="69">
        <v>3.8392206E-5</v>
      </c>
      <c r="Y326" s="70"/>
      <c r="Z326" s="48"/>
    </row>
    <row r="327" ht="12.75" customHeight="1">
      <c r="A327" s="1" t="s">
        <v>670</v>
      </c>
      <c r="B327" s="2" t="s">
        <v>668</v>
      </c>
      <c r="C327" s="60" t="str">
        <f t="shared" si="80"/>
        <v>A.040.01.103</v>
      </c>
      <c r="D327" s="51" t="s">
        <v>666</v>
      </c>
      <c r="E327" s="62" t="s">
        <v>45</v>
      </c>
      <c r="F327" s="63" t="str">
        <f t="shared" si="81"/>
        <v>Gypsum</v>
      </c>
      <c r="G327" s="64">
        <v>0.02191073458884257</v>
      </c>
      <c r="H327" s="10">
        <f t="shared" si="82"/>
        <v>0.02191073459</v>
      </c>
      <c r="I327" s="65">
        <v>4.7190899906E-4</v>
      </c>
      <c r="J327" s="65">
        <v>0.0023276770603</v>
      </c>
      <c r="K327" s="65">
        <v>8.023535294825706E-4</v>
      </c>
      <c r="L327" s="65">
        <v>0.018308795</v>
      </c>
      <c r="N327" s="66">
        <v>0.12205863333333333</v>
      </c>
      <c r="O327" s="10">
        <f t="shared" si="83"/>
        <v>0.1220586333</v>
      </c>
      <c r="Q327" s="67">
        <v>1.3676478</v>
      </c>
      <c r="S327" s="68">
        <v>0.0026331599</v>
      </c>
      <c r="T327" s="68">
        <v>0.0024597173</v>
      </c>
      <c r="U327" s="68">
        <v>1.039646E-4</v>
      </c>
      <c r="V327" s="68">
        <v>6.9478043E-5</v>
      </c>
      <c r="X327" s="69">
        <v>5.407404E-6</v>
      </c>
      <c r="Y327" s="70"/>
      <c r="Z327" s="72"/>
    </row>
    <row r="328" ht="12.75" customHeight="1">
      <c r="B328" s="2"/>
      <c r="C328" s="60"/>
      <c r="D328" s="75" t="s">
        <v>671</v>
      </c>
      <c r="E328" s="62"/>
      <c r="G328" s="10"/>
      <c r="H328" s="10"/>
      <c r="I328" s="10"/>
      <c r="J328" s="10"/>
      <c r="K328" s="10"/>
      <c r="L328" s="10"/>
      <c r="N328" s="10"/>
      <c r="O328" s="10"/>
      <c r="Q328" s="67"/>
      <c r="Y328" s="71"/>
      <c r="Z328" s="48"/>
    </row>
    <row r="329" ht="12.75" customHeight="1">
      <c r="A329" s="1" t="s">
        <v>672</v>
      </c>
      <c r="B329" s="2" t="s">
        <v>668</v>
      </c>
      <c r="C329" s="60" t="str">
        <f t="shared" ref="C329:C330" si="84">MID(A329,1,12)</f>
        <v>A.040.03.101</v>
      </c>
      <c r="D329" s="51" t="s">
        <v>671</v>
      </c>
      <c r="E329" s="62" t="s">
        <v>45</v>
      </c>
      <c r="F329" s="63" t="str">
        <f t="shared" ref="F329:F330" si="85">MID(A329, 21,85)</f>
        <v>Bitumen</v>
      </c>
      <c r="G329" s="64">
        <v>0.8873874655370001</v>
      </c>
      <c r="H329" s="10">
        <f t="shared" ref="H329:H330" si="86">G329</f>
        <v>0.8873874655</v>
      </c>
      <c r="I329" s="65">
        <v>0.010967448772999999</v>
      </c>
      <c r="J329" s="65">
        <v>0.8067187862040001</v>
      </c>
      <c r="K329" s="65">
        <v>0.00136071356</v>
      </c>
      <c r="L329" s="65">
        <v>0.068340517</v>
      </c>
      <c r="N329" s="66">
        <v>0.4556034466666667</v>
      </c>
      <c r="O329" s="10">
        <f t="shared" ref="O329:O330" si="87">N329</f>
        <v>0.4556034467</v>
      </c>
      <c r="Q329" s="67">
        <v>47.226315</v>
      </c>
      <c r="S329" s="68">
        <v>0.016874218</v>
      </c>
      <c r="T329" s="68">
        <v>0.013105571</v>
      </c>
      <c r="U329" s="68">
        <v>4.7197531E-4</v>
      </c>
      <c r="V329" s="68">
        <v>0.0032966719</v>
      </c>
      <c r="X329" s="69">
        <v>7.774663E-5</v>
      </c>
      <c r="Y329" s="70"/>
      <c r="Z329" s="48"/>
    </row>
    <row r="330" ht="12.75" customHeight="1">
      <c r="A330" s="1" t="s">
        <v>673</v>
      </c>
      <c r="B330" s="2" t="s">
        <v>668</v>
      </c>
      <c r="C330" s="60" t="str">
        <f t="shared" si="84"/>
        <v>A.040.03.102</v>
      </c>
      <c r="D330" s="51" t="s">
        <v>671</v>
      </c>
      <c r="E330" s="62" t="s">
        <v>45</v>
      </c>
      <c r="F330" s="63" t="str">
        <f t="shared" si="85"/>
        <v>Asphalt</v>
      </c>
      <c r="G330" s="64">
        <v>0.4514541193899826</v>
      </c>
      <c r="H330" s="10">
        <f t="shared" si="86"/>
        <v>0.4514541194</v>
      </c>
      <c r="I330" s="65">
        <v>0.0195524462</v>
      </c>
      <c r="J330" s="65">
        <v>0.1001238496</v>
      </c>
      <c r="K330" s="65">
        <v>0.0720601235899826</v>
      </c>
      <c r="L330" s="65">
        <v>0.2597177</v>
      </c>
      <c r="N330" s="66">
        <v>1.7314513333333335</v>
      </c>
      <c r="O330" s="10">
        <f t="shared" si="87"/>
        <v>1.731451333</v>
      </c>
      <c r="Q330" s="67">
        <v>21.295713</v>
      </c>
      <c r="S330" s="68">
        <v>0.038073795</v>
      </c>
      <c r="T330" s="68">
        <v>0.035031113</v>
      </c>
      <c r="U330" s="68">
        <v>0.001496677</v>
      </c>
      <c r="V330" s="68">
        <v>0.0015460054</v>
      </c>
      <c r="X330" s="69">
        <v>8.6122301E-5</v>
      </c>
      <c r="Y330" s="77"/>
      <c r="Z330" s="72"/>
    </row>
    <row r="331" ht="12.75" customHeight="1">
      <c r="B331" s="2"/>
      <c r="C331" s="60"/>
      <c r="D331" s="75" t="s">
        <v>674</v>
      </c>
      <c r="E331" s="62"/>
      <c r="G331" s="10"/>
      <c r="H331" s="10"/>
      <c r="I331" s="10"/>
      <c r="J331" s="10"/>
      <c r="K331" s="10"/>
      <c r="L331" s="10"/>
      <c r="N331" s="10"/>
      <c r="O331" s="10"/>
      <c r="Q331" s="67"/>
      <c r="Y331" s="74"/>
      <c r="Z331" s="72"/>
    </row>
    <row r="332" ht="12.75" customHeight="1">
      <c r="A332" s="1" t="s">
        <v>675</v>
      </c>
      <c r="B332" s="2" t="s">
        <v>668</v>
      </c>
      <c r="C332" s="60" t="str">
        <f t="shared" ref="C332:C335" si="88">MID(A332,1,12)</f>
        <v>A.040.05.101</v>
      </c>
      <c r="D332" s="51" t="s">
        <v>674</v>
      </c>
      <c r="E332" s="62" t="s">
        <v>45</v>
      </c>
      <c r="F332" s="63" t="str">
        <f t="shared" ref="F332:F335" si="89">MID(A332, 21,85)</f>
        <v>Red Clay Brick, for housing and roads - packed</v>
      </c>
      <c r="G332" s="64">
        <v>0.04931703106368635</v>
      </c>
      <c r="H332" s="10">
        <f t="shared" ref="H332:H335" si="90">G332</f>
        <v>0.04931703106</v>
      </c>
      <c r="I332" s="65">
        <v>0.001178061051968</v>
      </c>
      <c r="J332" s="65">
        <v>0.00649897001171835</v>
      </c>
      <c r="K332" s="65">
        <v>0.0</v>
      </c>
      <c r="L332" s="65">
        <v>0.04164</v>
      </c>
      <c r="N332" s="66">
        <v>0.2776</v>
      </c>
      <c r="O332" s="10">
        <f t="shared" ref="O332:O335" si="91">N332</f>
        <v>0.2776</v>
      </c>
      <c r="Q332" s="67">
        <v>4.03118</v>
      </c>
      <c r="S332" s="68">
        <v>0.0064147103</v>
      </c>
      <c r="T332" s="68">
        <v>0.0058701321</v>
      </c>
      <c r="U332" s="68">
        <v>2.5675189E-4</v>
      </c>
      <c r="V332" s="68">
        <v>2.8782625E-4</v>
      </c>
      <c r="X332" s="69">
        <v>1.5660539E-5</v>
      </c>
      <c r="Y332" s="70"/>
      <c r="Z332" s="72"/>
    </row>
    <row r="333" ht="12.75" customHeight="1">
      <c r="A333" s="1" t="s">
        <v>676</v>
      </c>
      <c r="B333" s="2" t="s">
        <v>668</v>
      </c>
      <c r="C333" s="60" t="str">
        <f t="shared" si="88"/>
        <v>A.040.05.102</v>
      </c>
      <c r="D333" s="51" t="s">
        <v>674</v>
      </c>
      <c r="E333" s="62" t="s">
        <v>45</v>
      </c>
      <c r="F333" s="63" t="str">
        <f t="shared" si="89"/>
        <v>Concrete blocks - light  (439 kg/m3)</v>
      </c>
      <c r="G333" s="64">
        <v>0.0432686289791792</v>
      </c>
      <c r="H333" s="10">
        <f t="shared" si="90"/>
        <v>0.04326862898</v>
      </c>
      <c r="I333" s="65">
        <v>4.87781908998E-4</v>
      </c>
      <c r="J333" s="65">
        <v>0.009295653070181199</v>
      </c>
      <c r="K333" s="65">
        <v>0.0</v>
      </c>
      <c r="L333" s="65">
        <v>0.033485194</v>
      </c>
      <c r="N333" s="66">
        <v>0.22323462666666669</v>
      </c>
      <c r="O333" s="10">
        <f t="shared" si="91"/>
        <v>0.2232346267</v>
      </c>
      <c r="Q333" s="67">
        <v>3.2418132</v>
      </c>
      <c r="S333" s="68">
        <v>0.00635136</v>
      </c>
      <c r="T333" s="68">
        <v>0.0059036877</v>
      </c>
      <c r="U333" s="68">
        <v>2.1620684E-4</v>
      </c>
      <c r="V333" s="68">
        <v>2.3146546E-4</v>
      </c>
      <c r="X333" s="69">
        <v>1.2457998E-5</v>
      </c>
      <c r="Y333" s="70"/>
      <c r="Z333" s="72"/>
    </row>
    <row r="334" ht="12.75" customHeight="1">
      <c r="A334" s="1" t="s">
        <v>677</v>
      </c>
      <c r="B334" s="2" t="s">
        <v>668</v>
      </c>
      <c r="C334" s="60" t="str">
        <f t="shared" si="88"/>
        <v>A.040.05.103</v>
      </c>
      <c r="D334" s="51" t="s">
        <v>674</v>
      </c>
      <c r="E334" s="62" t="s">
        <v>45</v>
      </c>
      <c r="F334" s="63" t="str">
        <f t="shared" si="89"/>
        <v>Roof tiles</v>
      </c>
      <c r="G334" s="64">
        <v>0.05835496733198488</v>
      </c>
      <c r="H334" s="10">
        <f t="shared" si="90"/>
        <v>0.05835496733</v>
      </c>
      <c r="I334" s="65">
        <v>4.323349675878E-4</v>
      </c>
      <c r="J334" s="65">
        <v>0.00377263236439708</v>
      </c>
      <c r="K334" s="65">
        <v>0.0</v>
      </c>
      <c r="L334" s="65">
        <v>0.05415</v>
      </c>
      <c r="N334" s="66">
        <v>0.361</v>
      </c>
      <c r="O334" s="10">
        <f t="shared" si="91"/>
        <v>0.361</v>
      </c>
      <c r="Q334" s="67">
        <v>5.242442</v>
      </c>
      <c r="S334" s="68">
        <v>0.0071507434</v>
      </c>
      <c r="T334" s="68">
        <v>0.0064761233</v>
      </c>
      <c r="U334" s="68">
        <v>3.0030974E-4</v>
      </c>
      <c r="V334" s="68">
        <v>3.7431036E-4</v>
      </c>
      <c r="X334" s="69">
        <v>1.8184941E-5</v>
      </c>
      <c r="Y334" s="70"/>
      <c r="Z334" s="48"/>
    </row>
    <row r="335" ht="12.75" customHeight="1">
      <c r="A335" s="1" t="s">
        <v>678</v>
      </c>
      <c r="B335" s="2" t="s">
        <v>668</v>
      </c>
      <c r="C335" s="60" t="str">
        <f t="shared" si="88"/>
        <v>A.040.05.104</v>
      </c>
      <c r="D335" s="51" t="s">
        <v>674</v>
      </c>
      <c r="E335" s="62" t="s">
        <v>45</v>
      </c>
      <c r="F335" s="63" t="str">
        <f t="shared" si="89"/>
        <v>Sand-lime bricks - light (600 kg/m3)</v>
      </c>
      <c r="G335" s="64">
        <v>0.0214284734702651</v>
      </c>
      <c r="H335" s="10">
        <f t="shared" si="90"/>
        <v>0.02142847347</v>
      </c>
      <c r="I335" s="65">
        <v>1.2413472658000002E-4</v>
      </c>
      <c r="J335" s="65">
        <v>0.0012793387436851</v>
      </c>
      <c r="K335" s="65">
        <v>0.0</v>
      </c>
      <c r="L335" s="65">
        <v>0.020025</v>
      </c>
      <c r="N335" s="66">
        <v>0.1335</v>
      </c>
      <c r="O335" s="10">
        <f t="shared" si="91"/>
        <v>0.1335</v>
      </c>
      <c r="Q335" s="67">
        <v>1.938687</v>
      </c>
      <c r="S335" s="68">
        <v>0.0026155716</v>
      </c>
      <c r="T335" s="68">
        <v>0.0023700939</v>
      </c>
      <c r="U335" s="68">
        <v>1.0705542E-4</v>
      </c>
      <c r="V335" s="68">
        <v>1.3842225E-4</v>
      </c>
      <c r="X335" s="69">
        <v>6.3630192E-6</v>
      </c>
      <c r="Y335" s="70"/>
      <c r="Z335" s="48"/>
    </row>
    <row r="336" ht="12.75" customHeight="1">
      <c r="B336" s="2"/>
      <c r="C336" s="60"/>
      <c r="D336" s="75" t="s">
        <v>679</v>
      </c>
      <c r="E336" s="62"/>
      <c r="G336" s="10"/>
      <c r="H336" s="10"/>
      <c r="I336" s="10"/>
      <c r="J336" s="10"/>
      <c r="K336" s="10"/>
      <c r="L336" s="10"/>
      <c r="N336" s="10"/>
      <c r="O336" s="10"/>
      <c r="Q336" s="67"/>
      <c r="Y336" s="71"/>
      <c r="Z336" s="48"/>
    </row>
    <row r="337" ht="12.75" customHeight="1">
      <c r="A337" s="1" t="s">
        <v>680</v>
      </c>
      <c r="B337" s="2" t="s">
        <v>668</v>
      </c>
      <c r="C337" s="60" t="str">
        <f t="shared" ref="C337:C338" si="92">MID(A337,1,12)</f>
        <v>A.040.07.101</v>
      </c>
      <c r="D337" s="51" t="s">
        <v>679</v>
      </c>
      <c r="E337" s="62" t="s">
        <v>681</v>
      </c>
      <c r="F337" s="63" t="str">
        <f t="shared" ref="F337:F338" si="93">MID(A337, 21,85)</f>
        <v>Concrete</v>
      </c>
      <c r="G337" s="64">
        <v>65.5433447498869</v>
      </c>
      <c r="H337" s="10">
        <f t="shared" ref="H337:H338" si="94">G337</f>
        <v>65.54334475</v>
      </c>
      <c r="I337" s="65">
        <v>5.325057152999999</v>
      </c>
      <c r="J337" s="65">
        <v>9.506678918299999</v>
      </c>
      <c r="K337" s="65">
        <v>4.276112678586898</v>
      </c>
      <c r="L337" s="65">
        <v>46.435496</v>
      </c>
      <c r="N337" s="66">
        <v>309.56997333333334</v>
      </c>
      <c r="O337" s="10">
        <f t="shared" ref="O337:O338" si="95">N337</f>
        <v>309.5699733</v>
      </c>
      <c r="Q337" s="67">
        <v>1517.7668</v>
      </c>
      <c r="S337" s="68">
        <v>6.4995791</v>
      </c>
      <c r="T337" s="68">
        <v>6.1296271</v>
      </c>
      <c r="U337" s="68">
        <v>0.26330789</v>
      </c>
      <c r="V337" s="68">
        <v>0.10664416</v>
      </c>
      <c r="X337" s="69">
        <v>0.013292418</v>
      </c>
      <c r="Y337" s="70"/>
      <c r="Z337" s="48"/>
    </row>
    <row r="338" ht="12.75" customHeight="1">
      <c r="A338" s="1" t="s">
        <v>682</v>
      </c>
      <c r="B338" s="2" t="s">
        <v>668</v>
      </c>
      <c r="C338" s="60" t="str">
        <f t="shared" si="92"/>
        <v>A.040.07.102</v>
      </c>
      <c r="D338" s="51" t="s">
        <v>679</v>
      </c>
      <c r="E338" s="62" t="s">
        <v>681</v>
      </c>
      <c r="F338" s="63" t="str">
        <f t="shared" si="93"/>
        <v>Concrete (reinforced 40 kg steel per 1000 kg)</v>
      </c>
      <c r="G338" s="64">
        <v>97.53938788694394</v>
      </c>
      <c r="H338" s="10">
        <f t="shared" si="94"/>
        <v>97.53938789</v>
      </c>
      <c r="I338" s="65">
        <v>7.076108975</v>
      </c>
      <c r="J338" s="65">
        <v>15.3594549597</v>
      </c>
      <c r="K338" s="65">
        <v>7.545976952243943</v>
      </c>
      <c r="L338" s="65">
        <v>67.557847</v>
      </c>
      <c r="N338" s="66">
        <v>450.3856466666667</v>
      </c>
      <c r="O338" s="10">
        <f t="shared" si="95"/>
        <v>450.3856467</v>
      </c>
      <c r="Q338" s="67">
        <v>3101.4697</v>
      </c>
      <c r="S338" s="68">
        <v>9.5489358</v>
      </c>
      <c r="T338" s="68">
        <v>8.9399315</v>
      </c>
      <c r="U338" s="68">
        <v>0.38503236</v>
      </c>
      <c r="V338" s="68">
        <v>0.22397194</v>
      </c>
      <c r="X338" s="69">
        <v>0.020036406</v>
      </c>
      <c r="Y338" s="70"/>
      <c r="Z338" s="72"/>
    </row>
    <row r="339" ht="12.75" customHeight="1">
      <c r="B339" s="2"/>
      <c r="C339" s="60"/>
      <c r="D339" s="75" t="s">
        <v>683</v>
      </c>
      <c r="E339" s="62"/>
      <c r="G339" s="10"/>
      <c r="H339" s="10"/>
      <c r="I339" s="10"/>
      <c r="J339" s="10"/>
      <c r="K339" s="10"/>
      <c r="L339" s="10"/>
      <c r="N339" s="10"/>
      <c r="O339" s="10"/>
      <c r="Q339" s="67"/>
      <c r="Y339" s="71"/>
      <c r="Z339" s="72"/>
    </row>
    <row r="340" ht="12.75" customHeight="1">
      <c r="A340" s="1" t="s">
        <v>684</v>
      </c>
      <c r="B340" s="2" t="s">
        <v>668</v>
      </c>
      <c r="C340" s="60" t="str">
        <f t="shared" ref="C340:C344" si="96">MID(A340,1,12)</f>
        <v>A.040.09.101</v>
      </c>
      <c r="D340" s="51" t="s">
        <v>683</v>
      </c>
      <c r="E340" s="62" t="s">
        <v>685</v>
      </c>
      <c r="F340" s="63" t="str">
        <f t="shared" ref="F340:F344" si="97">MID(A340, 21,85)</f>
        <v>cork slab insulation</v>
      </c>
      <c r="G340" s="64">
        <v>0.2690105462444573</v>
      </c>
      <c r="H340" s="10">
        <f t="shared" ref="H340:H342" si="98">G340</f>
        <v>0.2690105462</v>
      </c>
      <c r="I340" s="65">
        <v>0.011189106447999997</v>
      </c>
      <c r="J340" s="65">
        <v>0.101991484593</v>
      </c>
      <c r="K340" s="65">
        <v>0.023973225203457262</v>
      </c>
      <c r="L340" s="65">
        <v>0.13185673</v>
      </c>
      <c r="N340" s="66">
        <v>0.8790448666666667</v>
      </c>
      <c r="O340" s="10">
        <f t="shared" ref="O340:O342" si="99">N340</f>
        <v>0.8790448667</v>
      </c>
      <c r="Q340" s="67">
        <v>36.056597</v>
      </c>
      <c r="S340" s="68">
        <v>0.023926438</v>
      </c>
      <c r="T340" s="68">
        <v>0.022432645</v>
      </c>
      <c r="U340" s="68">
        <v>8.7302841E-4</v>
      </c>
      <c r="V340" s="68">
        <v>6.207646E-4</v>
      </c>
      <c r="X340" s="69">
        <v>5.5492939E-5</v>
      </c>
      <c r="Y340" s="70"/>
      <c r="Z340" s="72"/>
    </row>
    <row r="341" ht="12.75" customHeight="1">
      <c r="A341" s="1" t="s">
        <v>686</v>
      </c>
      <c r="B341" s="2" t="s">
        <v>668</v>
      </c>
      <c r="C341" s="60" t="str">
        <f t="shared" si="96"/>
        <v>A.040.09.102</v>
      </c>
      <c r="D341" s="51" t="s">
        <v>683</v>
      </c>
      <c r="E341" s="62" t="s">
        <v>685</v>
      </c>
      <c r="F341" s="63" t="str">
        <f t="shared" si="97"/>
        <v>glasswool without paper, plastic, or AL facing</v>
      </c>
      <c r="G341" s="64">
        <v>0.33041574799999995</v>
      </c>
      <c r="H341" s="10">
        <f t="shared" si="98"/>
        <v>0.330415748</v>
      </c>
      <c r="I341" s="65">
        <v>0.023256</v>
      </c>
      <c r="J341" s="65">
        <v>0.103159748</v>
      </c>
      <c r="K341" s="65">
        <v>0.0</v>
      </c>
      <c r="L341" s="65">
        <v>0.204</v>
      </c>
      <c r="N341" s="66">
        <v>1.3599999999999999</v>
      </c>
      <c r="O341" s="10">
        <f t="shared" si="99"/>
        <v>1.36</v>
      </c>
      <c r="Q341" s="67">
        <v>24.358</v>
      </c>
      <c r="S341" s="68">
        <v>0.027662007</v>
      </c>
      <c r="T341" s="68">
        <v>0.025495347</v>
      </c>
      <c r="U341" s="68">
        <v>0.0012430874</v>
      </c>
      <c r="V341" s="68">
        <v>9.2357328E-4</v>
      </c>
      <c r="X341" s="69">
        <v>7.1230984E-5</v>
      </c>
      <c r="Y341" s="70"/>
      <c r="Z341" s="48"/>
    </row>
    <row r="342" ht="12.75" customHeight="1">
      <c r="A342" s="1" t="s">
        <v>687</v>
      </c>
      <c r="B342" s="2" t="s">
        <v>668</v>
      </c>
      <c r="C342" s="60" t="str">
        <f t="shared" si="96"/>
        <v>A.040.09.103</v>
      </c>
      <c r="D342" s="51" t="s">
        <v>683</v>
      </c>
      <c r="E342" s="62" t="s">
        <v>45</v>
      </c>
      <c r="F342" s="63" t="str">
        <f t="shared" si="97"/>
        <v>stonewool without paper, plastic, or AL facing</v>
      </c>
      <c r="G342" s="64">
        <v>0.2355387397280404</v>
      </c>
      <c r="H342" s="10">
        <f t="shared" si="98"/>
        <v>0.2355387397</v>
      </c>
      <c r="I342" s="65">
        <v>0.004023404363436</v>
      </c>
      <c r="J342" s="65">
        <v>0.06501533536460441</v>
      </c>
      <c r="K342" s="65">
        <v>0.0</v>
      </c>
      <c r="L342" s="65">
        <v>0.1665</v>
      </c>
      <c r="N342" s="66">
        <v>1.11</v>
      </c>
      <c r="O342" s="10">
        <f t="shared" si="99"/>
        <v>1.11</v>
      </c>
      <c r="Q342" s="67">
        <v>17.94</v>
      </c>
      <c r="S342" s="68">
        <v>0.037429207</v>
      </c>
      <c r="T342" s="68">
        <v>0.035307363</v>
      </c>
      <c r="U342" s="68">
        <v>0.0012481933</v>
      </c>
      <c r="V342" s="68">
        <v>8.736504E-4</v>
      </c>
      <c r="X342" s="69">
        <v>7.1660833E-5</v>
      </c>
      <c r="Y342" s="70"/>
      <c r="Z342" s="48"/>
    </row>
    <row r="343" ht="12.75" customHeight="1">
      <c r="A343" s="1" t="s">
        <v>688</v>
      </c>
      <c r="B343" s="2" t="s">
        <v>668</v>
      </c>
      <c r="C343" s="60" t="str">
        <f t="shared" si="96"/>
        <v>A.040.09.104</v>
      </c>
      <c r="D343" s="51" t="s">
        <v>683</v>
      </c>
      <c r="E343" s="62" t="s">
        <v>45</v>
      </c>
      <c r="F343" s="63" t="str">
        <f t="shared" si="97"/>
        <v>Hemp insulation slab USA (92% hemp 8% rPET)</v>
      </c>
      <c r="G343" s="64">
        <v>0.3873137094244862</v>
      </c>
      <c r="H343" s="10">
        <v>0.3873137094244862</v>
      </c>
      <c r="I343" s="65">
        <v>0.019767538328</v>
      </c>
      <c r="J343" s="65">
        <v>0.037149862443</v>
      </c>
      <c r="K343" s="65">
        <v>0.043413658653486197</v>
      </c>
      <c r="L343" s="65">
        <v>0.28698265</v>
      </c>
      <c r="N343" s="66">
        <v>1.9132176666666667</v>
      </c>
      <c r="O343" s="10">
        <v>1.9132176666666667</v>
      </c>
      <c r="Q343" s="67">
        <v>31.421007</v>
      </c>
      <c r="S343" s="68">
        <v>0.038724291</v>
      </c>
      <c r="T343" s="68">
        <v>0.035776964</v>
      </c>
      <c r="U343" s="68">
        <v>0.0015859558</v>
      </c>
      <c r="V343" s="68">
        <v>0.0013613713</v>
      </c>
      <c r="X343" s="69">
        <v>9.9377945E-5</v>
      </c>
      <c r="Y343" s="70"/>
      <c r="Z343" s="48"/>
    </row>
    <row r="344" ht="12.75" customHeight="1">
      <c r="A344" s="1" t="s">
        <v>689</v>
      </c>
      <c r="B344" s="2" t="s">
        <v>668</v>
      </c>
      <c r="C344" s="60" t="str">
        <f t="shared" si="96"/>
        <v>A.040.09.105</v>
      </c>
      <c r="D344" s="51" t="s">
        <v>683</v>
      </c>
      <c r="E344" s="62" t="s">
        <v>45</v>
      </c>
      <c r="F344" s="63" t="str">
        <f t="shared" si="97"/>
        <v>Hempflex insulation slab NL-DE (66% hemp 22% recycled jute 8% rPET 4% soda)</v>
      </c>
      <c r="G344" s="64">
        <v>0.22917333995888456</v>
      </c>
      <c r="H344" s="10">
        <v>0.22917333995888456</v>
      </c>
      <c r="I344" s="65">
        <v>0.0316416011</v>
      </c>
      <c r="J344" s="65">
        <v>0.06346817186751001</v>
      </c>
      <c r="K344" s="65">
        <v>1.0222699137453492E-4</v>
      </c>
      <c r="L344" s="65">
        <v>0.13396134</v>
      </c>
      <c r="N344" s="66">
        <v>0.8930756000000001</v>
      </c>
      <c r="O344" s="10">
        <v>0.8930756000000001</v>
      </c>
      <c r="Q344" s="67">
        <v>20.310275</v>
      </c>
      <c r="S344" s="68">
        <v>0.019048486</v>
      </c>
      <c r="T344" s="68">
        <v>0.018342768</v>
      </c>
      <c r="U344" s="68">
        <v>7.0412563E-4</v>
      </c>
      <c r="V344" s="68">
        <v>1.5930585E-6</v>
      </c>
      <c r="X344" s="69">
        <v>4.2394942E-5</v>
      </c>
      <c r="Y344" s="70"/>
      <c r="Z344" s="48"/>
    </row>
    <row r="345" ht="12.75" customHeight="1">
      <c r="B345" s="2"/>
      <c r="C345" s="60"/>
      <c r="D345" s="75" t="s">
        <v>690</v>
      </c>
      <c r="E345" s="62"/>
      <c r="G345" s="10"/>
      <c r="H345" s="10"/>
      <c r="I345" s="10"/>
      <c r="J345" s="10"/>
      <c r="K345" s="10"/>
      <c r="L345" s="10"/>
      <c r="N345" s="10"/>
      <c r="O345" s="10"/>
      <c r="Q345" s="67"/>
      <c r="Y345" s="71"/>
      <c r="Z345" s="48"/>
    </row>
    <row r="346" ht="12.75" customHeight="1">
      <c r="A346" s="1" t="s">
        <v>691</v>
      </c>
      <c r="B346" s="2" t="s">
        <v>668</v>
      </c>
      <c r="C346" s="60" t="str">
        <f t="shared" ref="C346:C353" si="100">MID(A346,1,12)</f>
        <v>A.040.11.101</v>
      </c>
      <c r="D346" s="51" t="s">
        <v>690</v>
      </c>
      <c r="E346" s="62" t="s">
        <v>45</v>
      </c>
      <c r="F346" s="63" t="str">
        <f t="shared" ref="F346:F353" si="101">MID(A346, 21,85)</f>
        <v>Blastfurnace slags</v>
      </c>
      <c r="G346" s="64">
        <v>7.671004602E-4</v>
      </c>
      <c r="H346" s="10">
        <f t="shared" ref="H346:H353" si="102">G346</f>
        <v>0.0007671004602</v>
      </c>
      <c r="I346" s="65">
        <v>5.2641699599999995E-5</v>
      </c>
      <c r="J346" s="65">
        <v>7.104131060000001E-5</v>
      </c>
      <c r="K346" s="65">
        <v>1.9791745E-4</v>
      </c>
      <c r="L346" s="65">
        <v>4.455E-4</v>
      </c>
      <c r="N346" s="66">
        <v>0.00297</v>
      </c>
      <c r="O346" s="10">
        <f t="shared" ref="O346:O353" si="103">N346</f>
        <v>0.00297</v>
      </c>
      <c r="Q346" s="67">
        <v>0.034751155</v>
      </c>
      <c r="S346" s="68">
        <v>6.3975018E-5</v>
      </c>
      <c r="T346" s="68">
        <v>5.888343E-5</v>
      </c>
      <c r="U346" s="68">
        <v>2.4937235E-6</v>
      </c>
      <c r="V346" s="68">
        <v>2.5978644E-6</v>
      </c>
      <c r="X346" s="69">
        <v>1.6122022E-7</v>
      </c>
      <c r="Y346" s="70"/>
      <c r="Z346" s="48"/>
    </row>
    <row r="347" ht="12.75" customHeight="1">
      <c r="A347" s="1" t="s">
        <v>692</v>
      </c>
      <c r="B347" s="2" t="s">
        <v>668</v>
      </c>
      <c r="C347" s="60" t="str">
        <f t="shared" si="100"/>
        <v>A.040.11.102</v>
      </c>
      <c r="D347" s="51" t="s">
        <v>690</v>
      </c>
      <c r="E347" s="62" t="s">
        <v>45</v>
      </c>
      <c r="F347" s="63" t="str">
        <f t="shared" si="101"/>
        <v>Clinker</v>
      </c>
      <c r="G347" s="64">
        <v>0.13518939020799872</v>
      </c>
      <c r="H347" s="10">
        <f t="shared" si="102"/>
        <v>0.1351893902</v>
      </c>
      <c r="I347" s="65">
        <v>0.0022754130239999995</v>
      </c>
      <c r="J347" s="65">
        <v>0.0033977606912000006</v>
      </c>
      <c r="K347" s="65">
        <v>0.001852686492798733</v>
      </c>
      <c r="L347" s="65">
        <v>0.12766353</v>
      </c>
      <c r="N347" s="66">
        <v>0.8510902</v>
      </c>
      <c r="O347" s="10">
        <f t="shared" si="103"/>
        <v>0.8510902</v>
      </c>
      <c r="Q347" s="67">
        <v>5.0102303</v>
      </c>
      <c r="S347" s="68">
        <v>0.014620848</v>
      </c>
      <c r="T347" s="68">
        <v>0.013639402</v>
      </c>
      <c r="U347" s="68">
        <v>6.5508658E-4</v>
      </c>
      <c r="V347" s="68">
        <v>3.2635894E-4</v>
      </c>
      <c r="X347" s="69">
        <v>3.076604E-5</v>
      </c>
      <c r="Y347" s="70"/>
      <c r="Z347" s="48"/>
    </row>
    <row r="348" ht="12.75" customHeight="1">
      <c r="A348" s="1" t="s">
        <v>693</v>
      </c>
      <c r="B348" s="2" t="s">
        <v>668</v>
      </c>
      <c r="C348" s="60" t="str">
        <f t="shared" si="100"/>
        <v>A.040.11.103</v>
      </c>
      <c r="D348" s="51" t="s">
        <v>690</v>
      </c>
      <c r="E348" s="62" t="s">
        <v>45</v>
      </c>
      <c r="F348" s="63" t="str">
        <f t="shared" si="101"/>
        <v>Crushed concrete aggregate (recycled)</v>
      </c>
      <c r="G348" s="64">
        <v>0.00263841923241419</v>
      </c>
      <c r="H348" s="10">
        <f t="shared" si="102"/>
        <v>0.002638419232</v>
      </c>
      <c r="I348" s="65">
        <v>1.7820801369E-4</v>
      </c>
      <c r="J348" s="65">
        <v>3.347707289E-4</v>
      </c>
      <c r="K348" s="65">
        <v>6.210244898241902E-4</v>
      </c>
      <c r="L348" s="65">
        <v>0.001504416</v>
      </c>
      <c r="N348" s="66">
        <v>0.01002944</v>
      </c>
      <c r="O348" s="10">
        <f t="shared" si="103"/>
        <v>0.01002944</v>
      </c>
      <c r="Q348" s="67">
        <v>0.14166941</v>
      </c>
      <c r="S348" s="68">
        <v>2.1267875E-4</v>
      </c>
      <c r="T348" s="68">
        <v>1.9429105E-4</v>
      </c>
      <c r="U348" s="68">
        <v>8.5949982E-6</v>
      </c>
      <c r="V348" s="68">
        <v>9.7927049E-6</v>
      </c>
      <c r="X348" s="69">
        <v>5.2519573E-7</v>
      </c>
      <c r="Y348" s="70"/>
      <c r="Z348" s="48"/>
    </row>
    <row r="349" ht="12.75" customHeight="1">
      <c r="A349" s="1" t="s">
        <v>694</v>
      </c>
      <c r="B349" s="2" t="s">
        <v>668</v>
      </c>
      <c r="C349" s="60" t="str">
        <f t="shared" si="100"/>
        <v>A.040.11.104</v>
      </c>
      <c r="D349" s="51" t="s">
        <v>690</v>
      </c>
      <c r="E349" s="62" t="s">
        <v>45</v>
      </c>
      <c r="F349" s="63" t="str">
        <f t="shared" si="101"/>
        <v>Gravel</v>
      </c>
      <c r="G349" s="64">
        <v>0.00211003574354</v>
      </c>
      <c r="H349" s="10">
        <f t="shared" si="102"/>
        <v>0.002110035744</v>
      </c>
      <c r="I349" s="65">
        <v>7.502005484E-5</v>
      </c>
      <c r="J349" s="65">
        <v>2.324930167E-4</v>
      </c>
      <c r="K349" s="65">
        <v>5.34870572E-4</v>
      </c>
      <c r="L349" s="65">
        <v>0.0012676521</v>
      </c>
      <c r="N349" s="66">
        <v>0.008451014</v>
      </c>
      <c r="O349" s="10">
        <f t="shared" si="103"/>
        <v>0.008451014</v>
      </c>
      <c r="Q349" s="67">
        <v>0.11135655</v>
      </c>
      <c r="S349" s="68">
        <v>1.801991E-4</v>
      </c>
      <c r="T349" s="68">
        <v>1.6516791E-4</v>
      </c>
      <c r="U349" s="68">
        <v>7.1390703E-6</v>
      </c>
      <c r="V349" s="68">
        <v>7.89212E-6</v>
      </c>
      <c r="X349" s="69">
        <v>4.246912E-7</v>
      </c>
      <c r="Y349" s="70"/>
      <c r="Z349" s="48"/>
    </row>
    <row r="350" ht="12.75" customHeight="1">
      <c r="A350" s="1" t="s">
        <v>695</v>
      </c>
      <c r="B350" s="2" t="s">
        <v>668</v>
      </c>
      <c r="C350" s="60" t="str">
        <f t="shared" si="100"/>
        <v>A.040.11.105</v>
      </c>
      <c r="D350" s="51" t="s">
        <v>690</v>
      </c>
      <c r="E350" s="62" t="s">
        <v>45</v>
      </c>
      <c r="F350" s="63" t="str">
        <f t="shared" si="101"/>
        <v>Ground (earthmoving)</v>
      </c>
      <c r="G350" s="64">
        <v>5.744139136E-5</v>
      </c>
      <c r="H350" s="10">
        <f t="shared" si="102"/>
        <v>0.00005744139136</v>
      </c>
      <c r="I350" s="65">
        <v>1.43131966E-6</v>
      </c>
      <c r="J350" s="65">
        <v>3.00751818E-6</v>
      </c>
      <c r="K350" s="65">
        <v>1.9317953520000003E-5</v>
      </c>
      <c r="L350" s="65">
        <v>3.36846E-5</v>
      </c>
      <c r="N350" s="66">
        <v>2.2456400000000001E-4</v>
      </c>
      <c r="O350" s="10">
        <f t="shared" si="103"/>
        <v>0.000224564</v>
      </c>
      <c r="Q350" s="67">
        <v>0.0034906813</v>
      </c>
      <c r="S350" s="68">
        <v>4.2789775E-6</v>
      </c>
      <c r="T350" s="68">
        <v>3.8593255E-6</v>
      </c>
      <c r="U350" s="68">
        <v>1.7806555E-7</v>
      </c>
      <c r="V350" s="68">
        <v>2.4158648E-7</v>
      </c>
      <c r="X350" s="69">
        <v>1.1473348E-8</v>
      </c>
      <c r="Y350" s="70"/>
      <c r="Z350" s="48"/>
    </row>
    <row r="351" ht="12.75" customHeight="1">
      <c r="A351" s="1" t="s">
        <v>696</v>
      </c>
      <c r="B351" s="2" t="s">
        <v>668</v>
      </c>
      <c r="C351" s="60" t="str">
        <f t="shared" si="100"/>
        <v>A.040.11.106</v>
      </c>
      <c r="D351" s="51" t="s">
        <v>690</v>
      </c>
      <c r="E351" s="62" t="s">
        <v>45</v>
      </c>
      <c r="F351" s="63" t="str">
        <f t="shared" si="101"/>
        <v>Linoleum</v>
      </c>
      <c r="G351" s="64">
        <v>1.3119578193982493</v>
      </c>
      <c r="H351" s="10">
        <f t="shared" si="102"/>
        <v>1.311957819</v>
      </c>
      <c r="I351" s="65">
        <v>0.04470616784</v>
      </c>
      <c r="J351" s="65">
        <v>0.08311224980000001</v>
      </c>
      <c r="K351" s="65">
        <v>0.3993834117582492</v>
      </c>
      <c r="L351" s="65">
        <v>0.78475599</v>
      </c>
      <c r="N351" s="66">
        <v>5.2317066</v>
      </c>
      <c r="O351" s="10">
        <f t="shared" si="103"/>
        <v>5.2317066</v>
      </c>
      <c r="Q351" s="67">
        <v>81.696297</v>
      </c>
      <c r="S351" s="68">
        <v>0.10137039</v>
      </c>
      <c r="T351" s="68">
        <v>0.091615846</v>
      </c>
      <c r="U351" s="68">
        <v>0.0042045519</v>
      </c>
      <c r="V351" s="68">
        <v>0.0055499953</v>
      </c>
      <c r="X351" s="69">
        <v>2.7016599E-4</v>
      </c>
      <c r="Y351" s="70"/>
      <c r="Z351" s="48"/>
    </row>
    <row r="352" ht="12.75" customHeight="1">
      <c r="A352" s="1" t="s">
        <v>697</v>
      </c>
      <c r="B352" s="2" t="s">
        <v>668</v>
      </c>
      <c r="C352" s="60" t="str">
        <f t="shared" si="100"/>
        <v>A.040.11.107</v>
      </c>
      <c r="D352" s="51" t="s">
        <v>690</v>
      </c>
      <c r="E352" s="62" t="s">
        <v>45</v>
      </c>
      <c r="F352" s="63" t="str">
        <f t="shared" si="101"/>
        <v>Plasticizers for concrete</v>
      </c>
      <c r="G352" s="64">
        <v>0.4058318831980689</v>
      </c>
      <c r="H352" s="10">
        <f t="shared" si="102"/>
        <v>0.4058318832</v>
      </c>
      <c r="I352" s="65">
        <v>0.003226997844196</v>
      </c>
      <c r="J352" s="65">
        <v>0.12060488535387293</v>
      </c>
      <c r="K352" s="65">
        <v>0.0</v>
      </c>
      <c r="L352" s="65">
        <v>0.282</v>
      </c>
      <c r="N352" s="66">
        <v>1.88</v>
      </c>
      <c r="O352" s="10">
        <f t="shared" si="103"/>
        <v>1.88</v>
      </c>
      <c r="Q352" s="67">
        <v>36.3862</v>
      </c>
      <c r="S352" s="68">
        <v>0.041524627</v>
      </c>
      <c r="T352" s="68">
        <v>0.037966732</v>
      </c>
      <c r="U352" s="68">
        <v>0.001597174</v>
      </c>
      <c r="V352" s="68">
        <v>0.0019607211</v>
      </c>
      <c r="X352" s="69">
        <v>1.0131169E-4</v>
      </c>
      <c r="Y352" s="70"/>
      <c r="Z352" s="48"/>
    </row>
    <row r="353" ht="12.75" customHeight="1">
      <c r="A353" s="1" t="s">
        <v>698</v>
      </c>
      <c r="B353" s="2" t="s">
        <v>668</v>
      </c>
      <c r="C353" s="60" t="str">
        <f t="shared" si="100"/>
        <v>A.040.11.108</v>
      </c>
      <c r="D353" s="51" t="s">
        <v>690</v>
      </c>
      <c r="E353" s="62" t="s">
        <v>45</v>
      </c>
      <c r="F353" s="63" t="str">
        <f t="shared" si="101"/>
        <v>Sand</v>
      </c>
      <c r="G353" s="64">
        <v>0.001057596437997</v>
      </c>
      <c r="H353" s="10">
        <f t="shared" si="102"/>
        <v>0.001057596438</v>
      </c>
      <c r="I353" s="65">
        <v>4.9351773997E-5</v>
      </c>
      <c r="J353" s="65">
        <v>1.56273194E-4</v>
      </c>
      <c r="K353" s="65">
        <v>1.8843597E-4</v>
      </c>
      <c r="L353" s="65">
        <v>6.635355E-4</v>
      </c>
      <c r="N353" s="66">
        <v>0.00442357</v>
      </c>
      <c r="O353" s="10">
        <f t="shared" si="103"/>
        <v>0.00442357</v>
      </c>
      <c r="Q353" s="67">
        <v>0.048757127</v>
      </c>
      <c r="S353" s="68">
        <v>9.6580338E-5</v>
      </c>
      <c r="T353" s="68">
        <v>8.9202572E-5</v>
      </c>
      <c r="U353" s="68">
        <v>3.8180877E-6</v>
      </c>
      <c r="V353" s="68">
        <v>3.5596779E-6</v>
      </c>
      <c r="X353" s="69">
        <v>2.1279023E-7</v>
      </c>
      <c r="Y353" s="70"/>
      <c r="Z353" s="72"/>
    </row>
    <row r="354" ht="12.75" customHeight="1">
      <c r="B354" s="2"/>
      <c r="C354" s="60"/>
      <c r="D354" s="75" t="s">
        <v>699</v>
      </c>
      <c r="E354" s="62"/>
      <c r="G354" s="10"/>
      <c r="H354" s="10"/>
      <c r="I354" s="10"/>
      <c r="J354" s="10"/>
      <c r="K354" s="10"/>
      <c r="L354" s="10"/>
      <c r="N354" s="10"/>
      <c r="O354" s="10"/>
      <c r="Q354" s="67"/>
      <c r="Y354" s="71"/>
      <c r="Z354" s="72"/>
    </row>
    <row r="355" ht="12.75" customHeight="1">
      <c r="A355" s="1" t="s">
        <v>700</v>
      </c>
      <c r="B355" s="2" t="s">
        <v>668</v>
      </c>
      <c r="C355" s="60" t="str">
        <f t="shared" ref="C355:C358" si="104">MID(A355,1,12)</f>
        <v>A.040.13.101</v>
      </c>
      <c r="D355" s="51" t="s">
        <v>699</v>
      </c>
      <c r="E355" s="62" t="s">
        <v>45</v>
      </c>
      <c r="F355" s="63" t="str">
        <f t="shared" ref="F355:F358" si="105">MID(A355, 21,85)</f>
        <v>Solvent based paint transparent - incl evaporation solvent</v>
      </c>
      <c r="G355" s="64">
        <v>3.7000353400000003</v>
      </c>
      <c r="H355" s="10">
        <f t="shared" ref="H355:H358" si="106">G355</f>
        <v>3.70003534</v>
      </c>
      <c r="I355" s="65">
        <v>1.87425</v>
      </c>
      <c r="J355" s="65">
        <v>1.2644572200000002</v>
      </c>
      <c r="K355" s="65">
        <v>0.0</v>
      </c>
      <c r="L355" s="65">
        <v>0.56132812</v>
      </c>
      <c r="N355" s="66">
        <v>3.7421874666666666</v>
      </c>
      <c r="O355" s="10">
        <f t="shared" ref="O355:O358" si="107">N355</f>
        <v>3.742187467</v>
      </c>
      <c r="Q355" s="67">
        <v>96.293281</v>
      </c>
      <c r="S355" s="68">
        <v>0.26799376</v>
      </c>
      <c r="T355" s="68">
        <v>0.25253009</v>
      </c>
      <c r="U355" s="68">
        <v>0.0095893909</v>
      </c>
      <c r="V355" s="68">
        <v>0.0058742799</v>
      </c>
      <c r="X355" s="69">
        <v>7.5511771E-4</v>
      </c>
      <c r="Y355" s="70"/>
      <c r="Z355" s="72"/>
    </row>
    <row r="356" ht="12.75" customHeight="1">
      <c r="A356" s="1" t="s">
        <v>701</v>
      </c>
      <c r="B356" s="2" t="s">
        <v>668</v>
      </c>
      <c r="C356" s="60" t="str">
        <f t="shared" si="104"/>
        <v>A.040.13.102</v>
      </c>
      <c r="D356" s="51" t="s">
        <v>699</v>
      </c>
      <c r="E356" s="62" t="s">
        <v>45</v>
      </c>
      <c r="F356" s="63" t="str">
        <f t="shared" si="105"/>
        <v>Solvent based paint white - incl evaporation solvent</v>
      </c>
      <c r="G356" s="64">
        <v>4.791691756395899</v>
      </c>
      <c r="H356" s="10">
        <f t="shared" si="106"/>
        <v>4.791691756</v>
      </c>
      <c r="I356" s="65">
        <v>1.576339879869</v>
      </c>
      <c r="J356" s="65">
        <v>1.0697984701268999</v>
      </c>
      <c r="K356" s="65">
        <v>1.4910333664</v>
      </c>
      <c r="L356" s="65">
        <v>0.65452004</v>
      </c>
      <c r="N356" s="66">
        <v>4.363466933333333</v>
      </c>
      <c r="O356" s="10">
        <f t="shared" si="107"/>
        <v>4.363466933</v>
      </c>
      <c r="Q356" s="67">
        <v>98.839008</v>
      </c>
      <c r="S356" s="68">
        <v>0.24722948</v>
      </c>
      <c r="T356" s="68">
        <v>0.23189582</v>
      </c>
      <c r="U356" s="68">
        <v>0.0089923043</v>
      </c>
      <c r="V356" s="68">
        <v>0.006341349</v>
      </c>
      <c r="X356" s="69">
        <v>6.9201305E-4</v>
      </c>
      <c r="Y356" s="70"/>
      <c r="Z356" s="72"/>
    </row>
    <row r="357" ht="12.75" customHeight="1">
      <c r="A357" s="1" t="s">
        <v>702</v>
      </c>
      <c r="B357" s="2" t="s">
        <v>668</v>
      </c>
      <c r="C357" s="60" t="str">
        <f t="shared" si="104"/>
        <v>A.040.13.103</v>
      </c>
      <c r="D357" s="51" t="s">
        <v>699</v>
      </c>
      <c r="E357" s="62" t="s">
        <v>45</v>
      </c>
      <c r="F357" s="63" t="str">
        <f t="shared" si="105"/>
        <v>Water based paint transparent</v>
      </c>
      <c r="G357" s="64">
        <v>0.799243721</v>
      </c>
      <c r="H357" s="10">
        <f t="shared" si="106"/>
        <v>0.799243721</v>
      </c>
      <c r="I357" s="65">
        <v>0.19158261</v>
      </c>
      <c r="J357" s="65">
        <v>0.268530681</v>
      </c>
      <c r="K357" s="65">
        <v>0.0</v>
      </c>
      <c r="L357" s="65">
        <v>0.33913043</v>
      </c>
      <c r="N357" s="66">
        <v>2.2608695333333335</v>
      </c>
      <c r="O357" s="10">
        <f t="shared" si="107"/>
        <v>2.260869533</v>
      </c>
      <c r="Q357" s="67">
        <v>39.65113</v>
      </c>
      <c r="S357" s="68">
        <v>0.10873195</v>
      </c>
      <c r="T357" s="68">
        <v>0.10318834</v>
      </c>
      <c r="U357" s="68">
        <v>0.0033144454</v>
      </c>
      <c r="V357" s="68">
        <v>0.0022291651</v>
      </c>
      <c r="X357" s="69">
        <v>2.0768107E-4</v>
      </c>
      <c r="Y357" s="70"/>
      <c r="Z357" s="73"/>
    </row>
    <row r="358" ht="12.75" customHeight="1">
      <c r="A358" s="1" t="s">
        <v>703</v>
      </c>
      <c r="B358" s="2" t="s">
        <v>668</v>
      </c>
      <c r="C358" s="60" t="str">
        <f t="shared" si="104"/>
        <v>A.040.13.104</v>
      </c>
      <c r="D358" s="51" t="s">
        <v>699</v>
      </c>
      <c r="E358" s="62" t="s">
        <v>45</v>
      </c>
      <c r="F358" s="63" t="str">
        <f t="shared" si="105"/>
        <v>Water based paint white</v>
      </c>
      <c r="G358" s="64">
        <v>2.5102667737368</v>
      </c>
      <c r="H358" s="10">
        <f t="shared" si="106"/>
        <v>2.510266774</v>
      </c>
      <c r="I358" s="65">
        <v>0.16648570657</v>
      </c>
      <c r="J358" s="65">
        <v>0.2336405117668</v>
      </c>
      <c r="K358" s="65">
        <v>1.6294865154</v>
      </c>
      <c r="L358" s="65">
        <v>0.48065404</v>
      </c>
      <c r="N358" s="66">
        <v>3.204360266666667</v>
      </c>
      <c r="O358" s="10">
        <f t="shared" si="107"/>
        <v>3.204360267</v>
      </c>
      <c r="Q358" s="67">
        <v>52.532058</v>
      </c>
      <c r="S358" s="68">
        <v>0.11447827</v>
      </c>
      <c r="T358" s="68">
        <v>0.1073062</v>
      </c>
      <c r="U358" s="68">
        <v>0.003782441</v>
      </c>
      <c r="V358" s="68">
        <v>0.0033896268</v>
      </c>
      <c r="X358" s="69">
        <v>2.3645495E-4</v>
      </c>
      <c r="Y358" s="70"/>
      <c r="Z358" s="48"/>
    </row>
    <row r="359" ht="12.75" customHeight="1">
      <c r="B359" s="2"/>
      <c r="C359" s="60"/>
      <c r="D359" s="51"/>
      <c r="E359" s="62"/>
      <c r="G359" s="10"/>
      <c r="H359" s="10"/>
      <c r="I359" s="10"/>
      <c r="J359" s="10"/>
      <c r="K359" s="10"/>
      <c r="L359" s="10"/>
      <c r="N359" s="10"/>
      <c r="O359" s="10"/>
      <c r="Q359" s="67"/>
      <c r="Y359" s="71"/>
      <c r="Z359" s="48"/>
    </row>
    <row r="360" ht="12.75" customHeight="1">
      <c r="B360" s="2"/>
      <c r="C360" s="60"/>
      <c r="D360" s="75" t="s">
        <v>704</v>
      </c>
      <c r="E360" s="62"/>
      <c r="G360" s="10"/>
      <c r="H360" s="10"/>
      <c r="I360" s="10"/>
      <c r="J360" s="10"/>
      <c r="K360" s="10"/>
      <c r="L360" s="10"/>
      <c r="N360" s="10"/>
      <c r="O360" s="10"/>
      <c r="Q360" s="67"/>
      <c r="Y360" s="71"/>
      <c r="Z360" s="48"/>
    </row>
    <row r="361" ht="12.75" customHeight="1">
      <c r="A361" s="1" t="s">
        <v>705</v>
      </c>
      <c r="B361" s="2" t="s">
        <v>706</v>
      </c>
      <c r="C361" s="60" t="str">
        <f t="shared" ref="C361:C380" si="108">MID(A361,1,12)</f>
        <v>A.050.04.101</v>
      </c>
      <c r="D361" s="51" t="s">
        <v>704</v>
      </c>
      <c r="E361" s="62" t="s">
        <v>707</v>
      </c>
      <c r="F361" s="63" t="str">
        <f t="shared" ref="F361:F380" si="109">MID(A361, 21,85)</f>
        <v>AA cell battery (Alkaline)</v>
      </c>
      <c r="G361" s="64">
        <v>0.028670092893872158</v>
      </c>
      <c r="H361" s="10">
        <f t="shared" ref="H361:H380" si="110">G361</f>
        <v>0.02867009289</v>
      </c>
      <c r="I361" s="65">
        <v>0.0039353944371</v>
      </c>
      <c r="J361" s="65">
        <v>0.007226603671101999</v>
      </c>
      <c r="K361" s="65">
        <v>0.009278196385670161</v>
      </c>
      <c r="L361" s="65">
        <v>0.0082298984</v>
      </c>
      <c r="N361" s="66">
        <v>0.05486598933333333</v>
      </c>
      <c r="O361" s="10">
        <f t="shared" ref="O361:O380" si="111">N361</f>
        <v>0.05486598933</v>
      </c>
      <c r="Q361" s="67">
        <v>0.52731612</v>
      </c>
      <c r="S361" s="68">
        <v>0.027564395</v>
      </c>
      <c r="T361" s="68">
        <v>0.027465765</v>
      </c>
      <c r="U361" s="68">
        <v>6.8601471E-5</v>
      </c>
      <c r="V361" s="68">
        <v>3.002805E-5</v>
      </c>
      <c r="X361" s="69">
        <v>1.0516845E-5</v>
      </c>
      <c r="Y361" s="70"/>
      <c r="Z361" s="48"/>
    </row>
    <row r="362" ht="12.75" customHeight="1">
      <c r="A362" s="1" t="s">
        <v>708</v>
      </c>
      <c r="B362" s="2" t="s">
        <v>706</v>
      </c>
      <c r="C362" s="60" t="str">
        <f t="shared" si="108"/>
        <v>A.050.04.102</v>
      </c>
      <c r="D362" s="51" t="s">
        <v>704</v>
      </c>
      <c r="E362" s="62" t="s">
        <v>707</v>
      </c>
      <c r="F362" s="63" t="str">
        <f t="shared" si="109"/>
        <v>AA cell battery (Li-ion)</v>
      </c>
      <c r="G362" s="64">
        <v>0.18281818932799998</v>
      </c>
      <c r="H362" s="10">
        <f t="shared" si="110"/>
        <v>0.1828181893</v>
      </c>
      <c r="I362" s="65">
        <v>0.007836589207999999</v>
      </c>
      <c r="J362" s="65">
        <v>0.07992975292</v>
      </c>
      <c r="K362" s="65">
        <v>0.0681787852</v>
      </c>
      <c r="L362" s="65">
        <v>0.026873062</v>
      </c>
      <c r="N362" s="66">
        <v>0.17915374666666667</v>
      </c>
      <c r="O362" s="10">
        <f t="shared" si="111"/>
        <v>0.1791537467</v>
      </c>
      <c r="Q362" s="67">
        <v>3.2512784</v>
      </c>
      <c r="S362" s="68">
        <v>0.026771541</v>
      </c>
      <c r="T362" s="68">
        <v>0.025943857</v>
      </c>
      <c r="U362" s="68">
        <v>5.7865657E-4</v>
      </c>
      <c r="V362" s="68">
        <v>2.4902792E-4</v>
      </c>
      <c r="X362" s="69">
        <v>3.2140885E-5</v>
      </c>
      <c r="Y362" s="70"/>
      <c r="Z362" s="48"/>
    </row>
    <row r="363" ht="12.75" customHeight="1">
      <c r="A363" s="1" t="s">
        <v>709</v>
      </c>
      <c r="B363" s="2" t="s">
        <v>706</v>
      </c>
      <c r="C363" s="60" t="str">
        <f t="shared" si="108"/>
        <v>A.050.04.103</v>
      </c>
      <c r="D363" s="51" t="s">
        <v>704</v>
      </c>
      <c r="E363" s="62" t="s">
        <v>707</v>
      </c>
      <c r="F363" s="63" t="str">
        <f t="shared" si="109"/>
        <v>Computer desktop -  including 27 inch display</v>
      </c>
      <c r="G363" s="64">
        <v>75.97378437458931</v>
      </c>
      <c r="H363" s="10">
        <f t="shared" si="110"/>
        <v>75.97378437</v>
      </c>
      <c r="I363" s="65">
        <v>3.0029780510000004</v>
      </c>
      <c r="J363" s="65">
        <v>8.1736605352</v>
      </c>
      <c r="K363" s="65">
        <v>7.975073788389322</v>
      </c>
      <c r="L363" s="65">
        <v>56.822072</v>
      </c>
      <c r="N363" s="66">
        <v>378.8138133333333</v>
      </c>
      <c r="O363" s="10">
        <f t="shared" si="111"/>
        <v>378.8138133</v>
      </c>
      <c r="Q363" s="67">
        <v>5501.1142</v>
      </c>
      <c r="S363" s="68">
        <v>8.5339963</v>
      </c>
      <c r="T363" s="68">
        <v>7.8314254</v>
      </c>
      <c r="U363" s="68">
        <v>0.31715506</v>
      </c>
      <c r="V363" s="68">
        <v>0.38541583</v>
      </c>
      <c r="X363" s="69">
        <v>0.029852232</v>
      </c>
      <c r="Y363" s="70"/>
      <c r="Z363" s="48"/>
    </row>
    <row r="364" ht="12.75" customHeight="1">
      <c r="A364" s="1" t="s">
        <v>710</v>
      </c>
      <c r="B364" s="2" t="s">
        <v>706</v>
      </c>
      <c r="C364" s="60" t="str">
        <f t="shared" si="108"/>
        <v>A.050.04.104</v>
      </c>
      <c r="D364" s="51" t="s">
        <v>704</v>
      </c>
      <c r="E364" s="62" t="s">
        <v>707</v>
      </c>
      <c r="F364" s="63" t="str">
        <f t="shared" si="109"/>
        <v>Computer laptop - 14 inch display</v>
      </c>
      <c r="G364" s="64">
        <v>38.96662388939932</v>
      </c>
      <c r="H364" s="10">
        <f t="shared" si="110"/>
        <v>38.96662389</v>
      </c>
      <c r="I364" s="65">
        <v>1.528589569</v>
      </c>
      <c r="J364" s="65">
        <v>5.89924415201</v>
      </c>
      <c r="K364" s="65">
        <v>7.407005168389323</v>
      </c>
      <c r="L364" s="65">
        <v>24.131785</v>
      </c>
      <c r="N364" s="66">
        <v>160.87856666666667</v>
      </c>
      <c r="O364" s="10">
        <f t="shared" si="111"/>
        <v>160.8785667</v>
      </c>
      <c r="Q364" s="67">
        <v>2272.0054</v>
      </c>
      <c r="S364" s="68">
        <v>4.4884339</v>
      </c>
      <c r="T364" s="68">
        <v>4.1844946</v>
      </c>
      <c r="U364" s="68">
        <v>0.1457046</v>
      </c>
      <c r="V364" s="68">
        <v>0.15823468</v>
      </c>
      <c r="X364" s="69">
        <v>0.019198777</v>
      </c>
      <c r="Y364" s="70"/>
      <c r="Z364" s="48"/>
    </row>
    <row r="365" ht="12.75" customHeight="1">
      <c r="A365" s="1" t="s">
        <v>711</v>
      </c>
      <c r="B365" s="2" t="s">
        <v>706</v>
      </c>
      <c r="C365" s="60" t="str">
        <f t="shared" si="108"/>
        <v>A.050.04.105</v>
      </c>
      <c r="D365" s="51" t="s">
        <v>704</v>
      </c>
      <c r="E365" s="62" t="s">
        <v>712</v>
      </c>
      <c r="F365" s="63" t="str">
        <f t="shared" si="109"/>
        <v>Electric cord, 6A (1320W) 3x0.75 mm2 (per m)</v>
      </c>
      <c r="G365" s="64">
        <v>0.11508264011099043</v>
      </c>
      <c r="H365" s="10">
        <f t="shared" si="110"/>
        <v>0.1150826401</v>
      </c>
      <c r="I365" s="65">
        <v>0.0048806760000000005</v>
      </c>
      <c r="J365" s="65">
        <v>0.02963773664938</v>
      </c>
      <c r="K365" s="65">
        <v>0.057918286461610416</v>
      </c>
      <c r="L365" s="65">
        <v>0.022645941</v>
      </c>
      <c r="N365" s="66">
        <v>0.15097294</v>
      </c>
      <c r="O365" s="10">
        <f t="shared" si="111"/>
        <v>0.15097294</v>
      </c>
      <c r="Q365" s="67">
        <v>3.7449484</v>
      </c>
      <c r="S365" s="68">
        <v>0.0053215064</v>
      </c>
      <c r="T365" s="68">
        <v>0.0049127639</v>
      </c>
      <c r="U365" s="68">
        <v>1.6387709E-4</v>
      </c>
      <c r="V365" s="68">
        <v>2.4486534E-4</v>
      </c>
      <c r="X365" s="69">
        <v>3.5520191E-5</v>
      </c>
      <c r="Y365" s="70"/>
      <c r="Z365" s="73"/>
    </row>
    <row r="366" ht="12.75" customHeight="1">
      <c r="A366" s="1" t="s">
        <v>713</v>
      </c>
      <c r="B366" s="2" t="s">
        <v>706</v>
      </c>
      <c r="C366" s="60" t="str">
        <f t="shared" si="108"/>
        <v>A.050.04.106</v>
      </c>
      <c r="D366" s="51" t="s">
        <v>704</v>
      </c>
      <c r="E366" s="62" t="s">
        <v>685</v>
      </c>
      <c r="F366" s="63" t="str">
        <f t="shared" si="109"/>
        <v>Electric motor less than 500 W</v>
      </c>
      <c r="G366" s="64">
        <v>2.018497234298871</v>
      </c>
      <c r="H366" s="10">
        <f t="shared" si="110"/>
        <v>2.018497234</v>
      </c>
      <c r="I366" s="65">
        <v>0.0713045856</v>
      </c>
      <c r="J366" s="65">
        <v>0.31116599369500003</v>
      </c>
      <c r="K366" s="65">
        <v>1.1650430150038709</v>
      </c>
      <c r="L366" s="65">
        <v>0.47098364</v>
      </c>
      <c r="N366" s="66">
        <v>3.139890933333333</v>
      </c>
      <c r="O366" s="10">
        <f t="shared" si="111"/>
        <v>3.139890933</v>
      </c>
      <c r="Q366" s="67">
        <v>36.505974</v>
      </c>
      <c r="S366" s="68">
        <v>0.15218498</v>
      </c>
      <c r="T366" s="68">
        <v>0.14592924</v>
      </c>
      <c r="U366" s="68">
        <v>0.0040549797</v>
      </c>
      <c r="V366" s="68">
        <v>0.0022007535</v>
      </c>
      <c r="X366" s="69">
        <v>6.2793529E-4</v>
      </c>
      <c r="Y366" s="70"/>
      <c r="Z366" s="48"/>
    </row>
    <row r="367" ht="12.75" customHeight="1">
      <c r="A367" s="1" t="s">
        <v>714</v>
      </c>
      <c r="B367" s="2" t="s">
        <v>706</v>
      </c>
      <c r="C367" s="60" t="str">
        <f t="shared" si="108"/>
        <v>A.050.04.109</v>
      </c>
      <c r="D367" s="51" t="s">
        <v>704</v>
      </c>
      <c r="E367" s="62" t="s">
        <v>715</v>
      </c>
      <c r="F367" s="63" t="str">
        <f t="shared" si="109"/>
        <v>LCD flat screen 27 inch -  including casing and electronics</v>
      </c>
      <c r="G367" s="64">
        <v>57.06978175335885</v>
      </c>
      <c r="H367" s="10">
        <f t="shared" si="110"/>
        <v>57.06978175</v>
      </c>
      <c r="I367" s="65">
        <v>2.266661968</v>
      </c>
      <c r="J367" s="65">
        <v>4.5157166314</v>
      </c>
      <c r="K367" s="65">
        <v>1.3156311539588497</v>
      </c>
      <c r="L367" s="65">
        <v>48.971772</v>
      </c>
      <c r="N367" s="66">
        <v>326.47848000000005</v>
      </c>
      <c r="O367" s="10">
        <f t="shared" si="111"/>
        <v>326.47848</v>
      </c>
      <c r="Q367" s="67">
        <v>4822.4191</v>
      </c>
      <c r="S367" s="68">
        <v>6.2599548</v>
      </c>
      <c r="T367" s="68">
        <v>5.6618041</v>
      </c>
      <c r="U367" s="68">
        <v>0.2593928</v>
      </c>
      <c r="V367" s="68">
        <v>0.33875787</v>
      </c>
      <c r="X367" s="69">
        <v>0.017417949</v>
      </c>
      <c r="Y367" s="70"/>
      <c r="Z367" s="73"/>
    </row>
    <row r="368" ht="12.75" customHeight="1">
      <c r="A368" s="1" t="s">
        <v>716</v>
      </c>
      <c r="B368" s="2" t="s">
        <v>706</v>
      </c>
      <c r="C368" s="60" t="str">
        <f t="shared" si="108"/>
        <v>A.050.04.110</v>
      </c>
      <c r="D368" s="51" t="s">
        <v>704</v>
      </c>
      <c r="E368" s="62" t="s">
        <v>45</v>
      </c>
      <c r="F368" s="63" t="str">
        <f t="shared" si="109"/>
        <v>Lead battery cars (39 Wh per kg)</v>
      </c>
      <c r="G368" s="64">
        <v>0.554717120948787</v>
      </c>
      <c r="H368" s="10">
        <f t="shared" si="110"/>
        <v>0.5547171209</v>
      </c>
      <c r="I368" s="65">
        <v>0.01814374997</v>
      </c>
      <c r="J368" s="65">
        <v>0.11237918456800002</v>
      </c>
      <c r="K368" s="65">
        <v>0.29727985641078697</v>
      </c>
      <c r="L368" s="65">
        <v>0.12691433</v>
      </c>
      <c r="N368" s="66">
        <v>0.8460955333333333</v>
      </c>
      <c r="O368" s="10">
        <f t="shared" si="111"/>
        <v>0.8460955333</v>
      </c>
      <c r="Q368" s="67">
        <v>15.773957</v>
      </c>
      <c r="S368" s="68">
        <v>0.035159162</v>
      </c>
      <c r="T368" s="68">
        <v>0.032926635</v>
      </c>
      <c r="U368" s="68">
        <v>0.0010153232</v>
      </c>
      <c r="V368" s="68">
        <v>0.0012172042</v>
      </c>
      <c r="X368" s="69">
        <v>6.9444111E-5</v>
      </c>
      <c r="Y368" s="70"/>
      <c r="Z368" s="48"/>
    </row>
    <row r="369" ht="12.75" customHeight="1">
      <c r="A369" s="1" t="s">
        <v>717</v>
      </c>
      <c r="B369" s="2" t="s">
        <v>706</v>
      </c>
      <c r="C369" s="60" t="str">
        <f t="shared" si="108"/>
        <v>A.050.04.111</v>
      </c>
      <c r="D369" s="51" t="s">
        <v>704</v>
      </c>
      <c r="E369" s="62" t="s">
        <v>707</v>
      </c>
      <c r="F369" s="63" t="str">
        <f t="shared" si="109"/>
        <v>LED light bulb 8 watt.</v>
      </c>
      <c r="G369" s="64">
        <v>1.4801889396556551</v>
      </c>
      <c r="H369" s="10">
        <f t="shared" si="110"/>
        <v>1.48018894</v>
      </c>
      <c r="I369" s="65">
        <v>0.059622372800000004</v>
      </c>
      <c r="J369" s="65">
        <v>0.4479050222453</v>
      </c>
      <c r="K369" s="65">
        <v>0.673890134610355</v>
      </c>
      <c r="L369" s="65">
        <v>0.29877141</v>
      </c>
      <c r="N369" s="66">
        <v>1.9918094000000002</v>
      </c>
      <c r="O369" s="10">
        <f t="shared" si="111"/>
        <v>1.9918094</v>
      </c>
      <c r="Q369" s="67">
        <v>19.159317</v>
      </c>
      <c r="S369" s="68">
        <v>0.18762261</v>
      </c>
      <c r="T369" s="68">
        <v>0.1832104</v>
      </c>
      <c r="U369" s="68">
        <v>0.0035385768</v>
      </c>
      <c r="V369" s="68">
        <v>8.7362962E-4</v>
      </c>
      <c r="X369" s="69">
        <v>0.0011861426</v>
      </c>
      <c r="Y369" s="70"/>
      <c r="Z369" s="48"/>
    </row>
    <row r="370" ht="12.75" customHeight="1">
      <c r="A370" s="1" t="s">
        <v>718</v>
      </c>
      <c r="B370" s="2" t="s">
        <v>706</v>
      </c>
      <c r="C370" s="60" t="str">
        <f t="shared" si="108"/>
        <v>A.050.04.112</v>
      </c>
      <c r="D370" s="51" t="s">
        <v>704</v>
      </c>
      <c r="E370" s="62" t="s">
        <v>45</v>
      </c>
      <c r="F370" s="63" t="str">
        <f t="shared" si="109"/>
        <v>Lithium-ion LiCoO2 laptop battery (180 Wh/kg)</v>
      </c>
      <c r="G370" s="64">
        <v>33.48871921069</v>
      </c>
      <c r="H370" s="10">
        <f t="shared" si="110"/>
        <v>33.48871921</v>
      </c>
      <c r="I370" s="65">
        <v>1.401226059</v>
      </c>
      <c r="J370" s="65">
        <v>4.30048673169</v>
      </c>
      <c r="K370" s="65">
        <v>15.00295242</v>
      </c>
      <c r="L370" s="65">
        <v>12.784054</v>
      </c>
      <c r="N370" s="66">
        <v>85.22702666666666</v>
      </c>
      <c r="O370" s="10">
        <f t="shared" si="111"/>
        <v>85.22702667</v>
      </c>
      <c r="Q370" s="67">
        <v>1091.9692</v>
      </c>
      <c r="S370" s="68">
        <v>2.9565402</v>
      </c>
      <c r="T370" s="68">
        <v>2.7968144</v>
      </c>
      <c r="U370" s="68">
        <v>0.084833737</v>
      </c>
      <c r="V370" s="68">
        <v>0.074892064</v>
      </c>
      <c r="X370" s="69">
        <v>0.0055537859</v>
      </c>
      <c r="Y370" s="70"/>
      <c r="Z370" s="48"/>
    </row>
    <row r="371" ht="12.75" customHeight="1">
      <c r="A371" s="1" t="s">
        <v>719</v>
      </c>
      <c r="B371" s="2" t="s">
        <v>706</v>
      </c>
      <c r="C371" s="60" t="str">
        <f t="shared" si="108"/>
        <v>A.050.04.113</v>
      </c>
      <c r="D371" s="51" t="s">
        <v>704</v>
      </c>
      <c r="E371" s="62" t="s">
        <v>707</v>
      </c>
      <c r="F371" s="63" t="str">
        <f t="shared" si="109"/>
        <v>Lithium LiFePO4 (145 Wh per kg incl packaging excl electronics)</v>
      </c>
      <c r="G371" s="64">
        <v>2.85739286943358</v>
      </c>
      <c r="H371" s="10">
        <f t="shared" si="110"/>
        <v>2.857392869</v>
      </c>
      <c r="I371" s="65">
        <v>0.17368707710000003</v>
      </c>
      <c r="J371" s="65">
        <v>0.46903135500000004</v>
      </c>
      <c r="K371" s="65">
        <v>0.88915753733358</v>
      </c>
      <c r="L371" s="65">
        <v>1.3255169</v>
      </c>
      <c r="N371" s="66">
        <v>8.836779333333334</v>
      </c>
      <c r="O371" s="10">
        <f t="shared" si="111"/>
        <v>8.836779333</v>
      </c>
      <c r="Q371" s="67">
        <v>117.51853</v>
      </c>
      <c r="S371" s="68">
        <v>0.23315502</v>
      </c>
      <c r="T371" s="68">
        <v>0.21902082</v>
      </c>
      <c r="U371" s="68">
        <v>0.0087308604</v>
      </c>
      <c r="V371" s="68">
        <v>0.0054033402</v>
      </c>
      <c r="X371" s="69">
        <v>7.6339324E-4</v>
      </c>
      <c r="Y371" s="70"/>
      <c r="Z371" s="48"/>
    </row>
    <row r="372" ht="12.75" customHeight="1">
      <c r="A372" s="1" t="s">
        <v>720</v>
      </c>
      <c r="B372" s="2" t="s">
        <v>706</v>
      </c>
      <c r="C372" s="60" t="str">
        <f t="shared" si="108"/>
        <v>A.050.04.114</v>
      </c>
      <c r="D372" s="51" t="s">
        <v>704</v>
      </c>
      <c r="E372" s="62" t="s">
        <v>45</v>
      </c>
      <c r="F372" s="63" t="str">
        <f t="shared" si="109"/>
        <v>Lithium NMC 811 (215 Wh per kg incl packaging excl electronics)</v>
      </c>
      <c r="G372" s="64">
        <v>10.539107365349025</v>
      </c>
      <c r="H372" s="10">
        <f t="shared" si="110"/>
        <v>10.53910737</v>
      </c>
      <c r="I372" s="65">
        <v>0.33115770699999997</v>
      </c>
      <c r="J372" s="65">
        <v>3.333620395972</v>
      </c>
      <c r="K372" s="65">
        <v>4.555293262377025</v>
      </c>
      <c r="L372" s="65">
        <v>2.319036</v>
      </c>
      <c r="N372" s="66">
        <v>15.46024</v>
      </c>
      <c r="O372" s="10">
        <f t="shared" si="111"/>
        <v>15.46024</v>
      </c>
      <c r="Q372" s="67">
        <v>185.33993</v>
      </c>
      <c r="S372" s="68">
        <v>1.3505552</v>
      </c>
      <c r="T372" s="68">
        <v>1.309844</v>
      </c>
      <c r="U372" s="68">
        <v>0.030296189</v>
      </c>
      <c r="V372" s="68">
        <v>0.010415001</v>
      </c>
      <c r="X372" s="69">
        <v>0.001979704</v>
      </c>
      <c r="Y372" s="70"/>
      <c r="Z372" s="48"/>
    </row>
    <row r="373" ht="12.75" customHeight="1">
      <c r="A373" s="1" t="s">
        <v>721</v>
      </c>
      <c r="B373" s="2" t="s">
        <v>706</v>
      </c>
      <c r="C373" s="60" t="str">
        <f t="shared" si="108"/>
        <v>A.050.04.115</v>
      </c>
      <c r="D373" s="51" t="s">
        <v>704</v>
      </c>
      <c r="E373" s="62" t="s">
        <v>45</v>
      </c>
      <c r="F373" s="63" t="str">
        <f t="shared" si="109"/>
        <v>Mica (fire proof electric insulation) estimate</v>
      </c>
      <c r="G373" s="64">
        <v>0.451512922094</v>
      </c>
      <c r="H373" s="10">
        <f t="shared" si="110"/>
        <v>0.4515129221</v>
      </c>
      <c r="I373" s="65">
        <v>0.01818918034</v>
      </c>
      <c r="J373" s="65">
        <v>0.026067040043999998</v>
      </c>
      <c r="K373" s="65">
        <v>0.00396440171</v>
      </c>
      <c r="L373" s="65">
        <v>0.4032923</v>
      </c>
      <c r="N373" s="66">
        <v>2.6886153333333334</v>
      </c>
      <c r="O373" s="10">
        <f t="shared" si="111"/>
        <v>2.688615333</v>
      </c>
      <c r="Q373" s="67">
        <v>39.836747</v>
      </c>
      <c r="S373" s="68">
        <v>0.049906864</v>
      </c>
      <c r="T373" s="68">
        <v>0.044991319</v>
      </c>
      <c r="U373" s="68">
        <v>0.0021151435</v>
      </c>
      <c r="V373" s="68">
        <v>0.0028004022</v>
      </c>
      <c r="X373" s="69">
        <v>1.31428E-4</v>
      </c>
      <c r="Y373" s="70"/>
      <c r="Z373" s="48"/>
    </row>
    <row r="374" ht="12.75" customHeight="1">
      <c r="A374" s="1" t="s">
        <v>722</v>
      </c>
      <c r="B374" s="2" t="s">
        <v>706</v>
      </c>
      <c r="C374" s="60" t="str">
        <f t="shared" si="108"/>
        <v>A.050.04.116</v>
      </c>
      <c r="D374" s="51" t="s">
        <v>704</v>
      </c>
      <c r="E374" s="62" t="s">
        <v>45</v>
      </c>
      <c r="F374" s="63" t="str">
        <f t="shared" si="109"/>
        <v>NiCd battery AA-cell</v>
      </c>
      <c r="G374" s="64">
        <v>0.28507495524199994</v>
      </c>
      <c r="H374" s="10">
        <f t="shared" si="110"/>
        <v>0.2850749552</v>
      </c>
      <c r="I374" s="65">
        <v>0.012354204341999998</v>
      </c>
      <c r="J374" s="65">
        <v>0.084784535</v>
      </c>
      <c r="K374" s="65">
        <v>0.1559862159</v>
      </c>
      <c r="L374" s="65">
        <v>0.03195</v>
      </c>
      <c r="N374" s="66">
        <v>0.213</v>
      </c>
      <c r="O374" s="10">
        <f t="shared" si="111"/>
        <v>0.213</v>
      </c>
      <c r="Q374" s="67">
        <v>3.462316</v>
      </c>
      <c r="S374" s="68">
        <v>0.02886267</v>
      </c>
      <c r="T374" s="68">
        <v>0.027908137</v>
      </c>
      <c r="U374" s="68">
        <v>6.3258809E-4</v>
      </c>
      <c r="V374" s="68">
        <v>3.219448E-4</v>
      </c>
      <c r="X374" s="69">
        <v>3.743967E-5</v>
      </c>
      <c r="Y374" s="70"/>
      <c r="Z374" s="73"/>
    </row>
    <row r="375" ht="12.75" customHeight="1">
      <c r="A375" s="1" t="s">
        <v>723</v>
      </c>
      <c r="B375" s="2" t="s">
        <v>706</v>
      </c>
      <c r="C375" s="60" t="str">
        <f t="shared" si="108"/>
        <v>A.050.04.117</v>
      </c>
      <c r="D375" s="51" t="s">
        <v>704</v>
      </c>
      <c r="E375" s="62" t="s">
        <v>45</v>
      </c>
      <c r="F375" s="63" t="str">
        <f t="shared" si="109"/>
        <v>NiCd battery C-cell</v>
      </c>
      <c r="G375" s="64">
        <v>0.8981218276999999</v>
      </c>
      <c r="H375" s="10">
        <f t="shared" si="110"/>
        <v>0.8981218277</v>
      </c>
      <c r="I375" s="65">
        <v>0.017801147939999998</v>
      </c>
      <c r="J375" s="65">
        <v>0.15293983526</v>
      </c>
      <c r="K375" s="65">
        <v>0.6658808445</v>
      </c>
      <c r="L375" s="65">
        <v>0.0615</v>
      </c>
      <c r="N375" s="66">
        <v>0.41000000000000003</v>
      </c>
      <c r="O375" s="10">
        <f t="shared" si="111"/>
        <v>0.41</v>
      </c>
      <c r="Q375" s="67">
        <v>6.1225632</v>
      </c>
      <c r="S375" s="68">
        <v>0.051970202</v>
      </c>
      <c r="T375" s="68">
        <v>0.05001959</v>
      </c>
      <c r="U375" s="68">
        <v>0.0011497631</v>
      </c>
      <c r="V375" s="68">
        <v>8.0084883E-4</v>
      </c>
      <c r="X375" s="69">
        <v>6.3300807E-5</v>
      </c>
      <c r="Y375" s="70"/>
      <c r="Z375" s="48"/>
    </row>
    <row r="376" ht="12.75" customHeight="1">
      <c r="A376" s="1" t="s">
        <v>724</v>
      </c>
      <c r="B376" s="2" t="s">
        <v>706</v>
      </c>
      <c r="C376" s="60" t="str">
        <f t="shared" si="108"/>
        <v>A.050.04.118</v>
      </c>
      <c r="D376" s="51" t="s">
        <v>704</v>
      </c>
      <c r="E376" s="62" t="s">
        <v>45</v>
      </c>
      <c r="F376" s="63" t="str">
        <f t="shared" si="109"/>
        <v>NiMH battery for laptops (54 Wh per kg)</v>
      </c>
      <c r="G376" s="64">
        <v>24.82465680141</v>
      </c>
      <c r="H376" s="10">
        <f t="shared" si="110"/>
        <v>24.8246568</v>
      </c>
      <c r="I376" s="65">
        <v>0.3645482191</v>
      </c>
      <c r="J376" s="65">
        <v>0.76655311231</v>
      </c>
      <c r="K376" s="65">
        <v>15.61075627</v>
      </c>
      <c r="L376" s="65">
        <v>8.0827992</v>
      </c>
      <c r="N376" s="66">
        <v>53.885328</v>
      </c>
      <c r="O376" s="10">
        <f t="shared" si="111"/>
        <v>53.885328</v>
      </c>
      <c r="Q376" s="67">
        <v>798.40956</v>
      </c>
      <c r="S376" s="68">
        <v>1.0020227</v>
      </c>
      <c r="T376" s="68">
        <v>0.90171767</v>
      </c>
      <c r="U376" s="68">
        <v>0.042391785</v>
      </c>
      <c r="V376" s="68">
        <v>0.057913199</v>
      </c>
      <c r="X376" s="69">
        <v>0.0026614867</v>
      </c>
      <c r="Y376" s="70"/>
      <c r="Z376" s="48"/>
    </row>
    <row r="377" ht="12.75" customHeight="1">
      <c r="A377" s="1" t="s">
        <v>725</v>
      </c>
      <c r="B377" s="2" t="s">
        <v>706</v>
      </c>
      <c r="C377" s="60" t="str">
        <f t="shared" si="108"/>
        <v>A.050.04.120</v>
      </c>
      <c r="D377" s="51" t="s">
        <v>704</v>
      </c>
      <c r="E377" s="62" t="s">
        <v>45</v>
      </c>
      <c r="F377" s="63" t="str">
        <f t="shared" si="109"/>
        <v>solder Tin/Lead 63/37 solder electronic industry</v>
      </c>
      <c r="G377" s="64">
        <v>17.96443065303912</v>
      </c>
      <c r="H377" s="10">
        <f t="shared" si="110"/>
        <v>17.96443065</v>
      </c>
      <c r="I377" s="65">
        <v>1.141423066</v>
      </c>
      <c r="J377" s="65">
        <v>2.15791067303912</v>
      </c>
      <c r="K377" s="65">
        <v>13.601217714</v>
      </c>
      <c r="L377" s="65">
        <v>1.0638792</v>
      </c>
      <c r="N377" s="66">
        <v>7.092528</v>
      </c>
      <c r="O377" s="10">
        <f t="shared" si="111"/>
        <v>7.092528</v>
      </c>
      <c r="Q377" s="67">
        <v>21.110651</v>
      </c>
      <c r="S377" s="68">
        <v>1.6983102</v>
      </c>
      <c r="T377" s="68">
        <v>1.6745113</v>
      </c>
      <c r="U377" s="68">
        <v>0.017545479</v>
      </c>
      <c r="V377" s="68">
        <v>0.0062533937</v>
      </c>
      <c r="X377" s="69">
        <v>0.013716881</v>
      </c>
      <c r="Y377" s="70"/>
      <c r="Z377" s="48"/>
    </row>
    <row r="378" ht="12.75" customHeight="1">
      <c r="A378" s="1" t="s">
        <v>726</v>
      </c>
      <c r="B378" s="2" t="s">
        <v>706</v>
      </c>
      <c r="C378" s="60" t="str">
        <f t="shared" si="108"/>
        <v>A.050.04.121</v>
      </c>
      <c r="D378" s="51" t="s">
        <v>704</v>
      </c>
      <c r="E378" s="62" t="s">
        <v>45</v>
      </c>
      <c r="F378" s="63" t="str">
        <f t="shared" si="109"/>
        <v>solder leadfree electronic industry (Ag3.9, Cu0.6)</v>
      </c>
      <c r="G378" s="64">
        <v>56.014051686636044</v>
      </c>
      <c r="H378" s="10">
        <f t="shared" si="110"/>
        <v>56.01405169</v>
      </c>
      <c r="I378" s="65">
        <v>2.7205673104</v>
      </c>
      <c r="J378" s="65">
        <v>9.23494379623604</v>
      </c>
      <c r="K378" s="65">
        <v>40.456445280000004</v>
      </c>
      <c r="L378" s="65">
        <v>3.6020953</v>
      </c>
      <c r="N378" s="66">
        <v>24.01396866666667</v>
      </c>
      <c r="O378" s="10">
        <f t="shared" si="111"/>
        <v>24.01396867</v>
      </c>
      <c r="Q378" s="67">
        <v>41.557433</v>
      </c>
      <c r="S378" s="68">
        <v>5.6650055</v>
      </c>
      <c r="T378" s="68">
        <v>5.5818159</v>
      </c>
      <c r="U378" s="68">
        <v>0.067183939</v>
      </c>
      <c r="V378" s="68">
        <v>0.016005641</v>
      </c>
      <c r="X378" s="69">
        <v>0.067591471</v>
      </c>
      <c r="Y378" s="70"/>
      <c r="Z378" s="73"/>
    </row>
    <row r="379" ht="12.75" customHeight="1">
      <c r="A379" s="1" t="s">
        <v>727</v>
      </c>
      <c r="B379" s="2" t="s">
        <v>706</v>
      </c>
      <c r="C379" s="60" t="str">
        <f t="shared" si="108"/>
        <v>A.050.04.122</v>
      </c>
      <c r="D379" s="51" t="s">
        <v>704</v>
      </c>
      <c r="E379" s="62" t="s">
        <v>45</v>
      </c>
      <c r="F379" s="63" t="str">
        <f t="shared" si="109"/>
        <v>solder Lead Tin/Lead  60/40 (normal)</v>
      </c>
      <c r="G379" s="64">
        <v>17.2226962861504</v>
      </c>
      <c r="H379" s="10">
        <f t="shared" si="110"/>
        <v>17.22269629</v>
      </c>
      <c r="I379" s="65">
        <v>1.090666554</v>
      </c>
      <c r="J379" s="65">
        <v>2.0726303381504003</v>
      </c>
      <c r="K379" s="65">
        <v>13.032666794</v>
      </c>
      <c r="L379" s="65">
        <v>1.0267326</v>
      </c>
      <c r="N379" s="66">
        <v>6.844884000000001</v>
      </c>
      <c r="O379" s="10">
        <f t="shared" si="111"/>
        <v>6.844884</v>
      </c>
      <c r="Q379" s="67">
        <v>21.579965</v>
      </c>
      <c r="S379" s="68">
        <v>1.6241254</v>
      </c>
      <c r="T379" s="68">
        <v>1.601165</v>
      </c>
      <c r="U379" s="68">
        <v>0.01687147</v>
      </c>
      <c r="V379" s="68">
        <v>0.0060888796</v>
      </c>
      <c r="X379" s="69">
        <v>0.013074253</v>
      </c>
      <c r="Y379" s="70"/>
      <c r="Z379" s="73"/>
    </row>
    <row r="380" ht="12.75" customHeight="1">
      <c r="A380" s="1" t="s">
        <v>728</v>
      </c>
      <c r="B380" s="2" t="s">
        <v>706</v>
      </c>
      <c r="C380" s="60" t="str">
        <f t="shared" si="108"/>
        <v>A.050.04.123</v>
      </c>
      <c r="D380" s="51" t="s">
        <v>704</v>
      </c>
      <c r="E380" s="62" t="s">
        <v>729</v>
      </c>
      <c r="F380" s="63" t="str">
        <f t="shared" si="109"/>
        <v>PV cell (Mono-Si) per m2 in Rotterdam</v>
      </c>
      <c r="G380" s="64">
        <v>17.64196497458</v>
      </c>
      <c r="H380" s="10">
        <f t="shared" si="110"/>
        <v>17.64196497</v>
      </c>
      <c r="I380" s="65">
        <v>0.702002408</v>
      </c>
      <c r="J380" s="65">
        <v>2.6514952295</v>
      </c>
      <c r="K380" s="65">
        <v>5.47974453708</v>
      </c>
      <c r="L380" s="65">
        <v>8.8087228</v>
      </c>
      <c r="N380" s="66">
        <v>58.72481866666667</v>
      </c>
      <c r="O380" s="10">
        <f t="shared" si="111"/>
        <v>58.72481867</v>
      </c>
      <c r="Q380" s="67">
        <v>849.32627</v>
      </c>
      <c r="S380" s="68">
        <v>1.576059</v>
      </c>
      <c r="T380" s="68">
        <v>1.4770108</v>
      </c>
      <c r="U380" s="68">
        <v>0.053785919</v>
      </c>
      <c r="V380" s="68">
        <v>0.045262316</v>
      </c>
      <c r="X380" s="69">
        <v>0.0082595419</v>
      </c>
      <c r="Y380" s="70"/>
      <c r="Z380" s="73"/>
    </row>
    <row r="381" ht="12.75" customHeight="1">
      <c r="B381" s="2"/>
      <c r="C381" s="60"/>
      <c r="D381" s="75" t="s">
        <v>730</v>
      </c>
      <c r="E381" s="62"/>
      <c r="G381" s="10"/>
      <c r="H381" s="10"/>
      <c r="I381" s="10"/>
      <c r="J381" s="10"/>
      <c r="K381" s="10"/>
      <c r="L381" s="10"/>
      <c r="N381" s="10"/>
      <c r="O381" s="10"/>
      <c r="Q381" s="67"/>
      <c r="Y381" s="71"/>
      <c r="Z381" s="73"/>
    </row>
    <row r="382" ht="12.75" customHeight="1">
      <c r="A382" s="1" t="s">
        <v>731</v>
      </c>
      <c r="B382" s="2" t="s">
        <v>706</v>
      </c>
      <c r="C382" s="60" t="s">
        <v>732</v>
      </c>
      <c r="D382" s="75" t="s">
        <v>730</v>
      </c>
      <c r="E382" s="87" t="s">
        <v>733</v>
      </c>
      <c r="F382" s="63" t="s">
        <v>734</v>
      </c>
      <c r="G382" s="64">
        <v>0.18784360792099583</v>
      </c>
      <c r="H382" s="10">
        <f t="shared" ref="H382:H415" si="112">G382</f>
        <v>0.1878436079</v>
      </c>
      <c r="I382" s="65">
        <v>0.002950767851574</v>
      </c>
      <c r="J382" s="65">
        <v>0.006109977669879799</v>
      </c>
      <c r="K382" s="65">
        <v>0.014967392399542043</v>
      </c>
      <c r="L382" s="65">
        <v>0.16381547</v>
      </c>
      <c r="N382" s="66">
        <v>1.0921031333333333</v>
      </c>
      <c r="O382" s="10">
        <f t="shared" ref="O382:O415" si="113">N382</f>
        <v>1.092103133</v>
      </c>
      <c r="Q382" s="67">
        <v>8.8115896</v>
      </c>
      <c r="S382" s="68">
        <v>0.019029575</v>
      </c>
      <c r="T382" s="68">
        <v>0.018017507</v>
      </c>
      <c r="U382" s="68">
        <v>8.5013154E-4</v>
      </c>
      <c r="V382" s="68">
        <v>1.6193618E-4</v>
      </c>
      <c r="X382" s="69">
        <v>4.0967577E-5</v>
      </c>
      <c r="Y382" s="71"/>
      <c r="Z382" s="73"/>
    </row>
    <row r="383" ht="12.75" customHeight="1">
      <c r="A383" s="1" t="s">
        <v>735</v>
      </c>
      <c r="B383" s="2" t="s">
        <v>706</v>
      </c>
      <c r="C383" s="60" t="s">
        <v>736</v>
      </c>
      <c r="D383" s="75" t="s">
        <v>730</v>
      </c>
      <c r="E383" s="87" t="s">
        <v>733</v>
      </c>
      <c r="F383" s="63" t="s">
        <v>737</v>
      </c>
      <c r="G383" s="64">
        <v>0.18769391262099586</v>
      </c>
      <c r="H383" s="10">
        <f t="shared" si="112"/>
        <v>0.1876939126</v>
      </c>
      <c r="I383" s="65">
        <v>0.0034688481415739996</v>
      </c>
      <c r="J383" s="65">
        <v>0.007183259269879799</v>
      </c>
      <c r="K383" s="65">
        <v>0.01756194520954205</v>
      </c>
      <c r="L383" s="65">
        <v>0.15947986</v>
      </c>
      <c r="N383" s="66">
        <v>1.0631990666666666</v>
      </c>
      <c r="O383" s="10">
        <f t="shared" si="113"/>
        <v>1.063199067</v>
      </c>
      <c r="Q383" s="67">
        <v>10.359433</v>
      </c>
      <c r="S383" s="68">
        <v>0.018788236</v>
      </c>
      <c r="T383" s="68">
        <v>0.017765638</v>
      </c>
      <c r="U383" s="68">
        <v>8.3233311E-4</v>
      </c>
      <c r="V383" s="68">
        <v>1.9026486E-4</v>
      </c>
      <c r="X383" s="69">
        <v>4.200862E-5</v>
      </c>
      <c r="Y383" s="71"/>
      <c r="Z383" s="73"/>
    </row>
    <row r="384" ht="12.75" customHeight="1">
      <c r="A384" s="1" t="s">
        <v>738</v>
      </c>
      <c r="B384" s="2" t="s">
        <v>706</v>
      </c>
      <c r="C384" s="60" t="s">
        <v>739</v>
      </c>
      <c r="D384" s="75" t="s">
        <v>730</v>
      </c>
      <c r="E384" s="87" t="s">
        <v>733</v>
      </c>
      <c r="F384" s="63" t="s">
        <v>740</v>
      </c>
      <c r="G384" s="64">
        <v>0.20510226334099585</v>
      </c>
      <c r="H384" s="10">
        <f t="shared" si="112"/>
        <v>0.2051022633</v>
      </c>
      <c r="I384" s="65">
        <v>0.003497630321574</v>
      </c>
      <c r="J384" s="65">
        <v>0.0072428858698798</v>
      </c>
      <c r="K384" s="65">
        <v>0.017706087149542048</v>
      </c>
      <c r="L384" s="65">
        <v>0.17665566</v>
      </c>
      <c r="N384" s="66">
        <v>1.1777044</v>
      </c>
      <c r="O384" s="10">
        <f t="shared" si="113"/>
        <v>1.1777044</v>
      </c>
      <c r="Q384" s="67">
        <v>10.445425</v>
      </c>
      <c r="S384" s="68">
        <v>0.020660029</v>
      </c>
      <c r="T384" s="68">
        <v>0.019548934</v>
      </c>
      <c r="U384" s="68">
        <v>9.1925676E-4</v>
      </c>
      <c r="V384" s="68">
        <v>1.9183868E-4</v>
      </c>
      <c r="X384" s="69">
        <v>4.5303942E-5</v>
      </c>
      <c r="Y384" s="71"/>
      <c r="Z384" s="73"/>
    </row>
    <row r="385" ht="12.75" customHeight="1">
      <c r="A385" s="1" t="s">
        <v>741</v>
      </c>
      <c r="B385" s="2" t="s">
        <v>706</v>
      </c>
      <c r="C385" s="60" t="s">
        <v>742</v>
      </c>
      <c r="D385" s="51" t="s">
        <v>730</v>
      </c>
      <c r="E385" s="87" t="s">
        <v>733</v>
      </c>
      <c r="F385" s="63" t="s">
        <v>743</v>
      </c>
      <c r="G385" s="64">
        <v>0.24399432156099585</v>
      </c>
      <c r="H385" s="10">
        <f t="shared" si="112"/>
        <v>0.2439943216</v>
      </c>
      <c r="I385" s="65">
        <v>0.004159621761574</v>
      </c>
      <c r="J385" s="65">
        <v>0.008614301169879799</v>
      </c>
      <c r="K385" s="65">
        <v>0.02102134862954205</v>
      </c>
      <c r="L385" s="65">
        <v>0.21019905</v>
      </c>
      <c r="N385" s="66">
        <v>1.401327</v>
      </c>
      <c r="O385" s="10">
        <f t="shared" si="113"/>
        <v>1.401327</v>
      </c>
      <c r="Q385" s="67">
        <v>12.423225</v>
      </c>
      <c r="S385" s="68">
        <v>0.024582079</v>
      </c>
      <c r="T385" s="68">
        <v>0.023260251</v>
      </c>
      <c r="U385" s="68">
        <v>0.0010937915</v>
      </c>
      <c r="V385" s="68">
        <v>2.2803643E-4</v>
      </c>
      <c r="X385" s="69">
        <v>5.3899144E-5</v>
      </c>
      <c r="Y385" s="70"/>
      <c r="Z385" s="73"/>
    </row>
    <row r="386" ht="12.75" customHeight="1">
      <c r="A386" s="1" t="s">
        <v>744</v>
      </c>
      <c r="B386" s="2" t="s">
        <v>706</v>
      </c>
      <c r="C386" s="60" t="s">
        <v>745</v>
      </c>
      <c r="D386" s="51" t="s">
        <v>730</v>
      </c>
      <c r="E386" s="87" t="s">
        <v>733</v>
      </c>
      <c r="F386" s="63" t="s">
        <v>746</v>
      </c>
      <c r="G386" s="64">
        <v>0.22808597076099585</v>
      </c>
      <c r="H386" s="10">
        <f t="shared" si="112"/>
        <v>0.2280859708</v>
      </c>
      <c r="I386" s="65">
        <v>0.004130839591574</v>
      </c>
      <c r="J386" s="65">
        <v>0.008554674469879798</v>
      </c>
      <c r="K386" s="65">
        <v>0.020877206699542048</v>
      </c>
      <c r="L386" s="65">
        <v>0.19452325</v>
      </c>
      <c r="N386" s="66">
        <v>1.2968216666666668</v>
      </c>
      <c r="O386" s="10">
        <f t="shared" si="113"/>
        <v>1.296821667</v>
      </c>
      <c r="Q386" s="67">
        <v>12.337234</v>
      </c>
      <c r="S386" s="68">
        <v>0.022872647</v>
      </c>
      <c r="T386" s="68">
        <v>0.021631746</v>
      </c>
      <c r="U386" s="68">
        <v>0.0010144393</v>
      </c>
      <c r="V386" s="68">
        <v>2.2646262E-4</v>
      </c>
      <c r="X386" s="69">
        <v>5.0882649E-5</v>
      </c>
      <c r="Y386" s="70"/>
      <c r="Z386" s="73"/>
    </row>
    <row r="387" ht="12.75" customHeight="1">
      <c r="A387" s="1" t="s">
        <v>747</v>
      </c>
      <c r="B387" s="2" t="s">
        <v>706</v>
      </c>
      <c r="C387" s="60" t="s">
        <v>748</v>
      </c>
      <c r="D387" s="51" t="s">
        <v>730</v>
      </c>
      <c r="E387" s="87" t="s">
        <v>733</v>
      </c>
      <c r="F387" s="63" t="s">
        <v>749</v>
      </c>
      <c r="G387" s="64">
        <v>0.24526112901099584</v>
      </c>
      <c r="H387" s="10">
        <f t="shared" si="112"/>
        <v>0.245261129</v>
      </c>
      <c r="I387" s="65">
        <v>0.004389879741574</v>
      </c>
      <c r="J387" s="65">
        <v>0.009091315169879799</v>
      </c>
      <c r="K387" s="65">
        <v>0.02217448409954205</v>
      </c>
      <c r="L387" s="65">
        <v>0.20960545</v>
      </c>
      <c r="N387" s="66">
        <v>1.3973696666666666</v>
      </c>
      <c r="O387" s="10">
        <f t="shared" si="113"/>
        <v>1.397369667</v>
      </c>
      <c r="Q387" s="67">
        <v>13.111156</v>
      </c>
      <c r="S387" s="68">
        <v>0.024619139</v>
      </c>
      <c r="T387" s="68">
        <v>0.023285901</v>
      </c>
      <c r="U387" s="68">
        <v>0.0010926113</v>
      </c>
      <c r="V387" s="68">
        <v>2.4062696E-4</v>
      </c>
      <c r="X387" s="69">
        <v>5.4609676E-5</v>
      </c>
      <c r="Y387" s="70"/>
      <c r="Z387" s="73"/>
    </row>
    <row r="388" ht="12.75" customHeight="1">
      <c r="A388" s="1" t="s">
        <v>750</v>
      </c>
      <c r="B388" s="2" t="s">
        <v>706</v>
      </c>
      <c r="C388" s="60" t="s">
        <v>751</v>
      </c>
      <c r="D388" s="51" t="s">
        <v>730</v>
      </c>
      <c r="E388" s="87" t="s">
        <v>733</v>
      </c>
      <c r="F388" s="63" t="s">
        <v>752</v>
      </c>
      <c r="G388" s="64">
        <v>0.27661144372099583</v>
      </c>
      <c r="H388" s="10">
        <f t="shared" si="112"/>
        <v>0.2766114437</v>
      </c>
      <c r="I388" s="65">
        <v>0.004907960031574</v>
      </c>
      <c r="J388" s="65">
        <v>0.010164596769879799</v>
      </c>
      <c r="K388" s="65">
        <v>0.024769036919542048</v>
      </c>
      <c r="L388" s="65">
        <v>0.23676985</v>
      </c>
      <c r="N388" s="66">
        <v>1.5784656666666668</v>
      </c>
      <c r="O388" s="10">
        <f t="shared" si="113"/>
        <v>1.578465667</v>
      </c>
      <c r="Q388" s="67">
        <v>14.658999</v>
      </c>
      <c r="S388" s="68">
        <v>0.027787398</v>
      </c>
      <c r="T388" s="68">
        <v>0.02628463</v>
      </c>
      <c r="U388" s="68">
        <v>0.0012338124</v>
      </c>
      <c r="V388" s="68">
        <v>2.6895563E-4</v>
      </c>
      <c r="X388" s="69">
        <v>6.1506077E-5</v>
      </c>
      <c r="Y388" s="70"/>
      <c r="Z388" s="73"/>
    </row>
    <row r="389" ht="12.75" customHeight="1">
      <c r="A389" s="1" t="s">
        <v>753</v>
      </c>
      <c r="B389" s="2" t="s">
        <v>706</v>
      </c>
      <c r="C389" s="60" t="s">
        <v>754</v>
      </c>
      <c r="D389" s="51" t="s">
        <v>730</v>
      </c>
      <c r="E389" s="87" t="s">
        <v>733</v>
      </c>
      <c r="F389" s="63" t="s">
        <v>755</v>
      </c>
      <c r="G389" s="64">
        <v>0.3664373146109958</v>
      </c>
      <c r="H389" s="10">
        <f t="shared" si="112"/>
        <v>0.3664373146</v>
      </c>
      <c r="I389" s="65">
        <v>0.0063758540815739995</v>
      </c>
      <c r="J389" s="65">
        <v>0.013205560969879798</v>
      </c>
      <c r="K389" s="65">
        <v>0.032120269559542045</v>
      </c>
      <c r="L389" s="65">
        <v>0.31473563</v>
      </c>
      <c r="N389" s="66">
        <v>2.098237533333333</v>
      </c>
      <c r="O389" s="10">
        <f t="shared" si="113"/>
        <v>2.098237533</v>
      </c>
      <c r="Q389" s="67">
        <v>19.044557</v>
      </c>
      <c r="S389" s="68">
        <v>0.036872373</v>
      </c>
      <c r="T389" s="68">
        <v>0.034884223</v>
      </c>
      <c r="U389" s="68">
        <v>0.0016389298</v>
      </c>
      <c r="V389" s="68">
        <v>3.4922022E-4</v>
      </c>
      <c r="X389" s="69">
        <v>8.1231763E-5</v>
      </c>
      <c r="Y389" s="70"/>
      <c r="Z389" s="73"/>
    </row>
    <row r="390" ht="12.75" customHeight="1">
      <c r="A390" s="1" t="s">
        <v>756</v>
      </c>
      <c r="B390" s="2" t="s">
        <v>706</v>
      </c>
      <c r="C390" s="60" t="s">
        <v>757</v>
      </c>
      <c r="D390" s="51" t="s">
        <v>730</v>
      </c>
      <c r="E390" s="87" t="s">
        <v>733</v>
      </c>
      <c r="F390" s="63" t="s">
        <v>758</v>
      </c>
      <c r="G390" s="64">
        <v>0.32103710554099585</v>
      </c>
      <c r="H390" s="10">
        <f t="shared" si="112"/>
        <v>0.3210371055</v>
      </c>
      <c r="I390" s="65">
        <v>0.006030467221574</v>
      </c>
      <c r="J390" s="65">
        <v>0.012490039969879798</v>
      </c>
      <c r="K390" s="65">
        <v>0.030390568349542048</v>
      </c>
      <c r="L390" s="65">
        <v>0.27212603</v>
      </c>
      <c r="N390" s="66">
        <v>1.8141735333333335</v>
      </c>
      <c r="O390" s="10">
        <f t="shared" si="113"/>
        <v>1.814173533</v>
      </c>
      <c r="Q390" s="67">
        <v>18.012661</v>
      </c>
      <c r="S390" s="68">
        <v>0.03210829</v>
      </c>
      <c r="T390" s="68">
        <v>0.030356827</v>
      </c>
      <c r="U390" s="68">
        <v>0.0014211294</v>
      </c>
      <c r="V390" s="68">
        <v>3.3033444E-4</v>
      </c>
      <c r="X390" s="69">
        <v>7.2079996E-5</v>
      </c>
      <c r="Y390" s="70"/>
      <c r="Z390" s="73"/>
    </row>
    <row r="391" ht="12.75" customHeight="1">
      <c r="A391" s="1" t="s">
        <v>759</v>
      </c>
      <c r="B391" s="2" t="s">
        <v>706</v>
      </c>
      <c r="C391" s="60" t="s">
        <v>760</v>
      </c>
      <c r="D391" s="51" t="s">
        <v>730</v>
      </c>
      <c r="E391" s="87" t="s">
        <v>733</v>
      </c>
      <c r="F391" s="63" t="s">
        <v>761</v>
      </c>
      <c r="G391" s="64">
        <v>0.37951267203099587</v>
      </c>
      <c r="H391" s="10">
        <f t="shared" si="112"/>
        <v>0.379512672</v>
      </c>
      <c r="I391" s="65">
        <v>0.006980281081574</v>
      </c>
      <c r="J391" s="65">
        <v>0.0144577227698798</v>
      </c>
      <c r="K391" s="65">
        <v>0.03514724817954205</v>
      </c>
      <c r="L391" s="65">
        <v>0.32292742</v>
      </c>
      <c r="N391" s="66">
        <v>2.152849466666667</v>
      </c>
      <c r="O391" s="10">
        <f t="shared" si="113"/>
        <v>2.152849467</v>
      </c>
      <c r="Q391" s="67">
        <v>20.850375</v>
      </c>
      <c r="S391" s="68">
        <v>0.038025006</v>
      </c>
      <c r="T391" s="68">
        <v>0.03595769</v>
      </c>
      <c r="U391" s="68">
        <v>0.0016850458</v>
      </c>
      <c r="V391" s="68">
        <v>3.8227035E-4</v>
      </c>
      <c r="X391" s="69">
        <v>8.4909281E-5</v>
      </c>
      <c r="Y391" s="70"/>
      <c r="Z391" s="73"/>
    </row>
    <row r="392" ht="12.75" customHeight="1">
      <c r="A392" s="1" t="s">
        <v>762</v>
      </c>
      <c r="B392" s="2" t="s">
        <v>706</v>
      </c>
      <c r="C392" s="60" t="s">
        <v>763</v>
      </c>
      <c r="D392" s="51" t="s">
        <v>730</v>
      </c>
      <c r="E392" s="87" t="s">
        <v>733</v>
      </c>
      <c r="F392" s="63" t="s">
        <v>764</v>
      </c>
      <c r="G392" s="64">
        <v>0.4197132912409959</v>
      </c>
      <c r="H392" s="10">
        <f t="shared" si="112"/>
        <v>0.4197132912</v>
      </c>
      <c r="I392" s="65">
        <v>0.008016441651574</v>
      </c>
      <c r="J392" s="65">
        <v>0.0166042857698798</v>
      </c>
      <c r="K392" s="65">
        <v>0.040336353819542044</v>
      </c>
      <c r="L392" s="65">
        <v>0.35475621</v>
      </c>
      <c r="N392" s="66">
        <v>2.3650414000000004</v>
      </c>
      <c r="O392" s="10">
        <f t="shared" si="113"/>
        <v>2.3650414</v>
      </c>
      <c r="Q392" s="67">
        <v>23.946062</v>
      </c>
      <c r="S392" s="68">
        <v>0.041926097</v>
      </c>
      <c r="T392" s="68">
        <v>0.039633293</v>
      </c>
      <c r="U392" s="68">
        <v>0.0018538769</v>
      </c>
      <c r="V392" s="68">
        <v>4.389277E-4</v>
      </c>
      <c r="X392" s="69">
        <v>9.4519685E-5</v>
      </c>
      <c r="Y392" s="70"/>
      <c r="Z392" s="73"/>
    </row>
    <row r="393" ht="12.75" customHeight="1">
      <c r="A393" s="1" t="s">
        <v>765</v>
      </c>
      <c r="B393" s="2" t="s">
        <v>706</v>
      </c>
      <c r="C393" s="60" t="s">
        <v>766</v>
      </c>
      <c r="D393" s="51" t="s">
        <v>730</v>
      </c>
      <c r="E393" s="87" t="s">
        <v>733</v>
      </c>
      <c r="F393" s="63" t="s">
        <v>767</v>
      </c>
      <c r="G393" s="64">
        <v>0.45273061354099586</v>
      </c>
      <c r="H393" s="10">
        <f t="shared" si="112"/>
        <v>0.4527306135</v>
      </c>
      <c r="I393" s="65">
        <v>0.009110166651574</v>
      </c>
      <c r="J393" s="65">
        <v>0.0188701025698798</v>
      </c>
      <c r="K393" s="65">
        <v>0.04581374431954205</v>
      </c>
      <c r="L393" s="65">
        <v>0.3789366</v>
      </c>
      <c r="N393" s="66">
        <v>2.526244</v>
      </c>
      <c r="O393" s="10">
        <f t="shared" si="113"/>
        <v>2.526244</v>
      </c>
      <c r="Q393" s="67">
        <v>27.213732</v>
      </c>
      <c r="S393" s="68">
        <v>0.045024644</v>
      </c>
      <c r="T393" s="68">
        <v>0.042541355</v>
      </c>
      <c r="U393" s="68">
        <v>0.0019845559</v>
      </c>
      <c r="V393" s="68">
        <v>4.9873269E-4</v>
      </c>
      <c r="X393" s="69">
        <v>1.0291359E-4</v>
      </c>
      <c r="Y393" s="70"/>
      <c r="Z393" s="73"/>
    </row>
    <row r="394" ht="12.75" customHeight="1">
      <c r="A394" s="1" t="s">
        <v>768</v>
      </c>
      <c r="B394" s="2" t="s">
        <v>706</v>
      </c>
      <c r="C394" s="60" t="s">
        <v>769</v>
      </c>
      <c r="D394" s="51" t="s">
        <v>730</v>
      </c>
      <c r="E394" s="87" t="s">
        <v>733</v>
      </c>
      <c r="F394" s="63" t="s">
        <v>770</v>
      </c>
      <c r="G394" s="64">
        <v>0.4624057701409958</v>
      </c>
      <c r="H394" s="10">
        <f t="shared" si="112"/>
        <v>0.4624057701</v>
      </c>
      <c r="I394" s="65">
        <v>0.009369206851574</v>
      </c>
      <c r="J394" s="65">
        <v>0.0194067425698798</v>
      </c>
      <c r="K394" s="65">
        <v>0.04711102071954204</v>
      </c>
      <c r="L394" s="65">
        <v>0.3865188</v>
      </c>
      <c r="N394" s="66">
        <v>2.576792</v>
      </c>
      <c r="O394" s="10">
        <f t="shared" si="113"/>
        <v>2.576792</v>
      </c>
      <c r="Q394" s="67">
        <v>27.987654</v>
      </c>
      <c r="S394" s="68">
        <v>0.045959326</v>
      </c>
      <c r="T394" s="68">
        <v>0.043421558</v>
      </c>
      <c r="U394" s="68">
        <v>0.0020248709</v>
      </c>
      <c r="V394" s="68">
        <v>5.1289703E-4</v>
      </c>
      <c r="X394" s="69">
        <v>1.0524648E-4</v>
      </c>
      <c r="Y394" s="70"/>
      <c r="Z394" s="73"/>
    </row>
    <row r="395" ht="12.75" customHeight="1">
      <c r="A395" s="1" t="s">
        <v>771</v>
      </c>
      <c r="B395" s="2" t="s">
        <v>706</v>
      </c>
      <c r="C395" s="60" t="s">
        <v>772</v>
      </c>
      <c r="D395" s="51" t="s">
        <v>730</v>
      </c>
      <c r="E395" s="87" t="s">
        <v>733</v>
      </c>
      <c r="F395" s="63" t="s">
        <v>773</v>
      </c>
      <c r="G395" s="64">
        <v>0.24036092895099587</v>
      </c>
      <c r="H395" s="10">
        <f t="shared" si="112"/>
        <v>0.240360929</v>
      </c>
      <c r="I395" s="65">
        <v>0.004044492881574</v>
      </c>
      <c r="J395" s="65">
        <v>0.008375794169879798</v>
      </c>
      <c r="K395" s="65">
        <v>0.02044478189954205</v>
      </c>
      <c r="L395" s="65">
        <v>0.20749586</v>
      </c>
      <c r="N395" s="66">
        <v>1.3833057333333334</v>
      </c>
      <c r="O395" s="10">
        <f t="shared" si="113"/>
        <v>1.383305733</v>
      </c>
      <c r="Q395" s="67">
        <v>12.07926</v>
      </c>
      <c r="S395" s="68">
        <v>0.024238825</v>
      </c>
      <c r="T395" s="68">
        <v>0.022937845</v>
      </c>
      <c r="U395" s="68">
        <v>0.0010792389</v>
      </c>
      <c r="V395" s="68">
        <v>2.2174117E-4</v>
      </c>
      <c r="X395" s="69">
        <v>5.2986225E-5</v>
      </c>
      <c r="Y395" s="70"/>
      <c r="Z395" s="73"/>
    </row>
    <row r="396" ht="12.75" customHeight="1">
      <c r="A396" s="1" t="s">
        <v>774</v>
      </c>
      <c r="B396" s="2" t="s">
        <v>706</v>
      </c>
      <c r="C396" s="60" t="s">
        <v>775</v>
      </c>
      <c r="D396" s="51" t="s">
        <v>730</v>
      </c>
      <c r="E396" s="87" t="s">
        <v>733</v>
      </c>
      <c r="F396" s="63" t="s">
        <v>776</v>
      </c>
      <c r="G396" s="64">
        <v>0.28679474170099584</v>
      </c>
      <c r="H396" s="10">
        <f t="shared" si="112"/>
        <v>0.2867947417</v>
      </c>
      <c r="I396" s="65">
        <v>0.004850395481574</v>
      </c>
      <c r="J396" s="65">
        <v>0.0100453431698798</v>
      </c>
      <c r="K396" s="65">
        <v>0.02448075304954205</v>
      </c>
      <c r="L396" s="65">
        <v>0.24741825</v>
      </c>
      <c r="N396" s="66">
        <v>1.6494550000000001</v>
      </c>
      <c r="O396" s="10">
        <f t="shared" si="113"/>
        <v>1.649455</v>
      </c>
      <c r="Q396" s="67">
        <v>14.487017</v>
      </c>
      <c r="S396" s="68">
        <v>0.028914665</v>
      </c>
      <c r="T396" s="68">
        <v>0.02736175</v>
      </c>
      <c r="U396" s="68">
        <v>0.0012871073</v>
      </c>
      <c r="V396" s="68">
        <v>2.65808E-4</v>
      </c>
      <c r="X396" s="69">
        <v>6.3280229E-5</v>
      </c>
      <c r="Y396" s="70"/>
      <c r="Z396" s="73"/>
    </row>
    <row r="397" ht="12.75" customHeight="1">
      <c r="A397" s="1" t="s">
        <v>777</v>
      </c>
      <c r="B397" s="2" t="s">
        <v>706</v>
      </c>
      <c r="C397" s="60" t="s">
        <v>778</v>
      </c>
      <c r="D397" s="51" t="s">
        <v>730</v>
      </c>
      <c r="E397" s="87" t="s">
        <v>733</v>
      </c>
      <c r="F397" s="63" t="s">
        <v>779</v>
      </c>
      <c r="G397" s="64">
        <v>0.27420309271099585</v>
      </c>
      <c r="H397" s="10">
        <f t="shared" si="112"/>
        <v>0.2742030927</v>
      </c>
      <c r="I397" s="65">
        <v>0.004879177751574</v>
      </c>
      <c r="J397" s="65">
        <v>0.010104969969879798</v>
      </c>
      <c r="K397" s="65">
        <v>0.024624894989542047</v>
      </c>
      <c r="L397" s="65">
        <v>0.23459405</v>
      </c>
      <c r="N397" s="66">
        <v>1.5639603333333334</v>
      </c>
      <c r="O397" s="10">
        <f t="shared" si="113"/>
        <v>1.563960333</v>
      </c>
      <c r="Q397" s="67">
        <v>14.573008</v>
      </c>
      <c r="S397" s="68">
        <v>0.027539222</v>
      </c>
      <c r="T397" s="68">
        <v>0.026049238</v>
      </c>
      <c r="U397" s="68">
        <v>0.0012226028</v>
      </c>
      <c r="V397" s="68">
        <v>2.6738182E-4</v>
      </c>
      <c r="X397" s="69">
        <v>6.099902E-5</v>
      </c>
      <c r="Y397" s="70"/>
      <c r="Z397" s="73"/>
    </row>
    <row r="398" ht="12.75" customHeight="1">
      <c r="A398" s="1" t="s">
        <v>780</v>
      </c>
      <c r="B398" s="2" t="s">
        <v>706</v>
      </c>
      <c r="C398" s="60" t="s">
        <v>781</v>
      </c>
      <c r="D398" s="51" t="s">
        <v>730</v>
      </c>
      <c r="E398" s="87" t="s">
        <v>733</v>
      </c>
      <c r="F398" s="63" t="s">
        <v>782</v>
      </c>
      <c r="G398" s="64">
        <v>0.29196988906099586</v>
      </c>
      <c r="H398" s="10">
        <f t="shared" si="112"/>
        <v>0.2919698891</v>
      </c>
      <c r="I398" s="65">
        <v>0.0051094356315739995</v>
      </c>
      <c r="J398" s="65">
        <v>0.0105819839698798</v>
      </c>
      <c r="K398" s="65">
        <v>0.025778029459542048</v>
      </c>
      <c r="L398" s="65">
        <v>0.25050044</v>
      </c>
      <c r="N398" s="66">
        <v>1.6700029333333333</v>
      </c>
      <c r="O398" s="10">
        <f t="shared" si="113"/>
        <v>1.670002933</v>
      </c>
      <c r="Q398" s="67">
        <v>15.260939</v>
      </c>
      <c r="S398" s="68">
        <v>0.029362262</v>
      </c>
      <c r="T398" s="68">
        <v>0.027777582</v>
      </c>
      <c r="U398" s="68">
        <v>0.001304708</v>
      </c>
      <c r="V398" s="68">
        <v>2.7997234E-4</v>
      </c>
      <c r="X398" s="69">
        <v>6.4776644E-5</v>
      </c>
      <c r="Y398" s="70"/>
      <c r="Z398" s="73"/>
    </row>
    <row r="399" ht="12.75" customHeight="1">
      <c r="A399" s="1" t="s">
        <v>783</v>
      </c>
      <c r="B399" s="2" t="s">
        <v>706</v>
      </c>
      <c r="C399" s="60" t="s">
        <v>784</v>
      </c>
      <c r="D399" s="51" t="s">
        <v>730</v>
      </c>
      <c r="E399" s="87" t="s">
        <v>733</v>
      </c>
      <c r="F399" s="63" t="s">
        <v>785</v>
      </c>
      <c r="G399" s="64">
        <v>0.32182020366099584</v>
      </c>
      <c r="H399" s="10">
        <f t="shared" si="112"/>
        <v>0.3218202037</v>
      </c>
      <c r="I399" s="65">
        <v>0.005627515921574</v>
      </c>
      <c r="J399" s="65">
        <v>0.011655265469879798</v>
      </c>
      <c r="K399" s="65">
        <v>0.02837258226954205</v>
      </c>
      <c r="L399" s="65">
        <v>0.27616484</v>
      </c>
      <c r="N399" s="66">
        <v>1.8410989333333336</v>
      </c>
      <c r="O399" s="10">
        <f t="shared" si="113"/>
        <v>1.841098933</v>
      </c>
      <c r="Q399" s="67">
        <v>16.808782</v>
      </c>
      <c r="S399" s="68">
        <v>0.032368159</v>
      </c>
      <c r="T399" s="68">
        <v>0.030621521</v>
      </c>
      <c r="U399" s="68">
        <v>0.0014383377</v>
      </c>
      <c r="V399" s="68">
        <v>3.0830102E-4</v>
      </c>
      <c r="X399" s="69">
        <v>7.1394218E-5</v>
      </c>
      <c r="Y399" s="70"/>
      <c r="Z399" s="73"/>
    </row>
    <row r="400" ht="12.75" customHeight="1">
      <c r="A400" s="1" t="s">
        <v>786</v>
      </c>
      <c r="B400" s="2" t="s">
        <v>706</v>
      </c>
      <c r="C400" s="60" t="s">
        <v>787</v>
      </c>
      <c r="D400" s="51" t="s">
        <v>730</v>
      </c>
      <c r="E400" s="87" t="s">
        <v>733</v>
      </c>
      <c r="F400" s="63" t="s">
        <v>788</v>
      </c>
      <c r="G400" s="64">
        <v>0.4116460757509959</v>
      </c>
      <c r="H400" s="10">
        <f t="shared" si="112"/>
        <v>0.4116460758</v>
      </c>
      <c r="I400" s="65">
        <v>0.007095410071574</v>
      </c>
      <c r="J400" s="65">
        <v>0.014696229769879799</v>
      </c>
      <c r="K400" s="65">
        <v>0.035723815909542045</v>
      </c>
      <c r="L400" s="65">
        <v>0.35413062</v>
      </c>
      <c r="N400" s="66">
        <v>2.3608708000000003</v>
      </c>
      <c r="O400" s="10">
        <f t="shared" si="113"/>
        <v>2.3608708</v>
      </c>
      <c r="Q400" s="67">
        <v>21.19434</v>
      </c>
      <c r="S400" s="68">
        <v>0.041453134</v>
      </c>
      <c r="T400" s="68">
        <v>0.039221113</v>
      </c>
      <c r="U400" s="68">
        <v>0.0018434552</v>
      </c>
      <c r="V400" s="68">
        <v>3.8856561E-4</v>
      </c>
      <c r="X400" s="69">
        <v>9.1119904E-5</v>
      </c>
      <c r="Y400" s="70"/>
      <c r="Z400" s="73"/>
    </row>
    <row r="401" ht="12.75" customHeight="1">
      <c r="A401" s="1" t="s">
        <v>789</v>
      </c>
      <c r="B401" s="2" t="s">
        <v>706</v>
      </c>
      <c r="C401" s="60" t="s">
        <v>790</v>
      </c>
      <c r="D401" s="51" t="s">
        <v>730</v>
      </c>
      <c r="E401" s="87" t="s">
        <v>733</v>
      </c>
      <c r="F401" s="63" t="s">
        <v>791</v>
      </c>
      <c r="G401" s="64">
        <v>0.3662458756809958</v>
      </c>
      <c r="H401" s="10">
        <f t="shared" si="112"/>
        <v>0.3662458757</v>
      </c>
      <c r="I401" s="65">
        <v>0.0067500232115740005</v>
      </c>
      <c r="J401" s="65">
        <v>0.013980708769879798</v>
      </c>
      <c r="K401" s="65">
        <v>0.03399411369954204</v>
      </c>
      <c r="L401" s="65">
        <v>0.31152103</v>
      </c>
      <c r="N401" s="66">
        <v>2.076806866666667</v>
      </c>
      <c r="O401" s="10">
        <f t="shared" si="113"/>
        <v>2.076806867</v>
      </c>
      <c r="Q401" s="67">
        <v>20.162444</v>
      </c>
      <c r="S401" s="68">
        <v>0.036689052</v>
      </c>
      <c r="T401" s="68">
        <v>0.034693717</v>
      </c>
      <c r="U401" s="68">
        <v>0.0016256548</v>
      </c>
      <c r="V401" s="68">
        <v>3.6967982E-4</v>
      </c>
      <c r="X401" s="69">
        <v>8.1968137E-5</v>
      </c>
      <c r="Y401" s="70"/>
      <c r="Z401" s="73"/>
    </row>
    <row r="402" ht="12.75" customHeight="1">
      <c r="A402" s="1" t="s">
        <v>792</v>
      </c>
      <c r="B402" s="2" t="s">
        <v>706</v>
      </c>
      <c r="C402" s="60" t="s">
        <v>793</v>
      </c>
      <c r="D402" s="51" t="s">
        <v>730</v>
      </c>
      <c r="E402" s="87" t="s">
        <v>733</v>
      </c>
      <c r="F402" s="63" t="s">
        <v>794</v>
      </c>
      <c r="G402" s="64">
        <v>0.4262214330409958</v>
      </c>
      <c r="H402" s="10">
        <f t="shared" si="112"/>
        <v>0.426221433</v>
      </c>
      <c r="I402" s="65">
        <v>0.0076998370515740005</v>
      </c>
      <c r="J402" s="65">
        <v>0.0159483914698798</v>
      </c>
      <c r="K402" s="65">
        <v>0.038750794519542046</v>
      </c>
      <c r="L402" s="65">
        <v>0.36382241</v>
      </c>
      <c r="N402" s="66">
        <v>2.4254827333333333</v>
      </c>
      <c r="O402" s="10">
        <f t="shared" si="113"/>
        <v>2.425482733</v>
      </c>
      <c r="Q402" s="67">
        <v>23.000158</v>
      </c>
      <c r="S402" s="68">
        <v>0.04276813</v>
      </c>
      <c r="T402" s="68">
        <v>0.040449372</v>
      </c>
      <c r="U402" s="68">
        <v>0.0018971425</v>
      </c>
      <c r="V402" s="68">
        <v>4.2161573E-4</v>
      </c>
      <c r="X402" s="69">
        <v>9.5076249E-5</v>
      </c>
      <c r="Y402" s="70"/>
      <c r="Z402" s="48"/>
    </row>
    <row r="403" ht="12.75" customHeight="1">
      <c r="A403" s="1" t="s">
        <v>795</v>
      </c>
      <c r="B403" s="2" t="s">
        <v>706</v>
      </c>
      <c r="C403" s="60" t="s">
        <v>796</v>
      </c>
      <c r="D403" s="51" t="s">
        <v>730</v>
      </c>
      <c r="E403" s="87" t="s">
        <v>733</v>
      </c>
      <c r="F403" s="63" t="s">
        <v>797</v>
      </c>
      <c r="G403" s="64">
        <v>0.4664220522409958</v>
      </c>
      <c r="H403" s="10">
        <f t="shared" si="112"/>
        <v>0.4664220522</v>
      </c>
      <c r="I403" s="65">
        <v>0.008735997651574</v>
      </c>
      <c r="J403" s="65">
        <v>0.0180949544698798</v>
      </c>
      <c r="K403" s="65">
        <v>0.04393990011954204</v>
      </c>
      <c r="L403" s="65">
        <v>0.3956512</v>
      </c>
      <c r="N403" s="66">
        <v>2.637674666666667</v>
      </c>
      <c r="O403" s="10">
        <f t="shared" si="113"/>
        <v>2.637674667</v>
      </c>
      <c r="Q403" s="67">
        <v>26.095845</v>
      </c>
      <c r="S403" s="68">
        <v>0.046669221</v>
      </c>
      <c r="T403" s="68">
        <v>0.044124974</v>
      </c>
      <c r="U403" s="68">
        <v>0.0020659736</v>
      </c>
      <c r="V403" s="68">
        <v>4.7827309E-4</v>
      </c>
      <c r="X403" s="69">
        <v>1.0468665E-4</v>
      </c>
      <c r="Y403" s="70"/>
      <c r="Z403" s="48"/>
    </row>
    <row r="404" ht="12.75" customHeight="1">
      <c r="A404" s="1" t="s">
        <v>798</v>
      </c>
      <c r="B404" s="2" t="s">
        <v>706</v>
      </c>
      <c r="C404" s="60" t="s">
        <v>799</v>
      </c>
      <c r="D404" s="51" t="s">
        <v>730</v>
      </c>
      <c r="E404" s="87" t="s">
        <v>733</v>
      </c>
      <c r="F404" s="63" t="s">
        <v>800</v>
      </c>
      <c r="G404" s="64">
        <v>0.4955310223409959</v>
      </c>
      <c r="H404" s="10">
        <f t="shared" si="112"/>
        <v>0.4955310223</v>
      </c>
      <c r="I404" s="65">
        <v>0.009800940451574</v>
      </c>
      <c r="J404" s="65">
        <v>0.0203011441698798</v>
      </c>
      <c r="K404" s="65">
        <v>0.04927314771954205</v>
      </c>
      <c r="L404" s="65">
        <v>0.41615579</v>
      </c>
      <c r="N404" s="66">
        <v>2.7743719333333337</v>
      </c>
      <c r="O404" s="10">
        <f t="shared" si="113"/>
        <v>2.774371933</v>
      </c>
      <c r="Q404" s="67">
        <v>29.277524</v>
      </c>
      <c r="S404" s="68">
        <v>0.04935723</v>
      </c>
      <c r="T404" s="68">
        <v>0.046642854</v>
      </c>
      <c r="U404" s="68">
        <v>0.0021778717</v>
      </c>
      <c r="V404" s="68">
        <v>5.3650426E-4</v>
      </c>
      <c r="X404" s="69">
        <v>1.1229467E-4</v>
      </c>
      <c r="Y404" s="70"/>
      <c r="Z404" s="48"/>
    </row>
    <row r="405" ht="12.75" customHeight="1">
      <c r="A405" s="1" t="s">
        <v>801</v>
      </c>
      <c r="B405" s="2" t="s">
        <v>706</v>
      </c>
      <c r="C405" s="60" t="s">
        <v>802</v>
      </c>
      <c r="D405" s="51" t="s">
        <v>730</v>
      </c>
      <c r="E405" s="87" t="s">
        <v>733</v>
      </c>
      <c r="F405" s="63" t="s">
        <v>803</v>
      </c>
      <c r="G405" s="64">
        <v>0.5091145308409959</v>
      </c>
      <c r="H405" s="10">
        <f t="shared" si="112"/>
        <v>0.5091145308</v>
      </c>
      <c r="I405" s="65">
        <v>0.010088762851574</v>
      </c>
      <c r="J405" s="65">
        <v>0.020897411969879803</v>
      </c>
      <c r="K405" s="65">
        <v>0.050714566019542044</v>
      </c>
      <c r="L405" s="65">
        <v>0.42741379</v>
      </c>
      <c r="N405" s="66">
        <v>2.849425266666667</v>
      </c>
      <c r="O405" s="10">
        <f t="shared" si="113"/>
        <v>2.849425267</v>
      </c>
      <c r="Q405" s="67">
        <v>30.137437</v>
      </c>
      <c r="S405" s="68">
        <v>0.05070245</v>
      </c>
      <c r="T405" s="68">
        <v>0.047913239</v>
      </c>
      <c r="U405" s="68">
        <v>0.0022369676</v>
      </c>
      <c r="V405" s="68">
        <v>5.5224242E-4</v>
      </c>
      <c r="X405" s="69">
        <v>1.1541345E-4</v>
      </c>
      <c r="Y405" s="70"/>
      <c r="Z405" s="48"/>
    </row>
    <row r="406" ht="12.75" customHeight="1">
      <c r="A406" s="1" t="s">
        <v>804</v>
      </c>
      <c r="B406" s="2" t="s">
        <v>706</v>
      </c>
      <c r="C406" s="60" t="s">
        <v>805</v>
      </c>
      <c r="D406" s="51" t="s">
        <v>730</v>
      </c>
      <c r="E406" s="87" t="s">
        <v>733</v>
      </c>
      <c r="F406" s="63" t="s">
        <v>806</v>
      </c>
      <c r="G406" s="64">
        <v>0.626865346841665</v>
      </c>
      <c r="H406" s="10">
        <f t="shared" si="112"/>
        <v>0.6268653468</v>
      </c>
      <c r="I406" s="65">
        <v>0.013911522063109999</v>
      </c>
      <c r="J406" s="65">
        <v>0.028794955749038002</v>
      </c>
      <c r="K406" s="65">
        <v>0.07125164902951696</v>
      </c>
      <c r="L406" s="65">
        <v>0.51290722</v>
      </c>
      <c r="N406" s="66">
        <v>3.4193814666666666</v>
      </c>
      <c r="O406" s="10">
        <f t="shared" si="113"/>
        <v>3.419381467</v>
      </c>
      <c r="Q406" s="67">
        <v>41.527133</v>
      </c>
      <c r="S406" s="68">
        <v>0.061635944</v>
      </c>
      <c r="T406" s="68">
        <v>0.058171827</v>
      </c>
      <c r="U406" s="68">
        <v>0.0026985345</v>
      </c>
      <c r="V406" s="68">
        <v>7.6558265E-4</v>
      </c>
      <c r="X406" s="69">
        <v>1.449138E-4</v>
      </c>
      <c r="Y406" s="70"/>
      <c r="Z406" s="48"/>
    </row>
    <row r="407" ht="12.75" customHeight="1">
      <c r="A407" s="1" t="s">
        <v>807</v>
      </c>
      <c r="B407" s="2" t="s">
        <v>706</v>
      </c>
      <c r="C407" s="60" t="s">
        <v>808</v>
      </c>
      <c r="D407" s="51" t="s">
        <v>730</v>
      </c>
      <c r="E407" s="87" t="s">
        <v>733</v>
      </c>
      <c r="F407" s="63" t="s">
        <v>809</v>
      </c>
      <c r="G407" s="64">
        <v>0.6588497889531169</v>
      </c>
      <c r="H407" s="10">
        <f t="shared" si="112"/>
        <v>0.658849789</v>
      </c>
      <c r="I407" s="65">
        <v>0.01492306138856</v>
      </c>
      <c r="J407" s="65">
        <v>0.030889684074056</v>
      </c>
      <c r="K407" s="65">
        <v>0.07637020349050093</v>
      </c>
      <c r="L407" s="65">
        <v>0.53666684</v>
      </c>
      <c r="N407" s="66">
        <v>3.577778933333333</v>
      </c>
      <c r="O407" s="10">
        <f t="shared" si="113"/>
        <v>3.577778933</v>
      </c>
      <c r="Q407" s="67">
        <v>44.548072</v>
      </c>
      <c r="S407" s="68">
        <v>0.064652695</v>
      </c>
      <c r="T407" s="68">
        <v>0.061005201</v>
      </c>
      <c r="U407" s="68">
        <v>0.0028264369</v>
      </c>
      <c r="V407" s="68">
        <v>8.2105703E-4</v>
      </c>
      <c r="X407" s="69">
        <v>1.5293575E-4</v>
      </c>
      <c r="Y407" s="70"/>
      <c r="Z407" s="48"/>
    </row>
    <row r="408" ht="12.75" customHeight="1">
      <c r="A408" s="1" t="s">
        <v>810</v>
      </c>
      <c r="B408" s="2" t="s">
        <v>706</v>
      </c>
      <c r="C408" s="60" t="str">
        <f t="shared" ref="C408:C415" si="114">MID(A408,1,12)</f>
        <v>A.050.06.301</v>
      </c>
      <c r="D408" s="51" t="s">
        <v>730</v>
      </c>
      <c r="E408" s="62" t="s">
        <v>729</v>
      </c>
      <c r="F408" s="63" t="str">
        <f t="shared" ref="F408:F415" si="115">MID(A408, 21,85)</f>
        <v>PCB = Printed Circuit Board (empty)</v>
      </c>
      <c r="G408" s="64">
        <v>7.317673946657086</v>
      </c>
      <c r="H408" s="10">
        <f t="shared" si="112"/>
        <v>7.317673947</v>
      </c>
      <c r="I408" s="65">
        <v>0.33085191799999997</v>
      </c>
      <c r="J408" s="65">
        <v>1.2255114693859999</v>
      </c>
      <c r="K408" s="65">
        <v>4.116182359271086</v>
      </c>
      <c r="L408" s="65">
        <v>1.6451282</v>
      </c>
      <c r="N408" s="66">
        <v>10.967521333333334</v>
      </c>
      <c r="O408" s="10">
        <f t="shared" si="113"/>
        <v>10.96752133</v>
      </c>
      <c r="Q408" s="67">
        <v>182.42121</v>
      </c>
      <c r="S408" s="68">
        <v>0.55810957</v>
      </c>
      <c r="T408" s="68">
        <v>0.53596394</v>
      </c>
      <c r="U408" s="68">
        <v>0.013274756</v>
      </c>
      <c r="V408" s="68">
        <v>0.0088708721</v>
      </c>
      <c r="X408" s="69">
        <v>0.0050593439</v>
      </c>
      <c r="Y408" s="70"/>
      <c r="Z408" s="72"/>
    </row>
    <row r="409" ht="12.75" customHeight="1">
      <c r="A409" s="1" t="s">
        <v>811</v>
      </c>
      <c r="B409" s="2" t="s">
        <v>706</v>
      </c>
      <c r="C409" s="60" t="str">
        <f t="shared" si="114"/>
        <v>A.050.06.302</v>
      </c>
      <c r="D409" s="51" t="s">
        <v>730</v>
      </c>
      <c r="E409" s="62" t="s">
        <v>45</v>
      </c>
      <c r="F409" s="63" t="str">
        <f t="shared" si="115"/>
        <v>PCB of laptop (including componenets - excluding ICs)</v>
      </c>
      <c r="G409" s="64">
        <v>39.22647141371777</v>
      </c>
      <c r="H409" s="10">
        <f t="shared" si="112"/>
        <v>39.22647141</v>
      </c>
      <c r="I409" s="65">
        <v>1.710614762</v>
      </c>
      <c r="J409" s="65">
        <v>12.3700699838003</v>
      </c>
      <c r="K409" s="65">
        <v>20.505973767917464</v>
      </c>
      <c r="L409" s="65">
        <v>4.6398129</v>
      </c>
      <c r="N409" s="66">
        <v>30.932086</v>
      </c>
      <c r="O409" s="10">
        <f t="shared" si="113"/>
        <v>30.932086</v>
      </c>
      <c r="Q409" s="67">
        <v>150.76636</v>
      </c>
      <c r="S409" s="68">
        <v>5.5580374</v>
      </c>
      <c r="T409" s="68">
        <v>5.4592438</v>
      </c>
      <c r="U409" s="68">
        <v>0.087758325</v>
      </c>
      <c r="V409" s="68">
        <v>0.011035315</v>
      </c>
      <c r="X409" s="69">
        <v>0.038083342</v>
      </c>
      <c r="Y409" s="70"/>
      <c r="Z409" s="48"/>
    </row>
    <row r="410" ht="12.75" customHeight="1">
      <c r="A410" s="1" t="s">
        <v>812</v>
      </c>
      <c r="B410" s="2" t="s">
        <v>706</v>
      </c>
      <c r="C410" s="60" t="str">
        <f t="shared" si="114"/>
        <v>A.050.06.303</v>
      </c>
      <c r="D410" s="51" t="s">
        <v>730</v>
      </c>
      <c r="E410" s="62" t="s">
        <v>45</v>
      </c>
      <c r="F410" s="63" t="str">
        <f t="shared" si="115"/>
        <v>PCB of mobile phone (including componenets - excluding ICs)</v>
      </c>
      <c r="G410" s="64">
        <v>80.28412270508092</v>
      </c>
      <c r="H410" s="10">
        <f t="shared" si="112"/>
        <v>80.28412271</v>
      </c>
      <c r="I410" s="65">
        <v>3.7718165059999995</v>
      </c>
      <c r="J410" s="65">
        <v>26.93420140569</v>
      </c>
      <c r="K410" s="65">
        <v>39.831625993390915</v>
      </c>
      <c r="L410" s="65">
        <v>9.7464788</v>
      </c>
      <c r="N410" s="66">
        <v>64.97652533333334</v>
      </c>
      <c r="O410" s="10">
        <f t="shared" si="113"/>
        <v>64.97652533</v>
      </c>
      <c r="Q410" s="67">
        <v>239.39153</v>
      </c>
      <c r="S410" s="68">
        <v>12.026474</v>
      </c>
      <c r="T410" s="68">
        <v>11.819961</v>
      </c>
      <c r="U410" s="68">
        <v>0.18854929</v>
      </c>
      <c r="V410" s="68">
        <v>0.017963638</v>
      </c>
      <c r="X410" s="69">
        <v>0.089063216</v>
      </c>
      <c r="Y410" s="82"/>
    </row>
    <row r="411" ht="12.75" customHeight="1">
      <c r="A411" s="1" t="s">
        <v>813</v>
      </c>
      <c r="B411" s="2" t="s">
        <v>706</v>
      </c>
      <c r="C411" s="60" t="str">
        <f t="shared" si="114"/>
        <v>A.050.06.304</v>
      </c>
      <c r="D411" s="51" t="s">
        <v>730</v>
      </c>
      <c r="E411" s="62" t="s">
        <v>45</v>
      </c>
      <c r="F411" s="63" t="str">
        <f t="shared" si="115"/>
        <v>PCB of refrigerator (including componenets - excluding ICs)</v>
      </c>
      <c r="G411" s="64">
        <v>6.582546825516516</v>
      </c>
      <c r="H411" s="10">
        <f t="shared" si="112"/>
        <v>6.582546826</v>
      </c>
      <c r="I411" s="65">
        <v>0.33992240900000004</v>
      </c>
      <c r="J411" s="65">
        <v>1.2586611361636</v>
      </c>
      <c r="K411" s="65">
        <v>4.144836090352916</v>
      </c>
      <c r="L411" s="65">
        <v>0.83912719</v>
      </c>
      <c r="N411" s="66">
        <v>5.594181266666667</v>
      </c>
      <c r="O411" s="10">
        <f t="shared" si="113"/>
        <v>5.594181267</v>
      </c>
      <c r="Q411" s="67">
        <v>55.772348</v>
      </c>
      <c r="S411" s="68">
        <v>0.67459049</v>
      </c>
      <c r="T411" s="68">
        <v>0.66053374</v>
      </c>
      <c r="U411" s="68">
        <v>0.010560149</v>
      </c>
      <c r="V411" s="68">
        <v>0.0034966063</v>
      </c>
      <c r="X411" s="69">
        <v>0.0056272269</v>
      </c>
      <c r="Y411" s="82"/>
    </row>
    <row r="412" ht="12.75" customHeight="1">
      <c r="A412" s="1" t="s">
        <v>814</v>
      </c>
      <c r="B412" s="2" t="s">
        <v>706</v>
      </c>
      <c r="C412" s="60" t="str">
        <f t="shared" si="114"/>
        <v>A.050.06.305</v>
      </c>
      <c r="D412" s="51" t="s">
        <v>730</v>
      </c>
      <c r="E412" s="62" t="s">
        <v>45</v>
      </c>
      <c r="F412" s="63" t="str">
        <f t="shared" si="115"/>
        <v>PCB of washing machine (including componenets - excluding ICs)</v>
      </c>
      <c r="G412" s="64">
        <v>3.3416614086592857</v>
      </c>
      <c r="H412" s="10">
        <f t="shared" si="112"/>
        <v>3.341661409</v>
      </c>
      <c r="I412" s="65">
        <v>0.1554652258</v>
      </c>
      <c r="J412" s="65">
        <v>0.6520805896134</v>
      </c>
      <c r="K412" s="65">
        <v>1.9203039132458857</v>
      </c>
      <c r="L412" s="65">
        <v>0.61381168</v>
      </c>
      <c r="N412" s="66">
        <v>4.092077866666667</v>
      </c>
      <c r="O412" s="10">
        <f t="shared" si="113"/>
        <v>4.092077867</v>
      </c>
      <c r="Q412" s="67">
        <v>56.405521</v>
      </c>
      <c r="S412" s="68">
        <v>0.3099907</v>
      </c>
      <c r="T412" s="68">
        <v>0.30098073</v>
      </c>
      <c r="U412" s="68">
        <v>0.0060902352</v>
      </c>
      <c r="V412" s="68">
        <v>0.0029197392</v>
      </c>
      <c r="X412" s="69">
        <v>0.0026712207</v>
      </c>
      <c r="Y412" s="82"/>
    </row>
    <row r="413" ht="12.75" customHeight="1">
      <c r="A413" s="1" t="s">
        <v>815</v>
      </c>
      <c r="B413" s="2" t="s">
        <v>706</v>
      </c>
      <c r="C413" s="60" t="str">
        <f t="shared" si="114"/>
        <v>A.050.06.401</v>
      </c>
      <c r="D413" s="51" t="s">
        <v>730</v>
      </c>
      <c r="E413" s="62" t="s">
        <v>45</v>
      </c>
      <c r="F413" s="63" t="str">
        <f t="shared" si="115"/>
        <v>PCB of average laptop (including ICs)</v>
      </c>
      <c r="G413" s="64">
        <v>41.46529744681197</v>
      </c>
      <c r="H413" s="10">
        <f t="shared" si="112"/>
        <v>41.46529745</v>
      </c>
      <c r="I413" s="65">
        <v>1.752547586</v>
      </c>
      <c r="J413" s="65">
        <v>12.4569255818407</v>
      </c>
      <c r="K413" s="65">
        <v>20.716885678971266</v>
      </c>
      <c r="L413" s="65">
        <v>6.5389386</v>
      </c>
      <c r="N413" s="66">
        <v>43.592924000000004</v>
      </c>
      <c r="O413" s="10">
        <f t="shared" si="113"/>
        <v>43.592924</v>
      </c>
      <c r="Q413" s="67">
        <v>276.02642</v>
      </c>
      <c r="S413" s="68">
        <v>5.7820497</v>
      </c>
      <c r="T413" s="68">
        <v>5.6710436</v>
      </c>
      <c r="U413" s="68">
        <v>0.097674999</v>
      </c>
      <c r="V413" s="68">
        <v>0.013331026</v>
      </c>
      <c r="X413" s="69">
        <v>0.038585838</v>
      </c>
      <c r="Y413" s="82"/>
    </row>
    <row r="414" ht="12.75" customHeight="1">
      <c r="A414" s="1" t="s">
        <v>816</v>
      </c>
      <c r="B414" s="2" t="s">
        <v>706</v>
      </c>
      <c r="C414" s="60" t="str">
        <f t="shared" si="114"/>
        <v>A.050.06.501</v>
      </c>
      <c r="D414" s="51" t="s">
        <v>730</v>
      </c>
      <c r="E414" s="62" t="s">
        <v>707</v>
      </c>
      <c r="F414" s="63" t="str">
        <f t="shared" si="115"/>
        <v>One day 1.5 GB internet traffic for one user = user.day</v>
      </c>
      <c r="G414" s="64">
        <v>0.03133809219</v>
      </c>
      <c r="H414" s="10">
        <f t="shared" si="112"/>
        <v>0.03133809219</v>
      </c>
      <c r="I414" s="65">
        <v>9.929872E-4</v>
      </c>
      <c r="J414" s="65">
        <v>0.00205712286</v>
      </c>
      <c r="K414" s="65">
        <v>0.00497289313</v>
      </c>
      <c r="L414" s="65">
        <v>0.023315089</v>
      </c>
      <c r="N414" s="66">
        <v>0.15543392666666667</v>
      </c>
      <c r="O414" s="10">
        <f t="shared" si="113"/>
        <v>0.1554339267</v>
      </c>
      <c r="Q414" s="67">
        <v>2.9667006</v>
      </c>
      <c r="S414" s="68">
        <v>0.0029605617</v>
      </c>
      <c r="T414" s="68">
        <v>0.0027807482</v>
      </c>
      <c r="U414" s="68">
        <v>1.2551685E-4</v>
      </c>
      <c r="V414" s="68">
        <v>5.4296633E-5</v>
      </c>
      <c r="X414" s="69">
        <v>7.8739261E-6</v>
      </c>
      <c r="Y414" s="82"/>
    </row>
    <row r="415" ht="12.75" customHeight="1">
      <c r="A415" s="1" t="s">
        <v>817</v>
      </c>
      <c r="B415" s="2" t="s">
        <v>706</v>
      </c>
      <c r="C415" s="60" t="str">
        <f t="shared" si="114"/>
        <v>A.050.06.502</v>
      </c>
      <c r="D415" s="51" t="s">
        <v>730</v>
      </c>
      <c r="E415" s="62" t="s">
        <v>707</v>
      </c>
      <c r="F415" s="63" t="str">
        <f t="shared" si="115"/>
        <v>One year 1 GB datastorage in datacentres = GB.year</v>
      </c>
      <c r="G415" s="64">
        <v>0.635845342</v>
      </c>
      <c r="H415" s="10">
        <f t="shared" si="112"/>
        <v>0.635845342</v>
      </c>
      <c r="I415" s="65">
        <v>0.0201475661</v>
      </c>
      <c r="J415" s="65">
        <v>0.041738725000000004</v>
      </c>
      <c r="K415" s="65">
        <v>0.1008992809</v>
      </c>
      <c r="L415" s="65">
        <v>0.47305977</v>
      </c>
      <c r="N415" s="66">
        <v>3.1537318</v>
      </c>
      <c r="O415" s="10">
        <f t="shared" si="113"/>
        <v>3.1537318</v>
      </c>
      <c r="Q415" s="67">
        <v>60.193925</v>
      </c>
      <c r="S415" s="68">
        <v>0.060069367</v>
      </c>
      <c r="T415" s="68">
        <v>0.056420978</v>
      </c>
      <c r="U415" s="68">
        <v>0.0025467186</v>
      </c>
      <c r="V415" s="68">
        <v>0.0011016708</v>
      </c>
      <c r="X415" s="69">
        <v>1.5976082E-4</v>
      </c>
      <c r="Y415" s="82"/>
    </row>
    <row r="416" ht="12.75" customHeight="1">
      <c r="B416" s="2"/>
      <c r="C416" s="60"/>
      <c r="D416" s="51"/>
      <c r="E416" s="62"/>
      <c r="G416" s="10"/>
      <c r="H416" s="10"/>
      <c r="I416" s="10"/>
      <c r="J416" s="10"/>
      <c r="K416" s="10"/>
      <c r="L416" s="10"/>
      <c r="N416" s="10"/>
      <c r="O416" s="10"/>
      <c r="Q416" s="67"/>
    </row>
    <row r="417" ht="12.75" customHeight="1">
      <c r="B417" s="2"/>
      <c r="C417" s="60"/>
      <c r="D417" s="75" t="s">
        <v>818</v>
      </c>
      <c r="E417" s="62"/>
      <c r="G417" s="10"/>
      <c r="H417" s="10"/>
      <c r="I417" s="10"/>
      <c r="J417" s="10"/>
      <c r="K417" s="10"/>
      <c r="L417" s="10"/>
      <c r="N417" s="10"/>
      <c r="O417" s="10"/>
      <c r="Q417" s="67"/>
    </row>
    <row r="418" ht="12.75" customHeight="1">
      <c r="A418" s="1" t="s">
        <v>819</v>
      </c>
      <c r="B418" s="2" t="s">
        <v>820</v>
      </c>
      <c r="C418" s="60" t="str">
        <f t="shared" ref="C418:C421" si="116">MID(A418,1,12)</f>
        <v>A.060.01.101</v>
      </c>
      <c r="D418" s="51" t="s">
        <v>818</v>
      </c>
      <c r="E418" s="62" t="s">
        <v>45</v>
      </c>
      <c r="F418" s="63" t="str">
        <f t="shared" ref="F418:F421" si="117">MID(A418, 21,85)</f>
        <v>Aramid st gr</v>
      </c>
      <c r="G418" s="64">
        <v>15.927019941491</v>
      </c>
      <c r="H418" s="10">
        <f t="shared" ref="H418:H421" si="118">G418</f>
        <v>15.92701994</v>
      </c>
      <c r="I418" s="65">
        <v>0.29716050439999997</v>
      </c>
      <c r="J418" s="65">
        <v>1.213553315291</v>
      </c>
      <c r="K418" s="65">
        <v>12.0682401218</v>
      </c>
      <c r="L418" s="65">
        <v>2.348066</v>
      </c>
      <c r="N418" s="66">
        <v>15.653773333333335</v>
      </c>
      <c r="O418" s="10">
        <f t="shared" ref="O418:O421" si="119">N418</f>
        <v>15.65377333</v>
      </c>
      <c r="Q418" s="67">
        <v>1732.4853</v>
      </c>
      <c r="S418" s="68">
        <v>0.41278885</v>
      </c>
      <c r="T418" s="68">
        <v>0.38055583</v>
      </c>
      <c r="U418" s="68">
        <v>0.015661698</v>
      </c>
      <c r="V418" s="68">
        <v>0.016571329</v>
      </c>
      <c r="X418" s="69">
        <v>0.002891589</v>
      </c>
      <c r="Y418" s="70"/>
      <c r="Z418" s="72"/>
    </row>
    <row r="419" ht="12.75" customHeight="1">
      <c r="A419" s="1" t="s">
        <v>821</v>
      </c>
      <c r="B419" s="2" t="s">
        <v>820</v>
      </c>
      <c r="C419" s="60" t="str">
        <f t="shared" si="116"/>
        <v>A.060.01.102</v>
      </c>
      <c r="D419" s="51" t="s">
        <v>818</v>
      </c>
      <c r="E419" s="62" t="s">
        <v>45</v>
      </c>
      <c r="F419" s="63" t="str">
        <f t="shared" si="117"/>
        <v>Carbon fibre</v>
      </c>
      <c r="G419" s="64">
        <v>17.35585861154</v>
      </c>
      <c r="H419" s="10">
        <f t="shared" si="118"/>
        <v>17.35585861</v>
      </c>
      <c r="I419" s="65">
        <v>1.0518221037</v>
      </c>
      <c r="J419" s="65">
        <v>3.38926787184</v>
      </c>
      <c r="K419" s="65">
        <v>0.074644636</v>
      </c>
      <c r="L419" s="65">
        <v>12.840124</v>
      </c>
      <c r="N419" s="66">
        <v>85.60082666666666</v>
      </c>
      <c r="O419" s="10">
        <f t="shared" si="119"/>
        <v>85.60082667</v>
      </c>
      <c r="Q419" s="67">
        <v>1129.4168</v>
      </c>
      <c r="S419" s="68">
        <v>2.2710528</v>
      </c>
      <c r="T419" s="68">
        <v>2.1113714</v>
      </c>
      <c r="U419" s="68">
        <v>0.079868915</v>
      </c>
      <c r="V419" s="68">
        <v>0.079812473</v>
      </c>
      <c r="X419" s="69">
        <v>0.0048181099</v>
      </c>
      <c r="Y419" s="70"/>
      <c r="Z419" s="48"/>
    </row>
    <row r="420" ht="12.75" customHeight="1">
      <c r="A420" s="1" t="s">
        <v>822</v>
      </c>
      <c r="B420" s="2" t="s">
        <v>820</v>
      </c>
      <c r="C420" s="60" t="str">
        <f t="shared" si="116"/>
        <v>A.060.01.103</v>
      </c>
      <c r="D420" s="51" t="s">
        <v>818</v>
      </c>
      <c r="E420" s="62" t="s">
        <v>45</v>
      </c>
      <c r="F420" s="63" t="str">
        <f t="shared" si="117"/>
        <v>glassfibre - dry and chopped - for reinforcing plastics</v>
      </c>
      <c r="G420" s="64">
        <v>0.37804976630681997</v>
      </c>
      <c r="H420" s="10">
        <f t="shared" si="118"/>
        <v>0.3780497663</v>
      </c>
      <c r="I420" s="65">
        <v>0.03856013304282</v>
      </c>
      <c r="J420" s="65">
        <v>0.10398963326399999</v>
      </c>
      <c r="K420" s="65">
        <v>0.0</v>
      </c>
      <c r="L420" s="65">
        <v>0.2355</v>
      </c>
      <c r="N420" s="66">
        <v>1.57</v>
      </c>
      <c r="O420" s="10">
        <f t="shared" si="119"/>
        <v>1.57</v>
      </c>
      <c r="Q420" s="67">
        <v>33.189</v>
      </c>
      <c r="S420" s="68">
        <v>0.034807057</v>
      </c>
      <c r="T420" s="68">
        <v>0.031318702</v>
      </c>
      <c r="U420" s="68">
        <v>0.0016224879</v>
      </c>
      <c r="V420" s="68">
        <v>0.0018658676</v>
      </c>
      <c r="X420" s="69">
        <v>1.1403421E-4</v>
      </c>
      <c r="Y420" s="70"/>
      <c r="Z420" s="48"/>
    </row>
    <row r="421" ht="12.75" customHeight="1">
      <c r="A421" s="1" t="s">
        <v>823</v>
      </c>
      <c r="B421" s="2" t="s">
        <v>820</v>
      </c>
      <c r="C421" s="60" t="str">
        <f t="shared" si="116"/>
        <v>A.060.01.104</v>
      </c>
      <c r="D421" s="51" t="s">
        <v>818</v>
      </c>
      <c r="E421" s="62" t="s">
        <v>45</v>
      </c>
      <c r="F421" s="63" t="str">
        <f t="shared" si="117"/>
        <v>glassfibre - assembled roving - for reinforcing thermosets</v>
      </c>
      <c r="G421" s="64">
        <v>0.47094523077670003</v>
      </c>
      <c r="H421" s="10">
        <f t="shared" si="118"/>
        <v>0.4709452308</v>
      </c>
      <c r="I421" s="65">
        <v>0.0417442469083</v>
      </c>
      <c r="J421" s="65">
        <v>0.1262009838684</v>
      </c>
      <c r="K421" s="65">
        <v>0.0</v>
      </c>
      <c r="L421" s="65">
        <v>0.303</v>
      </c>
      <c r="N421" s="66">
        <v>2.02</v>
      </c>
      <c r="O421" s="10">
        <f t="shared" si="119"/>
        <v>2.02</v>
      </c>
      <c r="Q421" s="67">
        <v>37.518</v>
      </c>
      <c r="S421" s="68">
        <v>0.042932875</v>
      </c>
      <c r="T421" s="68">
        <v>0.038752044</v>
      </c>
      <c r="U421" s="68">
        <v>0.0020715897</v>
      </c>
      <c r="V421" s="68">
        <v>0.0021092417</v>
      </c>
      <c r="X421" s="69">
        <v>1.4133836E-4</v>
      </c>
      <c r="Y421" s="70"/>
      <c r="Z421" s="48"/>
    </row>
    <row r="422" ht="12.75" customHeight="1">
      <c r="B422" s="2"/>
      <c r="C422" s="60"/>
      <c r="D422" s="51"/>
      <c r="E422" s="62"/>
      <c r="G422" s="10"/>
      <c r="H422" s="10"/>
      <c r="I422" s="10"/>
      <c r="J422" s="10"/>
      <c r="K422" s="10"/>
      <c r="L422" s="10"/>
      <c r="N422" s="10"/>
      <c r="O422" s="10"/>
      <c r="Q422" s="67"/>
      <c r="Y422" s="71"/>
      <c r="Z422" s="48"/>
    </row>
    <row r="423" ht="12.75" customHeight="1">
      <c r="B423" s="2"/>
      <c r="C423" s="60"/>
      <c r="D423" s="75" t="s">
        <v>824</v>
      </c>
      <c r="E423" s="62"/>
      <c r="G423" s="10"/>
      <c r="H423" s="10"/>
      <c r="I423" s="10"/>
      <c r="J423" s="10"/>
      <c r="K423" s="10"/>
      <c r="L423" s="10"/>
      <c r="N423" s="10"/>
      <c r="O423" s="10"/>
      <c r="Q423" s="67"/>
      <c r="Y423" s="71"/>
      <c r="Z423" s="48"/>
    </row>
    <row r="424" ht="12.75" customHeight="1">
      <c r="A424" s="1" t="s">
        <v>825</v>
      </c>
      <c r="B424" s="2" t="s">
        <v>826</v>
      </c>
      <c r="C424" s="60" t="str">
        <f t="shared" ref="C424:C434" si="120">MID(A424,1,12)</f>
        <v>A.070.02.101</v>
      </c>
      <c r="D424" s="51" t="s">
        <v>824</v>
      </c>
      <c r="E424" s="87" t="s">
        <v>827</v>
      </c>
      <c r="F424" s="63" t="str">
        <f t="shared" ref="F424:F434" si="121">MID(A424, 21,85)</f>
        <v>Diesel B7  - including combustion CO2 per litre</v>
      </c>
      <c r="G424" s="64">
        <v>0.7289038213948921</v>
      </c>
      <c r="H424" s="10">
        <f t="shared" ref="H424:H434" si="122">G424</f>
        <v>0.7289038214</v>
      </c>
      <c r="I424" s="65">
        <v>0.01860265992</v>
      </c>
      <c r="J424" s="65">
        <v>0.03924376542</v>
      </c>
      <c r="K424" s="65">
        <v>0.2429188960548921</v>
      </c>
      <c r="L424" s="65">
        <v>0.4281385</v>
      </c>
      <c r="N424" s="66">
        <v>2.8542566666666667</v>
      </c>
      <c r="O424" s="10">
        <f t="shared" ref="O424:O434" si="123">N424</f>
        <v>2.854256667</v>
      </c>
      <c r="Q424" s="67">
        <v>46.710384</v>
      </c>
      <c r="S424" s="68">
        <v>0.054477799</v>
      </c>
      <c r="T424" s="68">
        <v>0.049143701</v>
      </c>
      <c r="U424" s="68">
        <v>0.0022667529</v>
      </c>
      <c r="V424" s="68">
        <v>0.0030673447</v>
      </c>
      <c r="X424" s="69">
        <v>1.4610174E-4</v>
      </c>
      <c r="Y424" s="77"/>
      <c r="Z424" s="48"/>
    </row>
    <row r="425" ht="12.75" customHeight="1">
      <c r="A425" s="1" t="s">
        <v>828</v>
      </c>
      <c r="B425" s="2" t="s">
        <v>826</v>
      </c>
      <c r="C425" s="60" t="str">
        <f t="shared" si="120"/>
        <v>A.070.02.102</v>
      </c>
      <c r="D425" s="51" t="s">
        <v>824</v>
      </c>
      <c r="E425" s="87" t="s">
        <v>827</v>
      </c>
      <c r="F425" s="63" t="str">
        <f t="shared" si="121"/>
        <v>Diesel B10  - including combustion CO2 per litre</v>
      </c>
      <c r="G425" s="64">
        <v>0.7124503842607016</v>
      </c>
      <c r="H425" s="10">
        <f t="shared" si="122"/>
        <v>0.7124503843</v>
      </c>
      <c r="I425" s="65">
        <v>0.01836938468</v>
      </c>
      <c r="J425" s="65">
        <v>0.03882079326</v>
      </c>
      <c r="K425" s="65">
        <v>0.2362467563207016</v>
      </c>
      <c r="L425" s="65">
        <v>0.41901345</v>
      </c>
      <c r="N425" s="66">
        <v>2.793423</v>
      </c>
      <c r="O425" s="10">
        <f t="shared" si="123"/>
        <v>2.793423</v>
      </c>
      <c r="Q425" s="67">
        <v>46.72164</v>
      </c>
      <c r="S425" s="68">
        <v>0.053347897</v>
      </c>
      <c r="T425" s="68">
        <v>0.048131366</v>
      </c>
      <c r="U425" s="68">
        <v>0.0022199005</v>
      </c>
      <c r="V425" s="68">
        <v>0.0029966309</v>
      </c>
      <c r="X425" s="69">
        <v>1.4302847E-4</v>
      </c>
      <c r="Y425" s="77"/>
      <c r="Z425" s="48"/>
    </row>
    <row r="426" ht="12.75" customHeight="1">
      <c r="A426" s="1" t="s">
        <v>829</v>
      </c>
      <c r="B426" s="2" t="s">
        <v>826</v>
      </c>
      <c r="C426" s="60" t="str">
        <f t="shared" si="120"/>
        <v>A.070.02.103</v>
      </c>
      <c r="D426" s="51" t="s">
        <v>824</v>
      </c>
      <c r="E426" s="87" t="s">
        <v>827</v>
      </c>
      <c r="F426" s="63" t="str">
        <f t="shared" si="121"/>
        <v>Diesel B100 (FAME) - including combustion CO2 per litre</v>
      </c>
      <c r="G426" s="64">
        <v>0.15715307281316032</v>
      </c>
      <c r="H426" s="10">
        <f t="shared" si="122"/>
        <v>0.1571530728</v>
      </c>
      <c r="I426" s="65">
        <v>0.010609994588</v>
      </c>
      <c r="J426" s="65">
        <v>0.024663236028</v>
      </c>
      <c r="K426" s="65">
        <v>0.018943122197160323</v>
      </c>
      <c r="L426" s="65">
        <v>0.10293672</v>
      </c>
      <c r="N426" s="66">
        <v>0.6862448</v>
      </c>
      <c r="O426" s="10">
        <f t="shared" si="123"/>
        <v>0.6862448</v>
      </c>
      <c r="Q426" s="67">
        <v>46.333639</v>
      </c>
      <c r="S426" s="68">
        <v>0.014456852</v>
      </c>
      <c r="T426" s="68">
        <v>0.013173756</v>
      </c>
      <c r="U426" s="68">
        <v>5.9741878E-4</v>
      </c>
      <c r="V426" s="68">
        <v>6.8567674E-4</v>
      </c>
      <c r="X426" s="69">
        <v>3.9163019E-5</v>
      </c>
      <c r="Y426" s="77"/>
      <c r="Z426" s="48"/>
    </row>
    <row r="427" ht="12.75" customHeight="1">
      <c r="A427" s="1" t="s">
        <v>830</v>
      </c>
      <c r="B427" s="2" t="s">
        <v>826</v>
      </c>
      <c r="C427" s="60" t="str">
        <f t="shared" si="120"/>
        <v>A.070.02.104</v>
      </c>
      <c r="D427" s="51" t="s">
        <v>824</v>
      </c>
      <c r="E427" s="87" t="s">
        <v>827</v>
      </c>
      <c r="F427" s="63" t="str">
        <f t="shared" si="121"/>
        <v>Diesel XTL (HVO) from tallow waste - including combustion CO per litre</v>
      </c>
      <c r="G427" s="64">
        <v>0.06515965565604909</v>
      </c>
      <c r="H427" s="10">
        <f t="shared" si="122"/>
        <v>0.06515965566</v>
      </c>
      <c r="I427" s="65">
        <v>0.003319164272</v>
      </c>
      <c r="J427" s="65">
        <v>0.006192517370000001</v>
      </c>
      <c r="K427" s="65">
        <v>0.009421993014049078</v>
      </c>
      <c r="L427" s="65">
        <v>0.046225981</v>
      </c>
      <c r="N427" s="66">
        <v>0.3081732066666667</v>
      </c>
      <c r="O427" s="10">
        <f t="shared" si="123"/>
        <v>0.3081732067</v>
      </c>
      <c r="Q427" s="67">
        <v>39.00321</v>
      </c>
      <c r="S427" s="68">
        <v>0.0063637756</v>
      </c>
      <c r="T427" s="68">
        <v>0.00579821</v>
      </c>
      <c r="U427" s="68">
        <v>2.5710585E-4</v>
      </c>
      <c r="V427" s="68">
        <v>3.0845982E-4</v>
      </c>
      <c r="X427" s="69">
        <v>1.5897076E-5</v>
      </c>
      <c r="Y427" s="77"/>
      <c r="Z427" s="48"/>
    </row>
    <row r="428" ht="12.75" customHeight="1">
      <c r="A428" s="1" t="s">
        <v>831</v>
      </c>
      <c r="B428" s="2" t="s">
        <v>826</v>
      </c>
      <c r="C428" s="60" t="str">
        <f t="shared" si="120"/>
        <v>A.070.02.201</v>
      </c>
      <c r="D428" s="51" t="s">
        <v>824</v>
      </c>
      <c r="E428" s="87" t="s">
        <v>827</v>
      </c>
      <c r="F428" s="63" t="str">
        <f t="shared" si="121"/>
        <v>Gasoline E5 - including combustion CO2 per litre</v>
      </c>
      <c r="G428" s="64">
        <v>0.7082030269853145</v>
      </c>
      <c r="H428" s="10">
        <f t="shared" si="122"/>
        <v>0.708203027</v>
      </c>
      <c r="I428" s="65">
        <v>0.014139000956</v>
      </c>
      <c r="J428" s="65">
        <v>0.038779888618000004</v>
      </c>
      <c r="K428" s="65">
        <v>0.22323373741131447</v>
      </c>
      <c r="L428" s="65">
        <v>0.4320504</v>
      </c>
      <c r="N428" s="66">
        <v>2.8803360000000002</v>
      </c>
      <c r="O428" s="10">
        <f t="shared" si="123"/>
        <v>2.880336</v>
      </c>
      <c r="Q428" s="67">
        <v>44.223391</v>
      </c>
      <c r="S428" s="68">
        <v>0.05698586</v>
      </c>
      <c r="T428" s="68">
        <v>0.051672522</v>
      </c>
      <c r="U428" s="68">
        <v>0.0023298781</v>
      </c>
      <c r="V428" s="68">
        <v>0.0029834599</v>
      </c>
      <c r="X428" s="69">
        <v>1.4245513E-4</v>
      </c>
      <c r="Y428" s="77"/>
      <c r="Z428" s="48"/>
    </row>
    <row r="429" ht="12.75" customHeight="1">
      <c r="A429" s="1" t="s">
        <v>832</v>
      </c>
      <c r="B429" s="2" t="s">
        <v>826</v>
      </c>
      <c r="C429" s="60" t="str">
        <f t="shared" si="120"/>
        <v>A.070.02.202</v>
      </c>
      <c r="D429" s="51" t="s">
        <v>824</v>
      </c>
      <c r="E429" s="87" t="s">
        <v>827</v>
      </c>
      <c r="F429" s="63" t="str">
        <f t="shared" si="121"/>
        <v>Gasoline E10 - including combustion CO2 per litre</v>
      </c>
      <c r="G429" s="64">
        <v>0.6818444900736575</v>
      </c>
      <c r="H429" s="10">
        <f t="shared" si="122"/>
        <v>0.6818444901</v>
      </c>
      <c r="I429" s="65">
        <v>0.01381794836</v>
      </c>
      <c r="J429" s="65">
        <v>0.03739855602</v>
      </c>
      <c r="K429" s="65">
        <v>0.21217613569365762</v>
      </c>
      <c r="L429" s="65">
        <v>0.41845185</v>
      </c>
      <c r="N429" s="66">
        <v>2.789679</v>
      </c>
      <c r="O429" s="10">
        <f t="shared" si="123"/>
        <v>2.789679</v>
      </c>
      <c r="Q429" s="67">
        <v>43.982919</v>
      </c>
      <c r="S429" s="68">
        <v>0.055128867</v>
      </c>
      <c r="T429" s="68">
        <v>0.049988614</v>
      </c>
      <c r="U429" s="68">
        <v>0.0022555225</v>
      </c>
      <c r="V429" s="68">
        <v>0.0028847306</v>
      </c>
      <c r="X429" s="69">
        <v>1.3795843E-4</v>
      </c>
      <c r="Y429" s="77"/>
      <c r="Z429" s="48"/>
    </row>
    <row r="430" ht="12.75" customHeight="1">
      <c r="A430" s="1" t="s">
        <v>833</v>
      </c>
      <c r="B430" s="2" t="s">
        <v>826</v>
      </c>
      <c r="C430" s="60" t="str">
        <f t="shared" si="120"/>
        <v>A.070.02.203</v>
      </c>
      <c r="D430" s="51" t="s">
        <v>824</v>
      </c>
      <c r="E430" s="87" t="s">
        <v>827</v>
      </c>
      <c r="F430" s="63" t="str">
        <f t="shared" si="121"/>
        <v>Gasoline E85 - including combustion CO2 per litre</v>
      </c>
      <c r="G430" s="64">
        <v>0.28258381259967197</v>
      </c>
      <c r="H430" s="10">
        <f t="shared" si="122"/>
        <v>0.2825838126</v>
      </c>
      <c r="I430" s="65">
        <v>0.009079291891</v>
      </c>
      <c r="J430" s="65">
        <v>0.016524204257000002</v>
      </c>
      <c r="K430" s="65">
        <v>0.04315393645167195</v>
      </c>
      <c r="L430" s="65">
        <v>0.21382638</v>
      </c>
      <c r="N430" s="66">
        <v>1.4255092</v>
      </c>
      <c r="O430" s="10">
        <f t="shared" si="123"/>
        <v>1.4255092</v>
      </c>
      <c r="Q430" s="67">
        <v>41.17512</v>
      </c>
      <c r="S430" s="68">
        <v>0.027147867</v>
      </c>
      <c r="T430" s="68">
        <v>0.024614409</v>
      </c>
      <c r="U430" s="68">
        <v>0.0011360312</v>
      </c>
      <c r="V430" s="68">
        <v>0.001397426</v>
      </c>
      <c r="X430" s="69">
        <v>7.031899E-5</v>
      </c>
      <c r="Y430" s="77"/>
      <c r="Z430" s="48"/>
    </row>
    <row r="431" ht="12.75" customHeight="1">
      <c r="A431" s="1" t="s">
        <v>834</v>
      </c>
      <c r="B431" s="2" t="s">
        <v>826</v>
      </c>
      <c r="C431" s="60" t="str">
        <f t="shared" si="120"/>
        <v>A.070.02.301</v>
      </c>
      <c r="D431" s="51" t="s">
        <v>824</v>
      </c>
      <c r="E431" s="62" t="s">
        <v>45</v>
      </c>
      <c r="F431" s="63" t="str">
        <f t="shared" si="121"/>
        <v>CNG - including combustion CO2</v>
      </c>
      <c r="G431" s="64">
        <v>0.977007729131</v>
      </c>
      <c r="H431" s="10">
        <f t="shared" si="122"/>
        <v>0.9770077291</v>
      </c>
      <c r="I431" s="65">
        <v>0.026870380069999998</v>
      </c>
      <c r="J431" s="65">
        <v>0.03850812681100001</v>
      </c>
      <c r="K431" s="65">
        <v>0.31585650225</v>
      </c>
      <c r="L431" s="65">
        <v>0.59577272</v>
      </c>
      <c r="N431" s="66">
        <v>3.9718181333333336</v>
      </c>
      <c r="O431" s="10">
        <f t="shared" si="123"/>
        <v>3.971818133</v>
      </c>
      <c r="Q431" s="67">
        <v>58.84974</v>
      </c>
      <c r="S431" s="68">
        <v>0.07372605</v>
      </c>
      <c r="T431" s="68">
        <v>0.066464448</v>
      </c>
      <c r="U431" s="68">
        <v>0.0031246438</v>
      </c>
      <c r="V431" s="68">
        <v>0.0041369578</v>
      </c>
      <c r="X431" s="69">
        <v>1.94155E-4</v>
      </c>
      <c r="Y431" s="77"/>
      <c r="Z431" s="48"/>
    </row>
    <row r="432" ht="12.75" customHeight="1">
      <c r="A432" s="1" t="s">
        <v>835</v>
      </c>
      <c r="B432" s="2" t="s">
        <v>826</v>
      </c>
      <c r="C432" s="60" t="str">
        <f t="shared" si="120"/>
        <v>A.070.02.302</v>
      </c>
      <c r="D432" s="51" t="s">
        <v>824</v>
      </c>
      <c r="E432" s="62" t="s">
        <v>45</v>
      </c>
      <c r="F432" s="63" t="str">
        <f t="shared" si="121"/>
        <v>LNG - including combustion CO2</v>
      </c>
      <c r="G432" s="64">
        <v>0.977007729131</v>
      </c>
      <c r="H432" s="10">
        <f t="shared" si="122"/>
        <v>0.9770077291</v>
      </c>
      <c r="I432" s="65">
        <v>0.026870380069999998</v>
      </c>
      <c r="J432" s="65">
        <v>0.03850812681100001</v>
      </c>
      <c r="K432" s="65">
        <v>0.31585650225</v>
      </c>
      <c r="L432" s="65">
        <v>0.59577272</v>
      </c>
      <c r="N432" s="66">
        <v>3.9718181333333336</v>
      </c>
      <c r="O432" s="10">
        <f t="shared" si="123"/>
        <v>3.971818133</v>
      </c>
      <c r="Q432" s="67">
        <v>58.84974</v>
      </c>
      <c r="S432" s="68">
        <v>0.07372605</v>
      </c>
      <c r="T432" s="68">
        <v>0.066464448</v>
      </c>
      <c r="U432" s="68">
        <v>0.0031246438</v>
      </c>
      <c r="V432" s="68">
        <v>0.0041369578</v>
      </c>
      <c r="X432" s="69">
        <v>1.94155E-4</v>
      </c>
      <c r="Y432" s="77"/>
      <c r="Z432" s="48"/>
    </row>
    <row r="433" ht="12.75" customHeight="1">
      <c r="A433" s="1" t="s">
        <v>836</v>
      </c>
      <c r="B433" s="2" t="s">
        <v>826</v>
      </c>
      <c r="C433" s="60" t="str">
        <f t="shared" si="120"/>
        <v>A.070.02.303</v>
      </c>
      <c r="D433" s="51" t="s">
        <v>824</v>
      </c>
      <c r="E433" s="87" t="s">
        <v>827</v>
      </c>
      <c r="F433" s="63" t="str">
        <f t="shared" si="121"/>
        <v>LPG - including combustion CO2 per litre</v>
      </c>
      <c r="G433" s="64">
        <v>0.44933436465676796</v>
      </c>
      <c r="H433" s="10">
        <f t="shared" si="122"/>
        <v>0.4493343647</v>
      </c>
      <c r="I433" s="65">
        <v>0.011963101351768</v>
      </c>
      <c r="J433" s="65">
        <v>0.02110321907</v>
      </c>
      <c r="K433" s="65">
        <v>0.159125184235</v>
      </c>
      <c r="L433" s="65">
        <v>0.25714286</v>
      </c>
      <c r="N433" s="66">
        <v>1.7142857333333332</v>
      </c>
      <c r="O433" s="10">
        <f t="shared" si="123"/>
        <v>1.714285733</v>
      </c>
      <c r="Q433" s="67">
        <v>26.916372</v>
      </c>
      <c r="S433" s="68">
        <v>0.034462545</v>
      </c>
      <c r="T433" s="68">
        <v>0.031116308</v>
      </c>
      <c r="U433" s="68">
        <v>0.0014337949</v>
      </c>
      <c r="V433" s="68">
        <v>0.001912442</v>
      </c>
      <c r="X433" s="69">
        <v>8.9876463E-5</v>
      </c>
      <c r="Y433" s="77"/>
      <c r="Z433" s="48"/>
    </row>
    <row r="434" ht="12.75" customHeight="1">
      <c r="A434" s="1" t="s">
        <v>837</v>
      </c>
      <c r="B434" s="2" t="s">
        <v>826</v>
      </c>
      <c r="C434" s="60" t="str">
        <f t="shared" si="120"/>
        <v>A.070.02.304</v>
      </c>
      <c r="D434" s="51" t="s">
        <v>824</v>
      </c>
      <c r="E434" s="62" t="s">
        <v>45</v>
      </c>
      <c r="F434" s="63" t="str">
        <f t="shared" si="121"/>
        <v>Brown Hydrogen - including combustion CO2</v>
      </c>
      <c r="G434" s="64">
        <v>1.9803212020714511</v>
      </c>
      <c r="H434" s="10">
        <f t="shared" si="122"/>
        <v>1.980321202</v>
      </c>
      <c r="I434" s="65">
        <v>0.07954416715000001</v>
      </c>
      <c r="J434" s="65">
        <v>0.11485987069100001</v>
      </c>
      <c r="K434" s="65">
        <v>0.02236986423045124</v>
      </c>
      <c r="L434" s="65">
        <v>1.7635473</v>
      </c>
      <c r="N434" s="66">
        <v>11.756982</v>
      </c>
      <c r="O434" s="10">
        <f t="shared" si="123"/>
        <v>11.756982</v>
      </c>
      <c r="Q434" s="67">
        <v>174.8468</v>
      </c>
      <c r="S434" s="68">
        <v>0.21860185</v>
      </c>
      <c r="T434" s="68">
        <v>0.19718038</v>
      </c>
      <c r="U434" s="68">
        <v>0.0092716807</v>
      </c>
      <c r="V434" s="68">
        <v>0.012149784</v>
      </c>
      <c r="X434" s="69">
        <v>5.7664503E-4</v>
      </c>
      <c r="Y434" s="77"/>
      <c r="Z434" s="48"/>
    </row>
    <row r="435" ht="12.75" customHeight="1">
      <c r="B435" s="2"/>
      <c r="C435" s="60"/>
      <c r="D435" s="75" t="s">
        <v>838</v>
      </c>
      <c r="E435" s="62"/>
      <c r="G435" s="10"/>
      <c r="H435" s="10"/>
      <c r="I435" s="10"/>
      <c r="J435" s="10"/>
      <c r="K435" s="10"/>
      <c r="L435" s="10"/>
      <c r="N435" s="10"/>
      <c r="O435" s="10"/>
      <c r="Q435" s="67"/>
      <c r="Y435" s="74"/>
      <c r="Z435" s="48"/>
    </row>
    <row r="436" ht="12.75" customHeight="1">
      <c r="A436" s="1" t="s">
        <v>839</v>
      </c>
      <c r="B436" s="2" t="s">
        <v>826</v>
      </c>
      <c r="C436" s="60" t="str">
        <f t="shared" ref="C436:C451" si="124">MID(A436,1,12)</f>
        <v>A.070.03.101</v>
      </c>
      <c r="D436" s="51" t="s">
        <v>838</v>
      </c>
      <c r="E436" s="87" t="s">
        <v>840</v>
      </c>
      <c r="F436" s="63" t="str">
        <f t="shared" ref="F436:F451" si="125">MID(A436, 21,85)</f>
        <v> Gasoline E10 - lease segment A (4.90 l/100km) incl CO2 (per km)</v>
      </c>
      <c r="G436" s="64">
        <v>0.034852839638949244</v>
      </c>
      <c r="H436" s="10">
        <f t="shared" ref="H436:H451" si="126">G436</f>
        <v>0.03485283964</v>
      </c>
      <c r="I436" s="65">
        <v>0.0014992534606</v>
      </c>
      <c r="J436" s="65">
        <v>0.0024528141699</v>
      </c>
      <c r="K436" s="65">
        <v>0.010396631008449245</v>
      </c>
      <c r="L436" s="65">
        <v>0.020504141</v>
      </c>
      <c r="N436" s="66">
        <v>0.13669427333333334</v>
      </c>
      <c r="O436" s="10">
        <f t="shared" ref="O436:O451" si="127">N436</f>
        <v>0.1366942733</v>
      </c>
      <c r="Q436" s="67">
        <v>2.155163</v>
      </c>
      <c r="S436" s="68">
        <v>0.0028843679</v>
      </c>
      <c r="T436" s="68">
        <v>0.0026277658</v>
      </c>
      <c r="U436" s="68">
        <v>1.1525032E-4</v>
      </c>
      <c r="V436" s="68">
        <v>1.413518E-4</v>
      </c>
      <c r="X436" s="69">
        <v>7.3460655E-6</v>
      </c>
      <c r="Y436" s="77"/>
      <c r="Z436" s="48"/>
    </row>
    <row r="437" ht="12.75" customHeight="1">
      <c r="A437" s="1" t="s">
        <v>841</v>
      </c>
      <c r="B437" s="2" t="s">
        <v>826</v>
      </c>
      <c r="C437" s="60" t="str">
        <f t="shared" si="124"/>
        <v>A.070.03.102</v>
      </c>
      <c r="D437" s="51" t="s">
        <v>838</v>
      </c>
      <c r="E437" s="87" t="s">
        <v>840</v>
      </c>
      <c r="F437" s="63" t="str">
        <f t="shared" si="125"/>
        <v> Gasoline E10 - lease segment B (5.30 l/100km) incl CO2 (per km)</v>
      </c>
      <c r="G437" s="64">
        <v>0.037580216896683886</v>
      </c>
      <c r="H437" s="10">
        <f t="shared" si="126"/>
        <v>0.0375802169</v>
      </c>
      <c r="I437" s="65">
        <v>0.0015545252813</v>
      </c>
      <c r="J437" s="65">
        <v>0.002602408504</v>
      </c>
      <c r="K437" s="65">
        <v>0.011245335111383889</v>
      </c>
      <c r="L437" s="65">
        <v>0.022177948</v>
      </c>
      <c r="N437" s="66">
        <v>0.14785298666666666</v>
      </c>
      <c r="O437" s="10">
        <f t="shared" si="127"/>
        <v>0.1478529867</v>
      </c>
      <c r="Q437" s="67">
        <v>2.3310947</v>
      </c>
      <c r="S437" s="68">
        <v>0.0031048834</v>
      </c>
      <c r="T437" s="68">
        <v>0.0028277203</v>
      </c>
      <c r="U437" s="68">
        <v>1.2427241E-4</v>
      </c>
      <c r="V437" s="68">
        <v>1.5289072E-4</v>
      </c>
      <c r="X437" s="69">
        <v>7.8978992E-6</v>
      </c>
      <c r="Y437" s="77"/>
      <c r="Z437" s="48"/>
    </row>
    <row r="438" ht="12.75" customHeight="1">
      <c r="A438" s="1" t="s">
        <v>842</v>
      </c>
      <c r="B438" s="2" t="s">
        <v>826</v>
      </c>
      <c r="C438" s="60" t="str">
        <f t="shared" si="124"/>
        <v>A.070.03.103</v>
      </c>
      <c r="D438" s="51" t="s">
        <v>838</v>
      </c>
      <c r="E438" s="87" t="s">
        <v>840</v>
      </c>
      <c r="F438" s="63" t="str">
        <f t="shared" si="125"/>
        <v> Gasoline E10 - lease segment C (5.70 l/100km) incl CO2 (per km)</v>
      </c>
      <c r="G438" s="64">
        <v>0.04030759594441853</v>
      </c>
      <c r="H438" s="10">
        <f t="shared" si="126"/>
        <v>0.04030759594</v>
      </c>
      <c r="I438" s="65">
        <v>0.0016097970921</v>
      </c>
      <c r="J438" s="65">
        <v>0.0027520026379999995</v>
      </c>
      <c r="K438" s="65">
        <v>0.012094040214318532</v>
      </c>
      <c r="L438" s="65">
        <v>0.023851756</v>
      </c>
      <c r="N438" s="66">
        <v>0.1590117066666667</v>
      </c>
      <c r="O438" s="10">
        <f t="shared" si="127"/>
        <v>0.1590117067</v>
      </c>
      <c r="Q438" s="67">
        <v>2.5070264</v>
      </c>
      <c r="S438" s="68">
        <v>0.0033253989</v>
      </c>
      <c r="T438" s="68">
        <v>0.0030276747</v>
      </c>
      <c r="U438" s="68">
        <v>1.332945E-4</v>
      </c>
      <c r="V438" s="68">
        <v>1.6442964E-4</v>
      </c>
      <c r="X438" s="69">
        <v>8.4497329E-6</v>
      </c>
      <c r="Y438" s="77"/>
      <c r="Z438" s="48"/>
    </row>
    <row r="439" ht="12.75" customHeight="1">
      <c r="A439" s="1" t="s">
        <v>843</v>
      </c>
      <c r="B439" s="2" t="s">
        <v>826</v>
      </c>
      <c r="C439" s="60" t="str">
        <f t="shared" si="124"/>
        <v>A.070.03.104</v>
      </c>
      <c r="D439" s="51" t="s">
        <v>838</v>
      </c>
      <c r="E439" s="87" t="s">
        <v>840</v>
      </c>
      <c r="F439" s="63" t="str">
        <f t="shared" si="125"/>
        <v> Gasoline E10 - lease segment D (6.70 l/100km) incl CO2 (per km)</v>
      </c>
      <c r="G439" s="64">
        <v>0.04712603968935508</v>
      </c>
      <c r="H439" s="10">
        <f t="shared" si="126"/>
        <v>0.04712603969</v>
      </c>
      <c r="I439" s="65">
        <v>0.0017479765395</v>
      </c>
      <c r="J439" s="65">
        <v>0.0031259881782</v>
      </c>
      <c r="K439" s="65">
        <v>0.014215800971655085</v>
      </c>
      <c r="L439" s="65">
        <v>0.028036274</v>
      </c>
      <c r="N439" s="66">
        <v>0.18690849333333334</v>
      </c>
      <c r="O439" s="10">
        <f t="shared" si="127"/>
        <v>0.1869084933</v>
      </c>
      <c r="Q439" s="67">
        <v>2.9468556</v>
      </c>
      <c r="S439" s="68">
        <v>0.0038766875</v>
      </c>
      <c r="T439" s="68">
        <v>0.0035275609</v>
      </c>
      <c r="U439" s="68">
        <v>1.5584972E-4</v>
      </c>
      <c r="V439" s="68">
        <v>1.9327695E-4</v>
      </c>
      <c r="X439" s="69">
        <v>9.8293173E-6</v>
      </c>
      <c r="Y439" s="77"/>
      <c r="Z439" s="48"/>
    </row>
    <row r="440" ht="12.75" customHeight="1">
      <c r="A440" s="1" t="s">
        <v>844</v>
      </c>
      <c r="B440" s="2" t="s">
        <v>826</v>
      </c>
      <c r="C440" s="60" t="str">
        <f t="shared" si="124"/>
        <v>A.070.03.105</v>
      </c>
      <c r="D440" s="51" t="s">
        <v>838</v>
      </c>
      <c r="E440" s="87" t="s">
        <v>840</v>
      </c>
      <c r="F440" s="63" t="str">
        <f t="shared" si="125"/>
        <v> Gasoline E10 - lease segment E (8.80 l/100km) incl CO2 (per km)</v>
      </c>
      <c r="G440" s="64">
        <v>0.06144477453286183</v>
      </c>
      <c r="H440" s="10">
        <f t="shared" si="126"/>
        <v>0.06144477453</v>
      </c>
      <c r="I440" s="65">
        <v>0.0020381534826999998</v>
      </c>
      <c r="J440" s="65">
        <v>0.0039113577896</v>
      </c>
      <c r="K440" s="65">
        <v>0.018671500260561833</v>
      </c>
      <c r="L440" s="65">
        <v>0.036823763</v>
      </c>
      <c r="N440" s="66">
        <v>0.24549175333333337</v>
      </c>
      <c r="O440" s="10">
        <f t="shared" si="127"/>
        <v>0.2454917533</v>
      </c>
      <c r="Q440" s="67">
        <v>3.8704969</v>
      </c>
      <c r="S440" s="68">
        <v>0.0050343937</v>
      </c>
      <c r="T440" s="68">
        <v>0.0045773218</v>
      </c>
      <c r="U440" s="68">
        <v>2.0321569E-4</v>
      </c>
      <c r="V440" s="68">
        <v>2.5385629E-4</v>
      </c>
      <c r="X440" s="69">
        <v>1.2726444E-5</v>
      </c>
      <c r="Y440" s="77"/>
      <c r="Z440" s="48"/>
    </row>
    <row r="441" ht="12.75" customHeight="1">
      <c r="A441" s="1" t="s">
        <v>845</v>
      </c>
      <c r="B441" s="2" t="s">
        <v>826</v>
      </c>
      <c r="C441" s="60" t="str">
        <f t="shared" si="124"/>
        <v>A.070.03.202</v>
      </c>
      <c r="D441" s="51" t="s">
        <v>838</v>
      </c>
      <c r="E441" s="87" t="s">
        <v>840</v>
      </c>
      <c r="F441" s="63" t="str">
        <f t="shared" si="125"/>
        <v> Diesel B10 - lease segment B (4.40 l/100km) incl CO2 (per km)</v>
      </c>
      <c r="G441" s="64">
        <v>0.03358700541713081</v>
      </c>
      <c r="H441" s="10">
        <f t="shared" si="126"/>
        <v>0.03358700542</v>
      </c>
      <c r="I441" s="65">
        <v>0.002220394927</v>
      </c>
      <c r="J441" s="65">
        <v>0.002535161492</v>
      </c>
      <c r="K441" s="65">
        <v>0.010394856998130812</v>
      </c>
      <c r="L441" s="65">
        <v>0.018436592</v>
      </c>
      <c r="N441" s="66">
        <v>0.12291061333333335</v>
      </c>
      <c r="O441" s="10">
        <f t="shared" si="127"/>
        <v>0.1229106133</v>
      </c>
      <c r="Q441" s="67">
        <v>2.0557522</v>
      </c>
      <c r="S441" s="68">
        <v>0.0025660232</v>
      </c>
      <c r="T441" s="68">
        <v>0.0023295018</v>
      </c>
      <c r="U441" s="68">
        <v>1.0466959E-4</v>
      </c>
      <c r="V441" s="68">
        <v>1.3185176E-4</v>
      </c>
      <c r="X441" s="69">
        <v>7.0653445E-6</v>
      </c>
      <c r="Y441" s="77"/>
      <c r="Z441" s="48"/>
    </row>
    <row r="442" ht="12.75" customHeight="1">
      <c r="A442" s="1" t="s">
        <v>846</v>
      </c>
      <c r="B442" s="2" t="s">
        <v>826</v>
      </c>
      <c r="C442" s="60" t="str">
        <f t="shared" si="124"/>
        <v>A.070.03.203</v>
      </c>
      <c r="D442" s="51" t="s">
        <v>838</v>
      </c>
      <c r="E442" s="87" t="s">
        <v>840</v>
      </c>
      <c r="F442" s="63" t="str">
        <f t="shared" si="125"/>
        <v> Diesel B10 - lease segment C (4.70 l/100km) incl CO2 (per km)</v>
      </c>
      <c r="G442" s="64">
        <v>0.03572435609568289</v>
      </c>
      <c r="H442" s="10">
        <f t="shared" si="126"/>
        <v>0.0357243561</v>
      </c>
      <c r="I442" s="65">
        <v>0.002275503063</v>
      </c>
      <c r="J442" s="65">
        <v>0.002651623876</v>
      </c>
      <c r="K442" s="65">
        <v>0.011103597156682896</v>
      </c>
      <c r="L442" s="65">
        <v>0.019693632</v>
      </c>
      <c r="N442" s="66">
        <v>0.13129088</v>
      </c>
      <c r="O442" s="10">
        <f t="shared" si="127"/>
        <v>0.13129088</v>
      </c>
      <c r="Q442" s="67">
        <v>2.1959171</v>
      </c>
      <c r="S442" s="68">
        <v>0.0027260668</v>
      </c>
      <c r="T442" s="68">
        <v>0.0024738959</v>
      </c>
      <c r="U442" s="68">
        <v>1.1132929E-4</v>
      </c>
      <c r="V442" s="68">
        <v>1.4084165E-4</v>
      </c>
      <c r="X442" s="69">
        <v>7.4944299E-6</v>
      </c>
      <c r="Y442" s="77"/>
      <c r="Z442" s="48"/>
    </row>
    <row r="443" ht="12.75" customHeight="1">
      <c r="A443" s="1" t="s">
        <v>847</v>
      </c>
      <c r="B443" s="2" t="s">
        <v>826</v>
      </c>
      <c r="C443" s="60" t="str">
        <f t="shared" si="124"/>
        <v>A.070.03.204</v>
      </c>
      <c r="D443" s="51" t="s">
        <v>838</v>
      </c>
      <c r="E443" s="87" t="s">
        <v>840</v>
      </c>
      <c r="F443" s="63" t="str">
        <f t="shared" si="125"/>
        <v> Diesel B10 - lease segment D (5.00 l/100km) incl CO2 (per km)</v>
      </c>
      <c r="G443" s="64">
        <v>0.037861707786534984</v>
      </c>
      <c r="H443" s="10">
        <f t="shared" si="126"/>
        <v>0.03786170779</v>
      </c>
      <c r="I443" s="65">
        <v>0.002330611199</v>
      </c>
      <c r="J443" s="65">
        <v>0.0027680862710000005</v>
      </c>
      <c r="K443" s="65">
        <v>0.01181233731653498</v>
      </c>
      <c r="L443" s="65">
        <v>0.020950673</v>
      </c>
      <c r="N443" s="66">
        <v>0.13967115333333333</v>
      </c>
      <c r="O443" s="10">
        <f t="shared" si="127"/>
        <v>0.1396711533</v>
      </c>
      <c r="Q443" s="67">
        <v>2.336082</v>
      </c>
      <c r="S443" s="68">
        <v>0.0028861105</v>
      </c>
      <c r="T443" s="68">
        <v>0.00261829</v>
      </c>
      <c r="U443" s="68">
        <v>1.17989E-4</v>
      </c>
      <c r="V443" s="68">
        <v>1.4983155E-4</v>
      </c>
      <c r="X443" s="69">
        <v>7.9235153E-6</v>
      </c>
      <c r="Y443" s="77"/>
      <c r="Z443" s="48"/>
    </row>
    <row r="444" ht="12.75" customHeight="1">
      <c r="A444" s="1" t="s">
        <v>848</v>
      </c>
      <c r="B444" s="2" t="s">
        <v>826</v>
      </c>
      <c r="C444" s="60" t="str">
        <f t="shared" si="124"/>
        <v>A.070.03.205</v>
      </c>
      <c r="D444" s="51" t="s">
        <v>838</v>
      </c>
      <c r="E444" s="87" t="s">
        <v>840</v>
      </c>
      <c r="F444" s="63" t="str">
        <f t="shared" si="125"/>
        <v> Diesel B10 - lease segment E (7.10 l/100km) incl CO2 (per km)</v>
      </c>
      <c r="G444" s="64">
        <v>0.052823165607499674</v>
      </c>
      <c r="H444" s="10">
        <f t="shared" si="126"/>
        <v>0.05282316561</v>
      </c>
      <c r="I444" s="65">
        <v>0.0027163682689999996</v>
      </c>
      <c r="J444" s="65">
        <v>0.0035833229099999997</v>
      </c>
      <c r="K444" s="65">
        <v>0.016773519428499674</v>
      </c>
      <c r="L444" s="65">
        <v>0.029749955</v>
      </c>
      <c r="N444" s="66">
        <v>0.19833303333333335</v>
      </c>
      <c r="O444" s="10">
        <f t="shared" si="127"/>
        <v>0.1983330333</v>
      </c>
      <c r="Q444" s="67">
        <v>3.3172364</v>
      </c>
      <c r="S444" s="68">
        <v>0.0040064164</v>
      </c>
      <c r="T444" s="68">
        <v>0.0036290487</v>
      </c>
      <c r="U444" s="68">
        <v>1.6460691E-4</v>
      </c>
      <c r="V444" s="68">
        <v>2.127608E-4</v>
      </c>
      <c r="X444" s="69">
        <v>1.0927113E-5</v>
      </c>
      <c r="Y444" s="77"/>
      <c r="Z444" s="48"/>
    </row>
    <row r="445" ht="12.75" customHeight="1">
      <c r="A445" s="1" t="s">
        <v>849</v>
      </c>
      <c r="B445" s="2" t="s">
        <v>826</v>
      </c>
      <c r="C445" s="60" t="str">
        <f t="shared" si="124"/>
        <v>A.070.03.301</v>
      </c>
      <c r="D445" s="51" t="s">
        <v>838</v>
      </c>
      <c r="E445" s="87" t="s">
        <v>840</v>
      </c>
      <c r="F445" s="63" t="str">
        <f t="shared" si="125"/>
        <v> BEV - lease segment A (14.00 kWh/100km) WTW (per km)</v>
      </c>
      <c r="G445" s="64">
        <v>0.009095558388</v>
      </c>
      <c r="H445" s="10">
        <f t="shared" si="126"/>
        <v>0.009095558388</v>
      </c>
      <c r="I445" s="65">
        <v>3.3252369300000004E-4</v>
      </c>
      <c r="J445" s="65">
        <v>6.832711E-4</v>
      </c>
      <c r="K445" s="65">
        <v>0.003098297295</v>
      </c>
      <c r="L445" s="65">
        <v>0.0049814663</v>
      </c>
      <c r="N445" s="66">
        <v>0.03320977533333334</v>
      </c>
      <c r="O445" s="10">
        <f t="shared" si="127"/>
        <v>0.03320977533</v>
      </c>
      <c r="Q445" s="67">
        <v>1.1612472</v>
      </c>
      <c r="S445" s="68">
        <v>6.9335709E-4</v>
      </c>
      <c r="T445" s="68">
        <v>6.4852937E-4</v>
      </c>
      <c r="U445" s="68">
        <v>2.7812423E-5</v>
      </c>
      <c r="V445" s="68">
        <v>1.7015298E-5</v>
      </c>
      <c r="X445" s="69">
        <v>2.1853802E-6</v>
      </c>
      <c r="Y445" s="77"/>
      <c r="Z445" s="48"/>
    </row>
    <row r="446" ht="12.75" customHeight="1">
      <c r="A446" s="1" t="s">
        <v>850</v>
      </c>
      <c r="B446" s="2" t="s">
        <v>826</v>
      </c>
      <c r="C446" s="60" t="str">
        <f t="shared" si="124"/>
        <v>A.070.03.302</v>
      </c>
      <c r="D446" s="51" t="s">
        <v>838</v>
      </c>
      <c r="E446" s="87" t="s">
        <v>840</v>
      </c>
      <c r="F446" s="63" t="str">
        <f t="shared" si="125"/>
        <v> BEV - lease segment B (15.7 kWh/100km) WTW (per km)</v>
      </c>
      <c r="G446" s="64">
        <v>0.010200019046999999</v>
      </c>
      <c r="H446" s="10">
        <f t="shared" si="126"/>
        <v>0.01020001905</v>
      </c>
      <c r="I446" s="65">
        <v>3.72901571E-4</v>
      </c>
      <c r="J446" s="65">
        <v>7.6623974E-4</v>
      </c>
      <c r="K446" s="65">
        <v>0.003474519136</v>
      </c>
      <c r="L446" s="65">
        <v>0.0055863586</v>
      </c>
      <c r="N446" s="66">
        <v>0.03724239066666667</v>
      </c>
      <c r="O446" s="10">
        <f t="shared" si="127"/>
        <v>0.03724239067</v>
      </c>
      <c r="Q446" s="67">
        <v>1.3022558</v>
      </c>
      <c r="S446" s="68">
        <v>7.7755045E-4</v>
      </c>
      <c r="T446" s="68">
        <v>7.2727937E-4</v>
      </c>
      <c r="U446" s="68">
        <v>3.1189646E-5</v>
      </c>
      <c r="V446" s="68">
        <v>1.9081442E-5</v>
      </c>
      <c r="X446" s="69">
        <v>2.4507478E-6</v>
      </c>
      <c r="Y446" s="77"/>
      <c r="Z446" s="48"/>
    </row>
    <row r="447" ht="12.75" customHeight="1">
      <c r="A447" s="1" t="s">
        <v>851</v>
      </c>
      <c r="B447" s="2" t="s">
        <v>826</v>
      </c>
      <c r="C447" s="60" t="str">
        <f t="shared" si="124"/>
        <v>A.070.03.303</v>
      </c>
      <c r="D447" s="51" t="s">
        <v>838</v>
      </c>
      <c r="E447" s="87" t="s">
        <v>840</v>
      </c>
      <c r="F447" s="63" t="str">
        <f t="shared" si="125"/>
        <v> BEV - lease segment C (16.95 kWh/100km) WTW (per km)</v>
      </c>
      <c r="G447" s="64">
        <v>0.011012122448</v>
      </c>
      <c r="H447" s="10">
        <f t="shared" si="126"/>
        <v>0.01101212245</v>
      </c>
      <c r="I447" s="65">
        <v>4.02591188E-4</v>
      </c>
      <c r="J447" s="65">
        <v>8.272460799999999E-4</v>
      </c>
      <c r="K447" s="65">
        <v>0.0037511527799999997</v>
      </c>
      <c r="L447" s="65">
        <v>0.0060311324</v>
      </c>
      <c r="N447" s="66">
        <v>0.040207549333333335</v>
      </c>
      <c r="O447" s="10">
        <f t="shared" si="127"/>
        <v>0.04020754933</v>
      </c>
      <c r="Q447" s="67">
        <v>1.4059385</v>
      </c>
      <c r="S447" s="68">
        <v>8.3945734E-4</v>
      </c>
      <c r="T447" s="68">
        <v>7.8518377E-4</v>
      </c>
      <c r="U447" s="68">
        <v>3.3672898E-5</v>
      </c>
      <c r="V447" s="68">
        <v>2.0600665E-5</v>
      </c>
      <c r="X447" s="69">
        <v>2.645871E-6</v>
      </c>
      <c r="Y447" s="77"/>
      <c r="Z447" s="48"/>
    </row>
    <row r="448" ht="12.75" customHeight="1">
      <c r="A448" s="1" t="s">
        <v>852</v>
      </c>
      <c r="B448" s="2" t="s">
        <v>826</v>
      </c>
      <c r="C448" s="60" t="str">
        <f t="shared" si="124"/>
        <v>A.070.03.304</v>
      </c>
      <c r="D448" s="51" t="s">
        <v>838</v>
      </c>
      <c r="E448" s="87" t="s">
        <v>840</v>
      </c>
      <c r="F448" s="63" t="str">
        <f t="shared" si="125"/>
        <v> BEV - lease segment D (16.8 kWh/100km) WTW (per km)</v>
      </c>
      <c r="G448" s="64">
        <v>0.010914669969</v>
      </c>
      <c r="H448" s="10">
        <f t="shared" si="126"/>
        <v>0.01091466997</v>
      </c>
      <c r="I448" s="65">
        <v>3.99028434E-4</v>
      </c>
      <c r="J448" s="65">
        <v>8.1992532E-4</v>
      </c>
      <c r="K448" s="65">
        <v>0.003717956715</v>
      </c>
      <c r="L448" s="65">
        <v>0.0059777595</v>
      </c>
      <c r="N448" s="66">
        <v>0.03985173</v>
      </c>
      <c r="O448" s="10">
        <f t="shared" si="127"/>
        <v>0.03985173</v>
      </c>
      <c r="Q448" s="67">
        <v>1.3934966</v>
      </c>
      <c r="S448" s="68">
        <v>8.3202851E-4</v>
      </c>
      <c r="T448" s="68">
        <v>7.7823525E-4</v>
      </c>
      <c r="U448" s="68">
        <v>3.3374908E-5</v>
      </c>
      <c r="V448" s="68">
        <v>2.0418358E-5</v>
      </c>
      <c r="X448" s="69">
        <v>2.6224562E-6</v>
      </c>
      <c r="Y448" s="77"/>
      <c r="Z448" s="48"/>
    </row>
    <row r="449" ht="12.75" customHeight="1">
      <c r="A449" s="1" t="s">
        <v>853</v>
      </c>
      <c r="B449" s="2" t="s">
        <v>826</v>
      </c>
      <c r="C449" s="60" t="str">
        <f t="shared" si="124"/>
        <v>A.070.03.305</v>
      </c>
      <c r="D449" s="51" t="s">
        <v>838</v>
      </c>
      <c r="E449" s="87" t="s">
        <v>840</v>
      </c>
      <c r="F449" s="63" t="str">
        <f t="shared" si="125"/>
        <v> BEV - lease segment E (22.2 kWh/100km) WTW (per km)</v>
      </c>
      <c r="G449" s="64">
        <v>0.014422956776000001</v>
      </c>
      <c r="H449" s="10">
        <f t="shared" si="126"/>
        <v>0.01442295678</v>
      </c>
      <c r="I449" s="65">
        <v>5.2728757E-4</v>
      </c>
      <c r="J449" s="65">
        <v>0.00108347274</v>
      </c>
      <c r="K449" s="65">
        <v>0.004913014266</v>
      </c>
      <c r="L449" s="65">
        <v>0.0078991822</v>
      </c>
      <c r="N449" s="66">
        <v>0.05266121466666667</v>
      </c>
      <c r="O449" s="10">
        <f t="shared" si="127"/>
        <v>0.05266121467</v>
      </c>
      <c r="Q449" s="67">
        <v>1.8414062</v>
      </c>
      <c r="S449" s="68">
        <v>0.0010994662</v>
      </c>
      <c r="T449" s="68">
        <v>0.0010283823</v>
      </c>
      <c r="U449" s="68">
        <v>4.4102557E-5</v>
      </c>
      <c r="V449" s="68">
        <v>2.6981402E-5</v>
      </c>
      <c r="X449" s="69">
        <v>3.4653886E-6</v>
      </c>
      <c r="Y449" s="77"/>
      <c r="Z449" s="72"/>
    </row>
    <row r="450" ht="12.75" customHeight="1">
      <c r="A450" s="1" t="s">
        <v>854</v>
      </c>
      <c r="B450" s="2" t="s">
        <v>826</v>
      </c>
      <c r="C450" s="60" t="str">
        <f t="shared" si="124"/>
        <v>A.070.03.401</v>
      </c>
      <c r="D450" s="51" t="s">
        <v>838</v>
      </c>
      <c r="E450" s="87" t="s">
        <v>840</v>
      </c>
      <c r="F450" s="63" t="str">
        <f t="shared" si="125"/>
        <v> Euro 6 diesel max emisions CO - NOx - PM - NMVOC per km</v>
      </c>
      <c r="G450" s="64">
        <v>0.0022391886199999997</v>
      </c>
      <c r="H450" s="10">
        <f t="shared" si="126"/>
        <v>0.00223918862</v>
      </c>
      <c r="I450" s="65">
        <v>0.001412142</v>
      </c>
      <c r="J450" s="65">
        <v>8.2704662E-4</v>
      </c>
      <c r="K450" s="65">
        <v>0.0</v>
      </c>
      <c r="L450" s="65">
        <v>0.0</v>
      </c>
      <c r="N450" s="66">
        <v>0.0</v>
      </c>
      <c r="O450" s="10">
        <f t="shared" si="127"/>
        <v>0</v>
      </c>
      <c r="Q450" s="67">
        <v>0.0</v>
      </c>
      <c r="S450" s="68">
        <v>2.1871568E-4</v>
      </c>
      <c r="T450" s="68">
        <v>2.1172171E-4</v>
      </c>
      <c r="U450" s="68">
        <v>6.9939717E-6</v>
      </c>
      <c r="V450" s="68">
        <v>0.0</v>
      </c>
      <c r="X450" s="69">
        <v>7.7209183E-7</v>
      </c>
      <c r="Y450" s="77"/>
      <c r="Z450" s="72"/>
    </row>
    <row r="451" ht="12.75" customHeight="1">
      <c r="A451" s="1" t="s">
        <v>855</v>
      </c>
      <c r="B451" s="2" t="s">
        <v>826</v>
      </c>
      <c r="C451" s="60" t="str">
        <f t="shared" si="124"/>
        <v>A.070.03.402</v>
      </c>
      <c r="D451" s="51" t="s">
        <v>838</v>
      </c>
      <c r="E451" s="87" t="s">
        <v>840</v>
      </c>
      <c r="F451" s="63" t="str">
        <f t="shared" si="125"/>
        <v> Euro 6 gasoline max emisions CO - NOx - PM - NMVOC per km</v>
      </c>
      <c r="G451" s="64">
        <v>0.0014424589700000002</v>
      </c>
      <c r="H451" s="10">
        <f t="shared" si="126"/>
        <v>0.00144245897</v>
      </c>
      <c r="I451" s="65">
        <v>8.221740000000001E-4</v>
      </c>
      <c r="J451" s="65">
        <v>6.2028497E-4</v>
      </c>
      <c r="K451" s="65">
        <v>0.0</v>
      </c>
      <c r="L451" s="65">
        <v>0.0</v>
      </c>
      <c r="N451" s="66">
        <v>0.0</v>
      </c>
      <c r="O451" s="10">
        <f t="shared" si="127"/>
        <v>0</v>
      </c>
      <c r="Q451" s="67">
        <v>0.0</v>
      </c>
      <c r="S451" s="68">
        <v>1.8305346E-4</v>
      </c>
      <c r="T451" s="68">
        <v>1.7832374E-4</v>
      </c>
      <c r="U451" s="68">
        <v>4.7297178E-6</v>
      </c>
      <c r="V451" s="68">
        <v>0.0</v>
      </c>
      <c r="X451" s="69">
        <v>5.8610239E-7</v>
      </c>
      <c r="Y451" s="77"/>
      <c r="Z451" s="72"/>
    </row>
    <row r="452" ht="12.75" customHeight="1">
      <c r="B452" s="2"/>
      <c r="C452" s="60"/>
      <c r="D452" s="75" t="s">
        <v>856</v>
      </c>
      <c r="E452" s="87"/>
      <c r="G452" s="10"/>
      <c r="H452" s="10"/>
      <c r="I452" s="10"/>
      <c r="J452" s="10"/>
      <c r="K452" s="10"/>
      <c r="L452" s="10"/>
      <c r="N452" s="10"/>
      <c r="O452" s="10"/>
      <c r="Q452" s="67"/>
      <c r="Y452" s="74"/>
      <c r="Z452" s="72"/>
    </row>
    <row r="453" ht="12.75" customHeight="1">
      <c r="A453" s="1" t="s">
        <v>857</v>
      </c>
      <c r="B453" s="2" t="s">
        <v>826</v>
      </c>
      <c r="C453" s="60" t="str">
        <f t="shared" ref="C453:C462" si="128">MID(A453,1,12)</f>
        <v>A.070.04.101</v>
      </c>
      <c r="D453" s="51" t="s">
        <v>856</v>
      </c>
      <c r="E453" s="62" t="s">
        <v>45</v>
      </c>
      <c r="F453" s="63" t="str">
        <f t="shared" ref="F453:F462" si="129">MID(A453, 21,85)</f>
        <v>biodiesel (palm oil methyl ester)</v>
      </c>
      <c r="G453" s="64">
        <v>0.8767400390344058</v>
      </c>
      <c r="H453" s="10">
        <f t="shared" ref="H453:H462" si="130">G453</f>
        <v>0.876740039</v>
      </c>
      <c r="I453" s="65">
        <v>0.012481455523</v>
      </c>
      <c r="J453" s="65">
        <v>0.6453308368999999</v>
      </c>
      <c r="K453" s="65">
        <v>0.02568242661140584</v>
      </c>
      <c r="L453" s="65">
        <v>0.19324532</v>
      </c>
      <c r="N453" s="66">
        <v>1.2883021333333333</v>
      </c>
      <c r="O453" s="10">
        <f t="shared" ref="O453:O462" si="131">N453</f>
        <v>1.288302133</v>
      </c>
      <c r="Q453" s="67">
        <v>51.679901</v>
      </c>
      <c r="S453" s="68">
        <v>0.030416106</v>
      </c>
      <c r="T453" s="68">
        <v>0.028491589</v>
      </c>
      <c r="U453" s="68">
        <v>0.0012298324</v>
      </c>
      <c r="V453" s="68">
        <v>6.9468378E-4</v>
      </c>
      <c r="X453" s="69">
        <v>6.0005575E-5</v>
      </c>
      <c r="Y453" s="77"/>
      <c r="Z453" s="48"/>
    </row>
    <row r="454" ht="12.75" customHeight="1">
      <c r="A454" s="1" t="s">
        <v>858</v>
      </c>
      <c r="B454" s="2" t="s">
        <v>826</v>
      </c>
      <c r="C454" s="60" t="str">
        <f t="shared" si="128"/>
        <v>A.070.04.102</v>
      </c>
      <c r="D454" s="51" t="s">
        <v>856</v>
      </c>
      <c r="E454" s="62" t="s">
        <v>45</v>
      </c>
      <c r="F454" s="63" t="str">
        <f t="shared" si="129"/>
        <v>biodiesel (rape methyl ester)</v>
      </c>
      <c r="G454" s="64">
        <v>0.5418923979586139</v>
      </c>
      <c r="H454" s="10">
        <f t="shared" si="130"/>
        <v>0.541892398</v>
      </c>
      <c r="I454" s="65">
        <v>0.008391042820000002</v>
      </c>
      <c r="J454" s="65">
        <v>0.39369207221400004</v>
      </c>
      <c r="K454" s="65">
        <v>0.009091902924613806</v>
      </c>
      <c r="L454" s="65">
        <v>0.13071738</v>
      </c>
      <c r="N454" s="66">
        <v>0.8714492</v>
      </c>
      <c r="O454" s="10">
        <f t="shared" si="131"/>
        <v>0.8714492</v>
      </c>
      <c r="Q454" s="67">
        <v>50.262955</v>
      </c>
      <c r="S454" s="68">
        <v>0.023076651</v>
      </c>
      <c r="T454" s="68">
        <v>0.02139561</v>
      </c>
      <c r="U454" s="68">
        <v>9.8122753E-4</v>
      </c>
      <c r="V454" s="68">
        <v>6.9981344E-4</v>
      </c>
      <c r="X454" s="69">
        <v>8.3543769E-5</v>
      </c>
      <c r="Y454" s="77"/>
      <c r="Z454" s="48"/>
    </row>
    <row r="455" ht="12.75" customHeight="1">
      <c r="A455" s="1" t="s">
        <v>859</v>
      </c>
      <c r="B455" s="2" t="s">
        <v>826</v>
      </c>
      <c r="C455" s="60" t="str">
        <f t="shared" si="128"/>
        <v>A.070.04.103</v>
      </c>
      <c r="D455" s="51" t="s">
        <v>856</v>
      </c>
      <c r="E455" s="62" t="s">
        <v>45</v>
      </c>
      <c r="F455" s="63" t="str">
        <f t="shared" si="129"/>
        <v>biodiesel (soybean ester 50% Brazil - 50% USA)</v>
      </c>
      <c r="G455" s="64">
        <v>0.9760621114091983</v>
      </c>
      <c r="H455" s="10">
        <f t="shared" si="130"/>
        <v>0.9760621114</v>
      </c>
      <c r="I455" s="65">
        <v>0.01391257995</v>
      </c>
      <c r="J455" s="65">
        <v>0.3586348253</v>
      </c>
      <c r="K455" s="65">
        <v>0.02472706615919823</v>
      </c>
      <c r="L455" s="65">
        <v>0.57878764</v>
      </c>
      <c r="N455" s="66">
        <v>3.858584266666667</v>
      </c>
      <c r="O455" s="10">
        <f t="shared" si="131"/>
        <v>3.858584267</v>
      </c>
      <c r="Q455" s="67">
        <v>52.954644</v>
      </c>
      <c r="S455" s="68">
        <v>0.066721561</v>
      </c>
      <c r="T455" s="68">
        <v>0.062876307</v>
      </c>
      <c r="U455" s="68">
        <v>0.0030174789</v>
      </c>
      <c r="V455" s="68">
        <v>8.2777513E-4</v>
      </c>
      <c r="X455" s="69">
        <v>1.3174833E-4</v>
      </c>
      <c r="Y455" s="77"/>
      <c r="Z455" s="48"/>
    </row>
    <row r="456" ht="12.75" customHeight="1">
      <c r="A456" s="1" t="s">
        <v>860</v>
      </c>
      <c r="B456" s="2" t="s">
        <v>826</v>
      </c>
      <c r="C456" s="60" t="str">
        <f t="shared" si="128"/>
        <v>A.070.04.104</v>
      </c>
      <c r="D456" s="51" t="s">
        <v>856</v>
      </c>
      <c r="E456" s="62" t="s">
        <v>45</v>
      </c>
      <c r="F456" s="63" t="str">
        <f t="shared" si="129"/>
        <v>biodiesel (soybean ester 100% USA)</v>
      </c>
      <c r="G456" s="64">
        <v>0.176640060294393</v>
      </c>
      <c r="H456" s="10">
        <f t="shared" si="130"/>
        <v>0.1766400603</v>
      </c>
      <c r="I456" s="65">
        <v>0.011925633894</v>
      </c>
      <c r="J456" s="65">
        <v>0.02772147698</v>
      </c>
      <c r="K456" s="65">
        <v>0.021292069420393005</v>
      </c>
      <c r="L456" s="65">
        <v>0.11570088</v>
      </c>
      <c r="N456" s="66">
        <v>0.7713392000000001</v>
      </c>
      <c r="O456" s="10">
        <f t="shared" si="131"/>
        <v>0.7713392</v>
      </c>
      <c r="Q456" s="67">
        <v>52.07901</v>
      </c>
      <c r="S456" s="68">
        <v>0.016249501</v>
      </c>
      <c r="T456" s="68">
        <v>0.014807302</v>
      </c>
      <c r="U456" s="68">
        <v>6.7149871E-4</v>
      </c>
      <c r="V456" s="68">
        <v>7.7070065E-4</v>
      </c>
      <c r="X456" s="69">
        <v>4.4019233E-5</v>
      </c>
      <c r="Y456" s="70"/>
      <c r="Z456" s="48"/>
    </row>
    <row r="457" ht="12.75" customHeight="1">
      <c r="A457" s="1" t="s">
        <v>861</v>
      </c>
      <c r="B457" s="2" t="s">
        <v>826</v>
      </c>
      <c r="C457" s="60" t="str">
        <f t="shared" si="128"/>
        <v>A.070.04.105</v>
      </c>
      <c r="D457" s="51" t="s">
        <v>856</v>
      </c>
      <c r="E457" s="62" t="s">
        <v>45</v>
      </c>
      <c r="F457" s="63" t="str">
        <f t="shared" si="129"/>
        <v>ethanol</v>
      </c>
      <c r="G457" s="64">
        <v>0.24961983197897514</v>
      </c>
      <c r="H457" s="10">
        <f t="shared" si="130"/>
        <v>0.249619832</v>
      </c>
      <c r="I457" s="65">
        <v>0.01016679368</v>
      </c>
      <c r="J457" s="65">
        <v>0.015249830925999998</v>
      </c>
      <c r="K457" s="65">
        <v>0.009412617372975142</v>
      </c>
      <c r="L457" s="65">
        <v>0.21479059</v>
      </c>
      <c r="N457" s="66">
        <v>1.4319372666666668</v>
      </c>
      <c r="O457" s="10">
        <f t="shared" si="131"/>
        <v>1.431937267</v>
      </c>
      <c r="Q457" s="67">
        <v>51.06902</v>
      </c>
      <c r="S457" s="68">
        <v>0.026737616</v>
      </c>
      <c r="T457" s="68">
        <v>0.024241576</v>
      </c>
      <c r="U457" s="68">
        <v>0.0011325477</v>
      </c>
      <c r="V457" s="68">
        <v>0.0013634929</v>
      </c>
      <c r="X457" s="69">
        <v>7.0535535E-5</v>
      </c>
      <c r="Y457" s="70"/>
      <c r="Z457" s="48"/>
    </row>
    <row r="458" ht="12.75" customHeight="1">
      <c r="A458" s="1" t="s">
        <v>862</v>
      </c>
      <c r="B458" s="2" t="s">
        <v>826</v>
      </c>
      <c r="C458" s="60" t="str">
        <f t="shared" si="128"/>
        <v>A.070.04.106</v>
      </c>
      <c r="D458" s="51" t="s">
        <v>856</v>
      </c>
      <c r="E458" s="62" t="s">
        <v>45</v>
      </c>
      <c r="F458" s="63" t="str">
        <f t="shared" si="129"/>
        <v>petrol (85% ethanol)</v>
      </c>
      <c r="G458" s="64">
        <v>0.2882314390155274</v>
      </c>
      <c r="H458" s="10">
        <f t="shared" si="130"/>
        <v>0.288231439</v>
      </c>
      <c r="I458" s="65">
        <v>0.011530700670000001</v>
      </c>
      <c r="J458" s="65">
        <v>0.020985739352000002</v>
      </c>
      <c r="K458" s="65">
        <v>0.05480549899352737</v>
      </c>
      <c r="L458" s="65">
        <v>0.2009095</v>
      </c>
      <c r="N458" s="66">
        <v>1.3393966666666666</v>
      </c>
      <c r="O458" s="10">
        <f t="shared" si="131"/>
        <v>1.339396667</v>
      </c>
      <c r="Q458" s="67">
        <v>52.292402</v>
      </c>
      <c r="S458" s="68">
        <v>0.02683055</v>
      </c>
      <c r="T458" s="68">
        <v>0.023969672</v>
      </c>
      <c r="U458" s="68">
        <v>0.0010861464</v>
      </c>
      <c r="V458" s="68">
        <v>0.0017747311</v>
      </c>
      <c r="X458" s="69">
        <v>7.6172388E-5</v>
      </c>
      <c r="Y458" s="70"/>
      <c r="Z458" s="48"/>
    </row>
    <row r="459" ht="12.75" customHeight="1">
      <c r="A459" s="1" t="s">
        <v>863</v>
      </c>
      <c r="B459" s="2" t="s">
        <v>826</v>
      </c>
      <c r="C459" s="60" t="str">
        <f t="shared" si="128"/>
        <v>A.070.04.107</v>
      </c>
      <c r="D459" s="51" t="s">
        <v>856</v>
      </c>
      <c r="E459" s="62" t="s">
        <v>45</v>
      </c>
      <c r="F459" s="63" t="str">
        <f t="shared" si="129"/>
        <v>Diesel B100 (FAME)</v>
      </c>
      <c r="G459" s="64">
        <v>0.176640060294393</v>
      </c>
      <c r="H459" s="10">
        <f t="shared" si="130"/>
        <v>0.1766400603</v>
      </c>
      <c r="I459" s="65">
        <v>0.011925633894</v>
      </c>
      <c r="J459" s="65">
        <v>0.02772147698</v>
      </c>
      <c r="K459" s="65">
        <v>0.021292069420393005</v>
      </c>
      <c r="L459" s="65">
        <v>0.11570088</v>
      </c>
      <c r="N459" s="66">
        <v>0.7713392000000001</v>
      </c>
      <c r="O459" s="10">
        <f t="shared" si="131"/>
        <v>0.7713392</v>
      </c>
      <c r="Q459" s="67">
        <v>52.07901</v>
      </c>
      <c r="S459" s="68">
        <v>0.016249501</v>
      </c>
      <c r="T459" s="68">
        <v>0.014807302</v>
      </c>
      <c r="U459" s="68">
        <v>6.7149871E-4</v>
      </c>
      <c r="V459" s="68">
        <v>7.7070065E-4</v>
      </c>
      <c r="X459" s="69">
        <v>4.4019233E-5</v>
      </c>
      <c r="Y459" s="70"/>
      <c r="Z459" s="48"/>
    </row>
    <row r="460" ht="12.75" customHeight="1">
      <c r="A460" s="1" t="s">
        <v>864</v>
      </c>
      <c r="B460" s="2" t="s">
        <v>826</v>
      </c>
      <c r="C460" s="60" t="str">
        <f t="shared" si="128"/>
        <v>A.070.04.108</v>
      </c>
      <c r="D460" s="51" t="s">
        <v>856</v>
      </c>
      <c r="E460" s="62" t="s">
        <v>45</v>
      </c>
      <c r="F460" s="63" t="str">
        <f t="shared" si="129"/>
        <v>Diesel XTL (HVO) from USA soybean oil in Europe</v>
      </c>
      <c r="G460" s="64">
        <v>0.20677355889631122</v>
      </c>
      <c r="H460" s="10">
        <f t="shared" si="130"/>
        <v>0.2067735589</v>
      </c>
      <c r="I460" s="65">
        <v>0.013733404642000001</v>
      </c>
      <c r="J460" s="65">
        <v>0.019589046799000004</v>
      </c>
      <c r="K460" s="65">
        <v>0.024474217455311226</v>
      </c>
      <c r="L460" s="65">
        <v>0.14897689</v>
      </c>
      <c r="N460" s="66">
        <v>0.9931792666666667</v>
      </c>
      <c r="O460" s="10">
        <f t="shared" si="131"/>
        <v>0.9931792667</v>
      </c>
      <c r="Q460" s="67">
        <v>57.690642</v>
      </c>
      <c r="S460" s="68">
        <v>0.019952476</v>
      </c>
      <c r="T460" s="68">
        <v>0.018259383</v>
      </c>
      <c r="U460" s="68">
        <v>8.4336349E-4</v>
      </c>
      <c r="V460" s="68">
        <v>8.4972933E-4</v>
      </c>
      <c r="X460" s="69">
        <v>5.1045384E-5</v>
      </c>
      <c r="Y460" s="70"/>
      <c r="Z460" s="48"/>
    </row>
    <row r="461" ht="12.75" customHeight="1">
      <c r="A461" s="1" t="s">
        <v>865</v>
      </c>
      <c r="B461" s="2" t="s">
        <v>826</v>
      </c>
      <c r="C461" s="60" t="str">
        <f t="shared" si="128"/>
        <v>A.070.04.109</v>
      </c>
      <c r="D461" s="51" t="s">
        <v>856</v>
      </c>
      <c r="E461" s="62" t="s">
        <v>45</v>
      </c>
      <c r="F461" s="63" t="str">
        <f t="shared" si="129"/>
        <v>Diesel XTL (HVO) from agricultural waste</v>
      </c>
      <c r="G461" s="64">
        <v>0.10530053478729959</v>
      </c>
      <c r="H461" s="10">
        <f t="shared" si="130"/>
        <v>0.1053005348</v>
      </c>
      <c r="I461" s="65">
        <v>0.005348742179</v>
      </c>
      <c r="J461" s="65">
        <v>0.008670246319</v>
      </c>
      <c r="K461" s="65">
        <v>0.010034430289299595</v>
      </c>
      <c r="L461" s="65">
        <v>0.081247116</v>
      </c>
      <c r="N461" s="66">
        <v>0.54164744</v>
      </c>
      <c r="O461" s="10">
        <f t="shared" si="131"/>
        <v>0.54164744</v>
      </c>
      <c r="Q461" s="67">
        <v>52.229517</v>
      </c>
      <c r="S461" s="68">
        <v>0.010639939</v>
      </c>
      <c r="T461" s="68">
        <v>0.0096491138</v>
      </c>
      <c r="U461" s="68">
        <v>4.4071627E-4</v>
      </c>
      <c r="V461" s="68">
        <v>5.5010914E-4</v>
      </c>
      <c r="X461" s="69">
        <v>2.7442579E-5</v>
      </c>
      <c r="Y461" s="70"/>
      <c r="Z461" s="72"/>
    </row>
    <row r="462" ht="12.75" customHeight="1">
      <c r="A462" s="1" t="s">
        <v>866</v>
      </c>
      <c r="B462" s="2" t="s">
        <v>826</v>
      </c>
      <c r="C462" s="60" t="str">
        <f t="shared" si="128"/>
        <v>A.070.04.110</v>
      </c>
      <c r="D462" s="51" t="s">
        <v>856</v>
      </c>
      <c r="E462" s="62" t="s">
        <v>45</v>
      </c>
      <c r="F462" s="63" t="str">
        <f t="shared" si="129"/>
        <v>Diesel XTL (HVO) from tallow (waste)</v>
      </c>
      <c r="G462" s="64">
        <v>0.08353467916929291</v>
      </c>
      <c r="H462" s="10">
        <f t="shared" si="130"/>
        <v>0.08353467917</v>
      </c>
      <c r="I462" s="65">
        <v>0.004255168626</v>
      </c>
      <c r="J462" s="65">
        <v>0.007938807257999999</v>
      </c>
      <c r="K462" s="65">
        <v>0.01207899528529292</v>
      </c>
      <c r="L462" s="65">
        <v>0.059261708</v>
      </c>
      <c r="N462" s="66">
        <v>0.39507805333333335</v>
      </c>
      <c r="O462" s="10">
        <f t="shared" si="131"/>
        <v>0.3950780533</v>
      </c>
      <c r="Q462" s="67">
        <v>50.002115</v>
      </c>
      <c r="S462" s="68">
        <v>0.0081583604</v>
      </c>
      <c r="T462" s="68">
        <v>0.0074333052</v>
      </c>
      <c r="U462" s="68">
        <v>3.296097E-4</v>
      </c>
      <c r="V462" s="68">
        <v>3.9544549E-4</v>
      </c>
      <c r="X462" s="69">
        <v>2.0380052E-5</v>
      </c>
      <c r="Y462" s="77"/>
      <c r="Z462" s="72"/>
    </row>
    <row r="463" ht="12.75" customHeight="1">
      <c r="B463" s="2"/>
      <c r="C463" s="60"/>
      <c r="D463" s="75" t="s">
        <v>867</v>
      </c>
      <c r="E463" s="62"/>
      <c r="G463" s="10"/>
      <c r="H463" s="10"/>
      <c r="I463" s="10"/>
      <c r="J463" s="10"/>
      <c r="K463" s="10"/>
      <c r="L463" s="10"/>
      <c r="N463" s="10"/>
      <c r="O463" s="10"/>
      <c r="Q463" s="67"/>
      <c r="Y463" s="74"/>
      <c r="Z463" s="72"/>
    </row>
    <row r="464" ht="12.75" customHeight="1">
      <c r="A464" s="1" t="s">
        <v>868</v>
      </c>
      <c r="B464" s="2" t="s">
        <v>826</v>
      </c>
      <c r="C464" s="60" t="str">
        <f t="shared" ref="C464:C468" si="132">MID(A464,1,12)</f>
        <v>A.070.06.101</v>
      </c>
      <c r="D464" s="51" t="s">
        <v>867</v>
      </c>
      <c r="E464" s="62" t="s">
        <v>45</v>
      </c>
      <c r="F464" s="63" t="str">
        <f t="shared" ref="F464:F468" si="133">MID(A464, 21,85)</f>
        <v>Anthracite coal  at mine (30.7MJ/kg)</v>
      </c>
      <c r="G464" s="64">
        <v>0.0136647991125</v>
      </c>
      <c r="H464" s="10">
        <f t="shared" ref="H464:H468" si="134">G464</f>
        <v>0.01366479911</v>
      </c>
      <c r="I464" s="65">
        <v>3.158700959E-4</v>
      </c>
      <c r="J464" s="65">
        <v>4.6700125349999995E-4</v>
      </c>
      <c r="K464" s="65">
        <v>0.0017335467631</v>
      </c>
      <c r="L464" s="65">
        <v>0.011148381</v>
      </c>
      <c r="N464" s="66">
        <v>0.07432254</v>
      </c>
      <c r="O464" s="10">
        <f t="shared" ref="O464:O468" si="135">N464</f>
        <v>0.07432254</v>
      </c>
      <c r="Q464" s="67">
        <v>41.460943</v>
      </c>
      <c r="S464" s="68">
        <v>0.0019651136</v>
      </c>
      <c r="T464" s="68">
        <v>0.0013557491</v>
      </c>
      <c r="U464" s="68">
        <v>6.4933415E-5</v>
      </c>
      <c r="V464" s="68">
        <v>5.444311E-4</v>
      </c>
      <c r="X464" s="69">
        <v>5.2623412E-5</v>
      </c>
      <c r="Y464" s="70"/>
      <c r="Z464" s="72"/>
    </row>
    <row r="465" ht="12.75" customHeight="1">
      <c r="A465" s="1" t="s">
        <v>869</v>
      </c>
      <c r="B465" s="2" t="s">
        <v>826</v>
      </c>
      <c r="C465" s="60" t="str">
        <f t="shared" si="132"/>
        <v>A.070.06.102</v>
      </c>
      <c r="D465" s="51" t="s">
        <v>867</v>
      </c>
      <c r="E465" s="62" t="s">
        <v>45</v>
      </c>
      <c r="F465" s="63" t="str">
        <f t="shared" si="133"/>
        <v>Anthracite coal (30.7 MJ/kg) - including combustion CO2</v>
      </c>
      <c r="G465" s="64">
        <v>0.6239238597584</v>
      </c>
      <c r="H465" s="10">
        <f t="shared" si="134"/>
        <v>0.6239238598</v>
      </c>
      <c r="I465" s="65">
        <v>0.0395087103395</v>
      </c>
      <c r="J465" s="65">
        <v>0.0471133726868</v>
      </c>
      <c r="K465" s="65">
        <v>0.0020688067321</v>
      </c>
      <c r="L465" s="65">
        <v>0.53523297</v>
      </c>
      <c r="N465" s="66">
        <v>3.5682198000000005</v>
      </c>
      <c r="O465" s="10">
        <f t="shared" si="135"/>
        <v>3.5682198</v>
      </c>
      <c r="Q465" s="67">
        <v>41.521524</v>
      </c>
      <c r="S465" s="68">
        <v>0.066543312</v>
      </c>
      <c r="T465" s="68">
        <v>0.062928959</v>
      </c>
      <c r="U465" s="68">
        <v>0.0030657287</v>
      </c>
      <c r="V465" s="68">
        <v>5.486238E-4</v>
      </c>
      <c r="X465" s="69">
        <v>1.7393821E-4</v>
      </c>
      <c r="Y465" s="70"/>
      <c r="Z465" s="48"/>
    </row>
    <row r="466" ht="12.75" customHeight="1">
      <c r="A466" s="1" t="s">
        <v>870</v>
      </c>
      <c r="B466" s="2" t="s">
        <v>826</v>
      </c>
      <c r="C466" s="60" t="str">
        <f t="shared" si="132"/>
        <v>A.070.06.103</v>
      </c>
      <c r="D466" s="51" t="s">
        <v>867</v>
      </c>
      <c r="E466" s="62" t="s">
        <v>45</v>
      </c>
      <c r="F466" s="63" t="str">
        <f t="shared" si="133"/>
        <v>Bituminous coal  at mine US (26.4 MJ/kg)</v>
      </c>
      <c r="G466" s="64">
        <v>0.0298546979086</v>
      </c>
      <c r="H466" s="10">
        <f t="shared" si="134"/>
        <v>0.02985469791</v>
      </c>
      <c r="I466" s="65">
        <v>6.377177226E-4</v>
      </c>
      <c r="J466" s="65">
        <v>7.146607599999999E-4</v>
      </c>
      <c r="K466" s="65">
        <v>0.0032458814260000004</v>
      </c>
      <c r="L466" s="65">
        <v>0.025256438</v>
      </c>
      <c r="N466" s="66">
        <v>0.16837625333333334</v>
      </c>
      <c r="O466" s="10">
        <f t="shared" si="135"/>
        <v>0.1683762533</v>
      </c>
      <c r="Q466" s="67">
        <v>35.161073</v>
      </c>
      <c r="S466" s="68">
        <v>0.003714243</v>
      </c>
      <c r="T466" s="68">
        <v>0.0030871209</v>
      </c>
      <c r="U466" s="68">
        <v>1.4849955E-4</v>
      </c>
      <c r="V466" s="68">
        <v>4.7862258E-4</v>
      </c>
      <c r="X466" s="69">
        <v>4.7648146E-5</v>
      </c>
      <c r="Y466" s="70"/>
      <c r="Z466" s="72"/>
    </row>
    <row r="467" ht="12.75" customHeight="1">
      <c r="A467" s="1" t="s">
        <v>871</v>
      </c>
      <c r="B467" s="2" t="s">
        <v>826</v>
      </c>
      <c r="C467" s="60" t="str">
        <f t="shared" si="132"/>
        <v>A.070.06.104</v>
      </c>
      <c r="D467" s="51" t="s">
        <v>867</v>
      </c>
      <c r="E467" s="62" t="s">
        <v>45</v>
      </c>
      <c r="F467" s="63" t="str">
        <f t="shared" si="133"/>
        <v>Bituminous coal (26.4 MJ/kg) US  - including combustion CO2</v>
      </c>
      <c r="G467" s="64">
        <v>0.5677466842707</v>
      </c>
      <c r="H467" s="10">
        <f t="shared" si="134"/>
        <v>0.5677466843</v>
      </c>
      <c r="I467" s="65">
        <v>0.0398678189947</v>
      </c>
      <c r="J467" s="65">
        <v>0.111576923878</v>
      </c>
      <c r="K467" s="65">
        <v>0.004084031398</v>
      </c>
      <c r="L467" s="65">
        <v>0.41221791</v>
      </c>
      <c r="N467" s="66">
        <v>2.7481194</v>
      </c>
      <c r="O467" s="10">
        <f t="shared" si="135"/>
        <v>2.7481194</v>
      </c>
      <c r="Q467" s="67">
        <v>35.312524</v>
      </c>
      <c r="S467" s="68">
        <v>0.073262289</v>
      </c>
      <c r="T467" s="68">
        <v>0.069948945</v>
      </c>
      <c r="U467" s="68">
        <v>0.0028242396</v>
      </c>
      <c r="V467" s="68">
        <v>4.8910431E-4</v>
      </c>
      <c r="X467" s="69">
        <v>1.6127635E-4</v>
      </c>
      <c r="Y467" s="70"/>
      <c r="Z467" s="48"/>
    </row>
    <row r="468" ht="12.75" customHeight="1">
      <c r="A468" s="1" t="s">
        <v>872</v>
      </c>
      <c r="B468" s="2" t="s">
        <v>826</v>
      </c>
      <c r="C468" s="60" t="str">
        <f t="shared" si="132"/>
        <v>A.070.06.105</v>
      </c>
      <c r="D468" s="51" t="s">
        <v>867</v>
      </c>
      <c r="E468" s="62" t="s">
        <v>45</v>
      </c>
      <c r="F468" s="63" t="str">
        <f t="shared" si="133"/>
        <v>Hard coal at mine (open pit mine) Indonesia</v>
      </c>
      <c r="G468" s="64">
        <v>0.0471</v>
      </c>
      <c r="H468" s="10">
        <f t="shared" si="134"/>
        <v>0.0471</v>
      </c>
      <c r="I468" s="65">
        <v>0.0</v>
      </c>
      <c r="J468" s="65">
        <v>0.0</v>
      </c>
      <c r="K468" s="65">
        <v>0.0</v>
      </c>
      <c r="L468" s="65">
        <v>0.0471</v>
      </c>
      <c r="N468" s="66">
        <v>0.31400000000000006</v>
      </c>
      <c r="O468" s="10">
        <f t="shared" si="135"/>
        <v>0.314</v>
      </c>
      <c r="Q468" s="67">
        <v>0.0</v>
      </c>
      <c r="S468" s="68">
        <v>0.0050981607</v>
      </c>
      <c r="T468" s="68">
        <v>0.0048604186</v>
      </c>
      <c r="U468" s="68">
        <v>2.3774218E-4</v>
      </c>
      <c r="V468" s="68">
        <v>0.0</v>
      </c>
      <c r="X468" s="69">
        <v>8.7551532E-6</v>
      </c>
      <c r="Y468" s="70"/>
      <c r="Z468" s="48"/>
    </row>
    <row r="469" ht="12.75" customHeight="1">
      <c r="B469" s="2"/>
      <c r="C469" s="60"/>
      <c r="D469" s="75" t="s">
        <v>873</v>
      </c>
      <c r="E469" s="62"/>
      <c r="G469" s="10"/>
      <c r="H469" s="10"/>
      <c r="I469" s="10"/>
      <c r="J469" s="10"/>
      <c r="K469" s="10"/>
      <c r="L469" s="10"/>
      <c r="N469" s="10"/>
      <c r="O469" s="10"/>
      <c r="Q469" s="67"/>
      <c r="Y469" s="71"/>
      <c r="Z469" s="48"/>
    </row>
    <row r="470" ht="12.75" customHeight="1">
      <c r="A470" s="1" t="s">
        <v>874</v>
      </c>
      <c r="B470" s="2" t="s">
        <v>826</v>
      </c>
      <c r="C470" s="60" t="str">
        <f t="shared" ref="C470:C471" si="136">MID(A470,1,12)</f>
        <v>A.070.07.101</v>
      </c>
      <c r="D470" s="51" t="s">
        <v>873</v>
      </c>
      <c r="E470" s="62" t="s">
        <v>45</v>
      </c>
      <c r="F470" s="63" t="str">
        <f t="shared" ref="F470:F471" si="137">MID(A470, 21,85)</f>
        <v>Lignite at open pit mine - excluding combustion</v>
      </c>
      <c r="G470" s="64">
        <v>0.011413613491590001</v>
      </c>
      <c r="H470" s="10">
        <f t="shared" ref="H470:H471" si="138">G470</f>
        <v>0.01141361349</v>
      </c>
      <c r="I470" s="65">
        <v>0.00159825783957</v>
      </c>
      <c r="J470" s="65">
        <v>0.0023845118055</v>
      </c>
      <c r="K470" s="65">
        <v>6.5498174652E-4</v>
      </c>
      <c r="L470" s="65">
        <v>0.0067758621</v>
      </c>
      <c r="N470" s="66">
        <v>0.045172414</v>
      </c>
      <c r="O470" s="10">
        <f t="shared" ref="O470:O471" si="139">N470</f>
        <v>0.045172414</v>
      </c>
      <c r="Q470" s="67">
        <v>10.071461</v>
      </c>
      <c r="S470" s="68">
        <v>0.0016718641</v>
      </c>
      <c r="T470" s="68">
        <v>0.0016181931</v>
      </c>
      <c r="U470" s="68">
        <v>4.6822333E-5</v>
      </c>
      <c r="V470" s="68">
        <v>6.8486625E-6</v>
      </c>
      <c r="X470" s="69">
        <v>1.5250999E-5</v>
      </c>
      <c r="Y470" s="70"/>
      <c r="Z470" s="48"/>
    </row>
    <row r="471" ht="12.75" customHeight="1">
      <c r="A471" s="1" t="s">
        <v>875</v>
      </c>
      <c r="B471" s="2" t="s">
        <v>826</v>
      </c>
      <c r="C471" s="60" t="str">
        <f t="shared" si="136"/>
        <v>A.070.07.102</v>
      </c>
      <c r="D471" s="51" t="s">
        <v>873</v>
      </c>
      <c r="E471" s="62" t="s">
        <v>45</v>
      </c>
      <c r="F471" s="63" t="str">
        <f t="shared" si="137"/>
        <v>Lignite at open pit mine (high eff) Poland incl land-use change</v>
      </c>
      <c r="G471" s="64">
        <v>0.007622354392348998</v>
      </c>
      <c r="H471" s="10">
        <f t="shared" si="138"/>
        <v>0.007622354392</v>
      </c>
      <c r="I471" s="65">
        <v>8.673797574900001E-5</v>
      </c>
      <c r="J471" s="65">
        <v>0.0045702988832999995</v>
      </c>
      <c r="K471" s="65">
        <v>5.65665333E-5</v>
      </c>
      <c r="L471" s="65">
        <v>0.002908751</v>
      </c>
      <c r="N471" s="66">
        <v>0.01939167333333333</v>
      </c>
      <c r="O471" s="10">
        <f t="shared" si="139"/>
        <v>0.01939167333</v>
      </c>
      <c r="Q471" s="67">
        <v>0.25432465</v>
      </c>
      <c r="S471" s="68">
        <v>3.6087406E-4</v>
      </c>
      <c r="T471" s="68">
        <v>3.3983842E-4</v>
      </c>
      <c r="U471" s="68">
        <v>1.5475054E-5</v>
      </c>
      <c r="V471" s="68">
        <v>5.5605874E-6</v>
      </c>
      <c r="X471" s="69">
        <v>8.5505838E-7</v>
      </c>
      <c r="Y471" s="70"/>
      <c r="Z471" s="48"/>
    </row>
    <row r="472" ht="12.75" customHeight="1">
      <c r="B472" s="2"/>
      <c r="C472" s="60"/>
      <c r="D472" s="75" t="s">
        <v>876</v>
      </c>
      <c r="E472" s="62"/>
      <c r="G472" s="10"/>
      <c r="H472" s="10"/>
      <c r="I472" s="10"/>
      <c r="J472" s="10"/>
      <c r="K472" s="10"/>
      <c r="L472" s="10"/>
      <c r="N472" s="10"/>
      <c r="O472" s="10"/>
      <c r="Q472" s="67"/>
      <c r="Y472" s="71"/>
      <c r="Z472" s="72"/>
    </row>
    <row r="473" ht="12.75" customHeight="1">
      <c r="A473" s="1" t="s">
        <v>877</v>
      </c>
      <c r="B473" s="2" t="s">
        <v>826</v>
      </c>
      <c r="C473" s="60" t="str">
        <f t="shared" ref="C473:C475" si="140">MID(A473,1,12)</f>
        <v>A.070.08.101</v>
      </c>
      <c r="D473" s="51" t="s">
        <v>876</v>
      </c>
      <c r="E473" s="62" t="s">
        <v>45</v>
      </c>
      <c r="F473" s="63" t="str">
        <f t="shared" ref="F473:F475" si="141">MID(A473, 21,85)</f>
        <v>LPG for chemical feedstock</v>
      </c>
      <c r="G473" s="64">
        <v>0.119195355576346</v>
      </c>
      <c r="H473" s="10">
        <f t="shared" ref="H473:H475" si="142">G473</f>
        <v>0.1191953556</v>
      </c>
      <c r="I473" s="65">
        <v>0.023447678656345998</v>
      </c>
      <c r="J473" s="65">
        <v>0.04136230922</v>
      </c>
      <c r="K473" s="65">
        <v>0.0018853677</v>
      </c>
      <c r="L473" s="65">
        <v>0.0525</v>
      </c>
      <c r="N473" s="66">
        <v>0.35</v>
      </c>
      <c r="O473" s="10">
        <f t="shared" ref="O473:O475" si="143">N473</f>
        <v>0.35</v>
      </c>
      <c r="Q473" s="67">
        <v>52.756089</v>
      </c>
      <c r="S473" s="68">
        <v>0.018685444</v>
      </c>
      <c r="T473" s="68">
        <v>0.014396053</v>
      </c>
      <c r="U473" s="68">
        <v>5.410043E-4</v>
      </c>
      <c r="V473" s="68">
        <v>0.0037483864</v>
      </c>
      <c r="X473" s="69">
        <v>9.2310897E-5</v>
      </c>
      <c r="Y473" s="70"/>
      <c r="Z473" s="72"/>
    </row>
    <row r="474" ht="12.75" customHeight="1">
      <c r="A474" s="1" t="s">
        <v>878</v>
      </c>
      <c r="B474" s="2" t="s">
        <v>826</v>
      </c>
      <c r="C474" s="60" t="str">
        <f t="shared" si="140"/>
        <v>A.070.08.102</v>
      </c>
      <c r="D474" s="51" t="s">
        <v>876</v>
      </c>
      <c r="E474" s="62" t="s">
        <v>45</v>
      </c>
      <c r="F474" s="63" t="str">
        <f t="shared" si="141"/>
        <v>LPG for transport - excluding combustion</v>
      </c>
      <c r="G474" s="64">
        <v>0.429195358576346</v>
      </c>
      <c r="H474" s="10">
        <f t="shared" si="142"/>
        <v>0.4291953586</v>
      </c>
      <c r="I474" s="65">
        <v>0.023447678656345998</v>
      </c>
      <c r="J474" s="65">
        <v>0.04136230922</v>
      </c>
      <c r="K474" s="65">
        <v>0.3118853707</v>
      </c>
      <c r="L474" s="65">
        <v>0.0525</v>
      </c>
      <c r="N474" s="66">
        <v>0.35</v>
      </c>
      <c r="O474" s="10">
        <f t="shared" si="143"/>
        <v>0.35</v>
      </c>
      <c r="Q474" s="67">
        <v>52.756089</v>
      </c>
      <c r="S474" s="68">
        <v>0.018675684</v>
      </c>
      <c r="T474" s="68">
        <v>0.014396053</v>
      </c>
      <c r="U474" s="68">
        <v>5.3124459E-4</v>
      </c>
      <c r="V474" s="68">
        <v>0.0037483864</v>
      </c>
      <c r="X474" s="69">
        <v>9.223108E-5</v>
      </c>
      <c r="Y474" s="70"/>
      <c r="Z474" s="72"/>
    </row>
    <row r="475" ht="12.75" customHeight="1">
      <c r="A475" s="1" t="s">
        <v>879</v>
      </c>
      <c r="B475" s="2" t="s">
        <v>826</v>
      </c>
      <c r="C475" s="60" t="str">
        <f t="shared" si="140"/>
        <v>A.070.08.103</v>
      </c>
      <c r="D475" s="51" t="s">
        <v>876</v>
      </c>
      <c r="E475" s="62" t="s">
        <v>45</v>
      </c>
      <c r="F475" s="63" t="str">
        <f t="shared" si="141"/>
        <v>LPG for transport - including combustion CO2</v>
      </c>
      <c r="G475" s="64">
        <v>0.880695358576346</v>
      </c>
      <c r="H475" s="10">
        <f t="shared" si="142"/>
        <v>0.8806953586</v>
      </c>
      <c r="I475" s="65">
        <v>0.023447678656345998</v>
      </c>
      <c r="J475" s="65">
        <v>0.04136230922</v>
      </c>
      <c r="K475" s="65">
        <v>0.3118853707</v>
      </c>
      <c r="L475" s="65">
        <v>0.504</v>
      </c>
      <c r="N475" s="66">
        <v>3.3600000000000003</v>
      </c>
      <c r="O475" s="10">
        <f t="shared" si="143"/>
        <v>3.36</v>
      </c>
      <c r="Q475" s="67">
        <v>52.756089</v>
      </c>
      <c r="S475" s="68">
        <v>0.067546588</v>
      </c>
      <c r="T475" s="68">
        <v>0.060987963</v>
      </c>
      <c r="U475" s="68">
        <v>0.0028102381</v>
      </c>
      <c r="V475" s="68">
        <v>0.0037483864</v>
      </c>
      <c r="X475" s="69">
        <v>1.7615787E-4</v>
      </c>
      <c r="Y475" s="70"/>
      <c r="Z475" s="72"/>
    </row>
    <row r="476" ht="12.75" customHeight="1">
      <c r="B476" s="2"/>
      <c r="C476" s="60"/>
      <c r="D476" s="75" t="s">
        <v>880</v>
      </c>
      <c r="E476" s="62"/>
      <c r="G476" s="10"/>
      <c r="H476" s="10"/>
      <c r="I476" s="10"/>
      <c r="J476" s="10"/>
      <c r="K476" s="10"/>
      <c r="L476" s="10"/>
      <c r="N476" s="10"/>
      <c r="O476" s="10"/>
      <c r="Q476" s="67"/>
      <c r="Y476" s="71"/>
      <c r="Z476" s="72"/>
    </row>
    <row r="477" ht="12.75" customHeight="1">
      <c r="A477" s="1" t="s">
        <v>881</v>
      </c>
      <c r="B477" s="2" t="s">
        <v>826</v>
      </c>
      <c r="C477" s="60" t="str">
        <f t="shared" ref="C477:C484" si="144">MID(A477,1,12)</f>
        <v>A.070.09.101</v>
      </c>
      <c r="D477" s="51" t="s">
        <v>880</v>
      </c>
      <c r="E477" s="62" t="s">
        <v>45</v>
      </c>
      <c r="F477" s="63" t="str">
        <f t="shared" ref="F477:F484" si="145">MID(A477, 21,85)</f>
        <v>CNG (compressed natural gas) for transport - excl. combustion</v>
      </c>
      <c r="G477" s="64">
        <v>0.554246062836</v>
      </c>
      <c r="H477" s="10">
        <f t="shared" ref="H477:H484" si="146">G477</f>
        <v>0.5542460628</v>
      </c>
      <c r="I477" s="65">
        <v>0.02645698961</v>
      </c>
      <c r="J477" s="65">
        <v>0.037915694555999996</v>
      </c>
      <c r="K477" s="65">
        <v>0.31576639867</v>
      </c>
      <c r="L477" s="65">
        <v>0.17410698</v>
      </c>
      <c r="N477" s="66">
        <v>1.1607132</v>
      </c>
      <c r="O477" s="10">
        <f t="shared" ref="O477:O484" si="147">N477</f>
        <v>1.1607132</v>
      </c>
      <c r="Q477" s="67">
        <v>57.94436</v>
      </c>
      <c r="S477" s="68">
        <v>0.027942306</v>
      </c>
      <c r="T477" s="68">
        <v>0.022874558</v>
      </c>
      <c r="U477" s="68">
        <v>9.9443551E-4</v>
      </c>
      <c r="V477" s="68">
        <v>0.0040733123</v>
      </c>
      <c r="X477" s="69">
        <v>1.1449071E-4</v>
      </c>
      <c r="Y477" s="70"/>
      <c r="Z477" s="48"/>
    </row>
    <row r="478" ht="12.75" customHeight="1">
      <c r="A478" s="1" t="s">
        <v>882</v>
      </c>
      <c r="B478" s="2" t="s">
        <v>826</v>
      </c>
      <c r="C478" s="60" t="str">
        <f t="shared" si="144"/>
        <v>A.070.09.102</v>
      </c>
      <c r="D478" s="51" t="s">
        <v>880</v>
      </c>
      <c r="E478" s="62" t="s">
        <v>45</v>
      </c>
      <c r="F478" s="63" t="str">
        <f t="shared" si="145"/>
        <v>CNG (compressed natural gas) for transport  - including combustion CO2</v>
      </c>
      <c r="G478" s="64">
        <v>0.977007729131</v>
      </c>
      <c r="H478" s="10">
        <f t="shared" si="146"/>
        <v>0.9770077291</v>
      </c>
      <c r="I478" s="65">
        <v>0.026870380069999998</v>
      </c>
      <c r="J478" s="65">
        <v>0.03850812681100001</v>
      </c>
      <c r="K478" s="65">
        <v>0.31585650225</v>
      </c>
      <c r="L478" s="65">
        <v>0.59577272</v>
      </c>
      <c r="N478" s="66">
        <v>3.9718181333333336</v>
      </c>
      <c r="O478" s="10">
        <f t="shared" si="147"/>
        <v>3.971818133</v>
      </c>
      <c r="Q478" s="67">
        <v>58.84974</v>
      </c>
      <c r="S478" s="68">
        <v>0.07372605</v>
      </c>
      <c r="T478" s="68">
        <v>0.066464448</v>
      </c>
      <c r="U478" s="68">
        <v>0.0031246438</v>
      </c>
      <c r="V478" s="68">
        <v>0.0041369578</v>
      </c>
      <c r="X478" s="69">
        <v>1.94155E-4</v>
      </c>
      <c r="Y478" s="70"/>
      <c r="Z478" s="48"/>
    </row>
    <row r="479" ht="12.75" customHeight="1">
      <c r="A479" s="1" t="s">
        <v>883</v>
      </c>
      <c r="B479" s="2" t="s">
        <v>826</v>
      </c>
      <c r="C479" s="60" t="str">
        <f t="shared" si="144"/>
        <v>A.070.09.103</v>
      </c>
      <c r="D479" s="51" t="s">
        <v>880</v>
      </c>
      <c r="E479" s="62" t="s">
        <v>45</v>
      </c>
      <c r="F479" s="63" t="str">
        <f t="shared" si="145"/>
        <v>Natural gas general EU for feedstock - excl. combustion</v>
      </c>
      <c r="G479" s="64">
        <v>0.244246066636</v>
      </c>
      <c r="H479" s="10">
        <f t="shared" si="146"/>
        <v>0.2442460666</v>
      </c>
      <c r="I479" s="65">
        <v>0.02645698961</v>
      </c>
      <c r="J479" s="65">
        <v>0.037915694555999996</v>
      </c>
      <c r="K479" s="65">
        <v>0.005766402469999999</v>
      </c>
      <c r="L479" s="65">
        <v>0.17410698</v>
      </c>
      <c r="N479" s="66">
        <v>1.1607132</v>
      </c>
      <c r="O479" s="10">
        <f t="shared" si="147"/>
        <v>1.1607132</v>
      </c>
      <c r="Q479" s="67">
        <v>57.94436</v>
      </c>
      <c r="S479" s="68">
        <v>0.027942306</v>
      </c>
      <c r="T479" s="68">
        <v>0.022874558</v>
      </c>
      <c r="U479" s="68">
        <v>9.9443551E-4</v>
      </c>
      <c r="V479" s="68">
        <v>0.0040733123</v>
      </c>
      <c r="X479" s="69">
        <v>1.1449071E-4</v>
      </c>
      <c r="Y479" s="70"/>
      <c r="Z479" s="48"/>
    </row>
    <row r="480" ht="12.75" customHeight="1">
      <c r="A480" s="1" t="s">
        <v>884</v>
      </c>
      <c r="B480" s="2" t="s">
        <v>826</v>
      </c>
      <c r="C480" s="60" t="str">
        <f t="shared" si="144"/>
        <v>A.070.09.104</v>
      </c>
      <c r="D480" s="51" t="s">
        <v>880</v>
      </c>
      <c r="E480" s="62" t="s">
        <v>45</v>
      </c>
      <c r="F480" s="63" t="str">
        <f t="shared" si="145"/>
        <v>Natural gas general EU for heat - incl. combustion) CO2</v>
      </c>
      <c r="G480" s="64">
        <v>0.667007729331</v>
      </c>
      <c r="H480" s="10">
        <f t="shared" si="146"/>
        <v>0.6670077293</v>
      </c>
      <c r="I480" s="65">
        <v>0.026870380069999998</v>
      </c>
      <c r="J480" s="65">
        <v>0.03850812681100001</v>
      </c>
      <c r="K480" s="65">
        <v>0.0058565024499999995</v>
      </c>
      <c r="L480" s="65">
        <v>0.59577272</v>
      </c>
      <c r="N480" s="66">
        <v>3.9718181333333336</v>
      </c>
      <c r="O480" s="10">
        <f t="shared" si="147"/>
        <v>3.971818133</v>
      </c>
      <c r="Q480" s="67">
        <v>58.84974</v>
      </c>
      <c r="S480" s="68">
        <v>0.07372605</v>
      </c>
      <c r="T480" s="68">
        <v>0.066464448</v>
      </c>
      <c r="U480" s="68">
        <v>0.0031246438</v>
      </c>
      <c r="V480" s="68">
        <v>0.0041369578</v>
      </c>
      <c r="X480" s="69">
        <v>1.94155E-4</v>
      </c>
      <c r="Y480" s="70"/>
      <c r="Z480" s="48"/>
    </row>
    <row r="481" ht="12.75" customHeight="1">
      <c r="A481" s="1" t="s">
        <v>885</v>
      </c>
      <c r="B481" s="2" t="s">
        <v>826</v>
      </c>
      <c r="C481" s="60" t="str">
        <f t="shared" si="144"/>
        <v>A.070.09.105</v>
      </c>
      <c r="D481" s="51" t="s">
        <v>880</v>
      </c>
      <c r="E481" s="62" t="s">
        <v>45</v>
      </c>
      <c r="F481" s="63" t="str">
        <f t="shared" si="145"/>
        <v>Natural gas Revap LNG from US in EU for feedstock - excl. combustion)</v>
      </c>
      <c r="G481" s="64">
        <v>0.20252033098953132</v>
      </c>
      <c r="H481" s="10">
        <f t="shared" si="146"/>
        <v>0.202520331</v>
      </c>
      <c r="I481" s="65">
        <v>0.014937653779999999</v>
      </c>
      <c r="J481" s="65">
        <v>0.023498440002199996</v>
      </c>
      <c r="K481" s="65">
        <v>0.013797017207331324</v>
      </c>
      <c r="L481" s="65">
        <v>0.15028722</v>
      </c>
      <c r="N481" s="66">
        <v>1.0019148</v>
      </c>
      <c r="O481" s="10">
        <f t="shared" si="147"/>
        <v>1.0019148</v>
      </c>
      <c r="Q481" s="67">
        <v>33.922407</v>
      </c>
      <c r="S481" s="68">
        <v>0.021907615</v>
      </c>
      <c r="T481" s="68">
        <v>0.018915694</v>
      </c>
      <c r="U481" s="68">
        <v>8.3583728E-4</v>
      </c>
      <c r="V481" s="68">
        <v>0.0021560842</v>
      </c>
      <c r="X481" s="69">
        <v>7.5327173E-5</v>
      </c>
      <c r="Y481" s="70"/>
      <c r="Z481" s="48"/>
    </row>
    <row r="482" ht="12.75" customHeight="1">
      <c r="A482" s="1" t="s">
        <v>886</v>
      </c>
      <c r="B482" s="2" t="s">
        <v>826</v>
      </c>
      <c r="C482" s="60" t="str">
        <f t="shared" si="144"/>
        <v>A.070.09.201</v>
      </c>
      <c r="D482" s="51" t="s">
        <v>880</v>
      </c>
      <c r="E482" s="62" t="s">
        <v>887</v>
      </c>
      <c r="F482" s="63" t="str">
        <f t="shared" si="145"/>
        <v>Nat Gas 40 MJ/Nm3 from LNG for heat - incl. combustion CO2</v>
      </c>
      <c r="G482" s="64">
        <v>0.4920162696576681</v>
      </c>
      <c r="H482" s="10">
        <f t="shared" si="146"/>
        <v>0.4920162697</v>
      </c>
      <c r="I482" s="65">
        <v>0.011950123259999999</v>
      </c>
      <c r="J482" s="65">
        <v>0.018798752831800002</v>
      </c>
      <c r="K482" s="65">
        <v>0.01103761356586806</v>
      </c>
      <c r="L482" s="65">
        <v>0.45022978</v>
      </c>
      <c r="N482" s="66">
        <v>3.001531866666667</v>
      </c>
      <c r="O482" s="10">
        <f t="shared" si="147"/>
        <v>3.001531867</v>
      </c>
      <c r="Q482" s="67">
        <v>27.137925</v>
      </c>
      <c r="S482" s="68">
        <v>0.05324569</v>
      </c>
      <c r="T482" s="68">
        <v>0.049186443</v>
      </c>
      <c r="U482" s="68">
        <v>0.0023343793</v>
      </c>
      <c r="V482" s="68">
        <v>0.0017248673</v>
      </c>
      <c r="X482" s="69">
        <v>1.2160358E-4</v>
      </c>
      <c r="Y482" s="70"/>
      <c r="Z482" s="72"/>
    </row>
    <row r="483" ht="12.75" customHeight="1">
      <c r="A483" s="1" t="s">
        <v>888</v>
      </c>
      <c r="B483" s="2" t="s">
        <v>826</v>
      </c>
      <c r="C483" s="60" t="str">
        <f t="shared" si="144"/>
        <v>A.070.09.202</v>
      </c>
      <c r="D483" s="51" t="s">
        <v>880</v>
      </c>
      <c r="E483" s="62" t="s">
        <v>887</v>
      </c>
      <c r="F483" s="63" t="str">
        <f t="shared" si="145"/>
        <v>Nat Gas 40 MJ/Nm3 from Norway - Algeria - UK for heat - incl. combustion CO2</v>
      </c>
      <c r="G483" s="64">
        <v>0.525396859024</v>
      </c>
      <c r="H483" s="10">
        <f t="shared" si="146"/>
        <v>0.525396859</v>
      </c>
      <c r="I483" s="65">
        <v>0.021165591319999996</v>
      </c>
      <c r="J483" s="65">
        <v>0.030332555763999996</v>
      </c>
      <c r="K483" s="65">
        <v>0.00461312194</v>
      </c>
      <c r="L483" s="65">
        <v>0.46928559</v>
      </c>
      <c r="N483" s="66">
        <v>3.1285705999999998</v>
      </c>
      <c r="O483" s="10">
        <f t="shared" si="147"/>
        <v>3.1285706</v>
      </c>
      <c r="Q483" s="67">
        <v>46.355488</v>
      </c>
      <c r="S483" s="68">
        <v>0.058073442</v>
      </c>
      <c r="T483" s="68">
        <v>0.052353534</v>
      </c>
      <c r="U483" s="68">
        <v>0.0024612579</v>
      </c>
      <c r="V483" s="68">
        <v>0.0032586498</v>
      </c>
      <c r="X483" s="69">
        <v>1.529344E-4</v>
      </c>
      <c r="Y483" s="70"/>
      <c r="Z483" s="72"/>
    </row>
    <row r="484" ht="12.75" customHeight="1">
      <c r="A484" s="1" t="s">
        <v>889</v>
      </c>
      <c r="B484" s="2" t="s">
        <v>826</v>
      </c>
      <c r="C484" s="60" t="str">
        <f t="shared" si="144"/>
        <v>A.070.09.203</v>
      </c>
      <c r="D484" s="51" t="s">
        <v>880</v>
      </c>
      <c r="E484" s="62" t="s">
        <v>887</v>
      </c>
      <c r="F484" s="63" t="str">
        <f t="shared" si="145"/>
        <v>Nat Gas 35 MJ/Nm3 from Netherlands for heat - incl. combustion CO2</v>
      </c>
      <c r="G484" s="64">
        <v>0.4831536830906805</v>
      </c>
      <c r="H484" s="10">
        <f t="shared" si="146"/>
        <v>0.4831536831</v>
      </c>
      <c r="I484" s="65">
        <v>0.01942928036</v>
      </c>
      <c r="J484" s="65">
        <v>0.027943815273900004</v>
      </c>
      <c r="K484" s="65">
        <v>0.005022477456780489</v>
      </c>
      <c r="L484" s="65">
        <v>0.43075811</v>
      </c>
      <c r="N484" s="66">
        <v>2.8717207333333334</v>
      </c>
      <c r="O484" s="10">
        <f t="shared" si="147"/>
        <v>2.871720733</v>
      </c>
      <c r="Q484" s="67">
        <v>42.656754</v>
      </c>
      <c r="S484" s="68">
        <v>0.053319048</v>
      </c>
      <c r="T484" s="68">
        <v>0.04808532</v>
      </c>
      <c r="U484" s="68">
        <v>0.0022597514</v>
      </c>
      <c r="V484" s="68">
        <v>0.0029739766</v>
      </c>
      <c r="X484" s="69">
        <v>1.404268E-4</v>
      </c>
      <c r="Y484" s="70"/>
      <c r="Z484" s="48"/>
    </row>
    <row r="485" ht="12.75" customHeight="1">
      <c r="B485" s="2"/>
      <c r="C485" s="60"/>
      <c r="D485" s="75" t="s">
        <v>890</v>
      </c>
      <c r="E485" s="62"/>
      <c r="G485" s="10"/>
      <c r="H485" s="10"/>
      <c r="I485" s="10"/>
      <c r="J485" s="10"/>
      <c r="K485" s="10"/>
      <c r="L485" s="10"/>
      <c r="N485" s="10"/>
      <c r="O485" s="10"/>
      <c r="Q485" s="67"/>
      <c r="Y485" s="71"/>
      <c r="Z485" s="48"/>
    </row>
    <row r="486" ht="12.75" customHeight="1">
      <c r="A486" s="1" t="s">
        <v>891</v>
      </c>
      <c r="B486" s="2" t="s">
        <v>826</v>
      </c>
      <c r="C486" s="60" t="str">
        <f t="shared" ref="C486:C497" si="148">MID(A486,1,12)</f>
        <v>A.070.10.101</v>
      </c>
      <c r="D486" s="51" t="s">
        <v>890</v>
      </c>
      <c r="E486" s="62" t="s">
        <v>45</v>
      </c>
      <c r="F486" s="63" t="str">
        <f t="shared" ref="F486:F497" si="149">MID(A486, 21,85)</f>
        <v>Crude oil EU General (for feedstock)</v>
      </c>
      <c r="G486" s="64">
        <v>0.042492807161746</v>
      </c>
      <c r="H486" s="10">
        <f t="shared" ref="H486:H497" si="150">G486</f>
        <v>0.04249280716</v>
      </c>
      <c r="I486" s="65">
        <v>0.004494140484346001</v>
      </c>
      <c r="J486" s="65">
        <v>0.007703898977399999</v>
      </c>
      <c r="K486" s="65">
        <v>0.0017947677</v>
      </c>
      <c r="L486" s="65">
        <v>0.0285</v>
      </c>
      <c r="N486" s="66">
        <v>0.19</v>
      </c>
      <c r="O486" s="10">
        <f t="shared" ref="O486:O497" si="151">N486</f>
        <v>0.19</v>
      </c>
      <c r="Q486" s="67">
        <v>52.745617</v>
      </c>
      <c r="S486" s="68">
        <v>0.0089147174</v>
      </c>
      <c r="T486" s="68">
        <v>0.0049899057</v>
      </c>
      <c r="U486" s="68">
        <v>1.7656756E-4</v>
      </c>
      <c r="V486" s="68">
        <v>0.0037482441</v>
      </c>
      <c r="X486" s="69">
        <v>7.3255343E-5</v>
      </c>
      <c r="Y486" s="70"/>
      <c r="Z486" s="72"/>
    </row>
    <row r="487" ht="12.75" customHeight="1">
      <c r="A487" s="1" t="s">
        <v>892</v>
      </c>
      <c r="B487" s="2" t="s">
        <v>826</v>
      </c>
      <c r="C487" s="60" t="str">
        <f t="shared" si="148"/>
        <v>A.070.10.102</v>
      </c>
      <c r="D487" s="51" t="s">
        <v>890</v>
      </c>
      <c r="E487" s="62" t="s">
        <v>45</v>
      </c>
      <c r="F487" s="63" t="str">
        <f t="shared" si="149"/>
        <v>Crude oil US General (for feedstock)</v>
      </c>
      <c r="G487" s="64">
        <v>0.043756944973949996</v>
      </c>
      <c r="H487" s="10">
        <f t="shared" si="150"/>
        <v>0.04375694497</v>
      </c>
      <c r="I487" s="65">
        <v>8.859044046000001E-4</v>
      </c>
      <c r="J487" s="65">
        <v>9.604749E-4</v>
      </c>
      <c r="K487" s="65">
        <v>8.1056566935E-4</v>
      </c>
      <c r="L487" s="65">
        <v>0.0411</v>
      </c>
      <c r="N487" s="66">
        <v>0.274</v>
      </c>
      <c r="O487" s="10">
        <f t="shared" si="151"/>
        <v>0.274</v>
      </c>
      <c r="Q487" s="67">
        <v>51.000662</v>
      </c>
      <c r="S487" s="68">
        <v>0.0082591419</v>
      </c>
      <c r="T487" s="68">
        <v>0.0044175584</v>
      </c>
      <c r="U487" s="68">
        <v>2.1174858E-4</v>
      </c>
      <c r="V487" s="68">
        <v>0.003629835</v>
      </c>
      <c r="X487" s="69">
        <v>7.0129477E-5</v>
      </c>
      <c r="Y487" s="70"/>
      <c r="Z487" s="72"/>
    </row>
    <row r="488" ht="12.75" customHeight="1">
      <c r="A488" s="1" t="s">
        <v>893</v>
      </c>
      <c r="B488" s="2" t="s">
        <v>826</v>
      </c>
      <c r="C488" s="60" t="str">
        <f t="shared" si="148"/>
        <v>A.070.10.103</v>
      </c>
      <c r="D488" s="51" t="s">
        <v>890</v>
      </c>
      <c r="E488" s="62" t="s">
        <v>45</v>
      </c>
      <c r="F488" s="63" t="str">
        <f t="shared" si="149"/>
        <v>Diesel low-sulphur - excluding combustion</v>
      </c>
      <c r="G488" s="64">
        <v>0.45547405772000005</v>
      </c>
      <c r="H488" s="10">
        <f t="shared" si="150"/>
        <v>0.4554740577</v>
      </c>
      <c r="I488" s="65">
        <v>0.02308580092</v>
      </c>
      <c r="J488" s="65">
        <v>0.048508356800000006</v>
      </c>
      <c r="K488" s="65">
        <v>0.3115799</v>
      </c>
      <c r="L488" s="65">
        <v>0.0723</v>
      </c>
      <c r="N488" s="66">
        <v>0.48200000000000004</v>
      </c>
      <c r="O488" s="10">
        <f t="shared" si="151"/>
        <v>0.482</v>
      </c>
      <c r="Q488" s="67">
        <v>56.301312</v>
      </c>
      <c r="S488" s="68">
        <v>0.01803416</v>
      </c>
      <c r="T488" s="68">
        <v>0.013643</v>
      </c>
      <c r="U488" s="68">
        <v>4.946033E-4</v>
      </c>
      <c r="V488" s="68">
        <v>0.0038965562</v>
      </c>
      <c r="X488" s="69">
        <v>9.7502465E-5</v>
      </c>
      <c r="Y488" s="70"/>
      <c r="Z488" s="72"/>
    </row>
    <row r="489" ht="12.75" customHeight="1">
      <c r="A489" s="1" t="s">
        <v>894</v>
      </c>
      <c r="B489" s="2" t="s">
        <v>826</v>
      </c>
      <c r="C489" s="60" t="str">
        <f t="shared" si="148"/>
        <v>A.070.10.104</v>
      </c>
      <c r="D489" s="51" t="s">
        <v>890</v>
      </c>
      <c r="E489" s="62" t="s">
        <v>45</v>
      </c>
      <c r="F489" s="63" t="str">
        <f t="shared" si="149"/>
        <v>Diesel low-sulphur - including combustion CO2</v>
      </c>
      <c r="G489" s="64">
        <v>0.92647405772</v>
      </c>
      <c r="H489" s="10">
        <f t="shared" si="150"/>
        <v>0.9264740577</v>
      </c>
      <c r="I489" s="65">
        <v>0.02308580092</v>
      </c>
      <c r="J489" s="65">
        <v>0.048508356800000006</v>
      </c>
      <c r="K489" s="65">
        <v>0.3115799</v>
      </c>
      <c r="L489" s="65">
        <v>0.5433</v>
      </c>
      <c r="N489" s="66">
        <v>3.6220000000000003</v>
      </c>
      <c r="O489" s="10">
        <f t="shared" si="151"/>
        <v>3.622</v>
      </c>
      <c r="Q489" s="67">
        <v>56.301312</v>
      </c>
      <c r="S489" s="68">
        <v>0.069015767</v>
      </c>
      <c r="T489" s="68">
        <v>0.062247186</v>
      </c>
      <c r="U489" s="68">
        <v>0.0028720251</v>
      </c>
      <c r="V489" s="68">
        <v>0.0038965562</v>
      </c>
      <c r="X489" s="69">
        <v>1.85054E-4</v>
      </c>
      <c r="Y489" s="70"/>
      <c r="Z489" s="72"/>
    </row>
    <row r="490" ht="12.75" customHeight="1">
      <c r="A490" s="1" t="s">
        <v>895</v>
      </c>
      <c r="B490" s="2" t="s">
        <v>826</v>
      </c>
      <c r="C490" s="60" t="str">
        <f t="shared" si="148"/>
        <v>A.070.10.105</v>
      </c>
      <c r="D490" s="51" t="s">
        <v>890</v>
      </c>
      <c r="E490" s="62" t="s">
        <v>896</v>
      </c>
      <c r="F490" s="63" t="str">
        <f t="shared" si="149"/>
        <v>Diesel low-sulphur - including combustion CO2 - per MJ</v>
      </c>
      <c r="G490" s="64">
        <v>0.02179934770591823</v>
      </c>
      <c r="H490" s="10">
        <f t="shared" si="150"/>
        <v>0.02179934771</v>
      </c>
      <c r="I490" s="65">
        <v>5.640002038E-4</v>
      </c>
      <c r="J490" s="65">
        <v>0.0011636334339999999</v>
      </c>
      <c r="K490" s="65">
        <v>0.007308242068118231</v>
      </c>
      <c r="L490" s="65">
        <v>0.012763472</v>
      </c>
      <c r="N490" s="66">
        <v>0.08508981333333333</v>
      </c>
      <c r="O490" s="10">
        <f t="shared" si="151"/>
        <v>0.08508981333</v>
      </c>
      <c r="Q490" s="67">
        <v>1.3240009</v>
      </c>
      <c r="S490" s="68">
        <v>0.0016235109</v>
      </c>
      <c r="T490" s="68">
        <v>0.0014643758</v>
      </c>
      <c r="U490" s="68">
        <v>6.7548196E-5</v>
      </c>
      <c r="V490" s="68">
        <v>9.1586852E-5</v>
      </c>
      <c r="X490" s="69">
        <v>4.3534248E-6</v>
      </c>
      <c r="Y490" s="70"/>
      <c r="Z490" s="72"/>
    </row>
    <row r="491" ht="12.75" customHeight="1">
      <c r="A491" s="1" t="s">
        <v>897</v>
      </c>
      <c r="B491" s="2" t="s">
        <v>826</v>
      </c>
      <c r="C491" s="60" t="str">
        <f t="shared" si="148"/>
        <v>A.070.10.106</v>
      </c>
      <c r="D491" s="51" t="s">
        <v>890</v>
      </c>
      <c r="E491" s="62" t="s">
        <v>45</v>
      </c>
      <c r="F491" s="63" t="str">
        <f t="shared" si="149"/>
        <v>Heavy fuel oil for heat - including combustion CO2</v>
      </c>
      <c r="G491" s="64">
        <v>0.578387468537</v>
      </c>
      <c r="H491" s="10">
        <f t="shared" si="150"/>
        <v>0.5783874685</v>
      </c>
      <c r="I491" s="65">
        <v>0.010967448772999999</v>
      </c>
      <c r="J491" s="65">
        <v>0.026718786204</v>
      </c>
      <c r="K491" s="65">
        <v>0.00136071356</v>
      </c>
      <c r="L491" s="65">
        <v>0.53934052</v>
      </c>
      <c r="N491" s="66">
        <v>3.5956034666666667</v>
      </c>
      <c r="O491" s="10">
        <f t="shared" si="151"/>
        <v>3.595603467</v>
      </c>
      <c r="Q491" s="67">
        <v>47.226315</v>
      </c>
      <c r="S491" s="68">
        <v>0.067855825</v>
      </c>
      <c r="T491" s="68">
        <v>0.061709756</v>
      </c>
      <c r="U491" s="68">
        <v>0.0028493971</v>
      </c>
      <c r="V491" s="68">
        <v>0.0032966719</v>
      </c>
      <c r="X491" s="69">
        <v>1.6529816E-4</v>
      </c>
      <c r="Y491" s="70"/>
      <c r="Z491" s="48"/>
    </row>
    <row r="492" ht="12.75" customHeight="1">
      <c r="A492" s="1" t="s">
        <v>898</v>
      </c>
      <c r="B492" s="2" t="s">
        <v>826</v>
      </c>
      <c r="C492" s="60" t="str">
        <f t="shared" si="148"/>
        <v>A.070.10.107</v>
      </c>
      <c r="D492" s="51" t="s">
        <v>890</v>
      </c>
      <c r="E492" s="62" t="s">
        <v>45</v>
      </c>
      <c r="F492" s="63" t="str">
        <f t="shared" si="149"/>
        <v>Heavy fuel oil in transport - including combustion CO2)</v>
      </c>
      <c r="G492" s="64">
        <v>0.888387468237</v>
      </c>
      <c r="H492" s="10">
        <f t="shared" si="150"/>
        <v>0.8883874682</v>
      </c>
      <c r="I492" s="65">
        <v>0.010967448772999999</v>
      </c>
      <c r="J492" s="65">
        <v>0.026718786204</v>
      </c>
      <c r="K492" s="65">
        <v>0.31136071326</v>
      </c>
      <c r="L492" s="65">
        <v>0.53934052</v>
      </c>
      <c r="N492" s="66">
        <v>3.5956034666666667</v>
      </c>
      <c r="O492" s="10">
        <f t="shared" si="151"/>
        <v>3.595603467</v>
      </c>
      <c r="Q492" s="67">
        <v>47.226315</v>
      </c>
      <c r="S492" s="68">
        <v>0.067855825</v>
      </c>
      <c r="T492" s="68">
        <v>0.061709756</v>
      </c>
      <c r="U492" s="68">
        <v>0.0028493971</v>
      </c>
      <c r="V492" s="68">
        <v>0.0032966719</v>
      </c>
      <c r="X492" s="69">
        <v>1.6529816E-4</v>
      </c>
      <c r="Y492" s="70"/>
      <c r="Z492" s="48"/>
    </row>
    <row r="493" ht="12.75" customHeight="1">
      <c r="A493" s="1" t="s">
        <v>899</v>
      </c>
      <c r="B493" s="2" t="s">
        <v>826</v>
      </c>
      <c r="C493" s="60" t="str">
        <f t="shared" si="148"/>
        <v>A.070.10.108</v>
      </c>
      <c r="D493" s="51" t="s">
        <v>890</v>
      </c>
      <c r="E493" s="62" t="s">
        <v>45</v>
      </c>
      <c r="F493" s="63" t="str">
        <f t="shared" si="149"/>
        <v>Kerosene - excluding combustion</v>
      </c>
      <c r="G493" s="64">
        <v>0.41605191711799994</v>
      </c>
      <c r="H493" s="10">
        <f t="shared" si="150"/>
        <v>0.4160519171</v>
      </c>
      <c r="I493" s="65">
        <v>0.011812254868</v>
      </c>
      <c r="J493" s="65">
        <v>0.03341443225</v>
      </c>
      <c r="K493" s="65">
        <v>0.31112523</v>
      </c>
      <c r="L493" s="65">
        <v>0.0597</v>
      </c>
      <c r="N493" s="66">
        <v>0.398</v>
      </c>
      <c r="O493" s="10">
        <f t="shared" si="151"/>
        <v>0.398</v>
      </c>
      <c r="Q493" s="67">
        <v>55.613552</v>
      </c>
      <c r="S493" s="68">
        <v>0.016293061</v>
      </c>
      <c r="T493" s="68">
        <v>0.011913074</v>
      </c>
      <c r="U493" s="68">
        <v>4.2178722E-4</v>
      </c>
      <c r="V493" s="68">
        <v>0.0039582001</v>
      </c>
      <c r="X493" s="69">
        <v>8.8214818E-5</v>
      </c>
      <c r="Y493" s="70"/>
      <c r="Z493" s="72"/>
    </row>
    <row r="494" ht="12.75" customHeight="1">
      <c r="A494" s="1" t="s">
        <v>900</v>
      </c>
      <c r="B494" s="2" t="s">
        <v>826</v>
      </c>
      <c r="C494" s="60" t="str">
        <f t="shared" si="148"/>
        <v>A.070.10.109</v>
      </c>
      <c r="D494" s="51" t="s">
        <v>890</v>
      </c>
      <c r="E494" s="62" t="s">
        <v>45</v>
      </c>
      <c r="F494" s="63" t="str">
        <f t="shared" si="149"/>
        <v>Kerosene - including combustion CO2</v>
      </c>
      <c r="G494" s="64">
        <v>0.8870519171179999</v>
      </c>
      <c r="H494" s="10">
        <f t="shared" si="150"/>
        <v>0.8870519171</v>
      </c>
      <c r="I494" s="65">
        <v>0.011812254868</v>
      </c>
      <c r="J494" s="65">
        <v>0.03341443225</v>
      </c>
      <c r="K494" s="65">
        <v>0.31112523</v>
      </c>
      <c r="L494" s="65">
        <v>0.5307</v>
      </c>
      <c r="N494" s="66">
        <v>3.538</v>
      </c>
      <c r="O494" s="10">
        <f t="shared" si="151"/>
        <v>3.538</v>
      </c>
      <c r="Q494" s="67">
        <v>55.613552</v>
      </c>
      <c r="S494" s="68">
        <v>0.067274668</v>
      </c>
      <c r="T494" s="68">
        <v>0.060517259</v>
      </c>
      <c r="U494" s="68">
        <v>0.002799209</v>
      </c>
      <c r="V494" s="68">
        <v>0.0039582001</v>
      </c>
      <c r="X494" s="69">
        <v>1.7576635E-4</v>
      </c>
      <c r="Y494" s="70"/>
      <c r="Z494" s="72"/>
    </row>
    <row r="495" ht="12.75" customHeight="1">
      <c r="A495" s="1" t="s">
        <v>901</v>
      </c>
      <c r="B495" s="2" t="s">
        <v>826</v>
      </c>
      <c r="C495" s="60" t="str">
        <f t="shared" si="148"/>
        <v>A.070.10.110</v>
      </c>
      <c r="D495" s="51" t="s">
        <v>890</v>
      </c>
      <c r="E495" s="62" t="s">
        <v>45</v>
      </c>
      <c r="F495" s="63" t="str">
        <f t="shared" si="149"/>
        <v>Petrol - including combustion CO2</v>
      </c>
      <c r="G495" s="64">
        <v>0.978030558166</v>
      </c>
      <c r="H495" s="10">
        <f t="shared" si="150"/>
        <v>0.9780305582</v>
      </c>
      <c r="I495" s="65">
        <v>0.019259506965999998</v>
      </c>
      <c r="J495" s="65">
        <v>0.0534892212</v>
      </c>
      <c r="K495" s="65">
        <v>0.31203183</v>
      </c>
      <c r="L495" s="65">
        <v>0.59325</v>
      </c>
      <c r="N495" s="66">
        <v>3.9550000000000005</v>
      </c>
      <c r="O495" s="10">
        <f t="shared" si="151"/>
        <v>3.955</v>
      </c>
      <c r="Q495" s="67">
        <v>59.224905</v>
      </c>
      <c r="S495" s="68">
        <v>0.078338779</v>
      </c>
      <c r="T495" s="68">
        <v>0.07103307</v>
      </c>
      <c r="U495" s="68">
        <v>0.0032006275</v>
      </c>
      <c r="V495" s="68">
        <v>0.004105081</v>
      </c>
      <c r="X495" s="69">
        <v>1.9566609E-4</v>
      </c>
      <c r="Y495" s="70"/>
      <c r="Z495" s="73"/>
    </row>
    <row r="496" ht="12.75" customHeight="1">
      <c r="A496" s="1" t="s">
        <v>902</v>
      </c>
      <c r="B496" s="2" t="s">
        <v>826</v>
      </c>
      <c r="C496" s="60" t="str">
        <f t="shared" si="148"/>
        <v>A.070.10.111</v>
      </c>
      <c r="D496" s="51" t="s">
        <v>890</v>
      </c>
      <c r="E496" s="62" t="s">
        <v>45</v>
      </c>
      <c r="F496" s="63" t="str">
        <f t="shared" si="149"/>
        <v>Petrol - excluding combustion</v>
      </c>
      <c r="G496" s="64">
        <v>0.507030558166</v>
      </c>
      <c r="H496" s="10">
        <f t="shared" si="150"/>
        <v>0.5070305582</v>
      </c>
      <c r="I496" s="65">
        <v>0.019259506965999998</v>
      </c>
      <c r="J496" s="65">
        <v>0.0534892212</v>
      </c>
      <c r="K496" s="65">
        <v>0.31203183</v>
      </c>
      <c r="L496" s="65">
        <v>0.12225</v>
      </c>
      <c r="N496" s="66">
        <v>0.8150000000000001</v>
      </c>
      <c r="O496" s="10">
        <f t="shared" si="151"/>
        <v>0.815</v>
      </c>
      <c r="Q496" s="67">
        <v>59.224905</v>
      </c>
      <c r="S496" s="68">
        <v>0.027357172</v>
      </c>
      <c r="T496" s="68">
        <v>0.022428885</v>
      </c>
      <c r="U496" s="68">
        <v>8.2320577E-4</v>
      </c>
      <c r="V496" s="68">
        <v>0.004105081</v>
      </c>
      <c r="X496" s="69">
        <v>1.0811455E-4</v>
      </c>
      <c r="Y496" s="70"/>
      <c r="Z496" s="48"/>
    </row>
    <row r="497" ht="12.75" customHeight="1">
      <c r="A497" s="1" t="s">
        <v>903</v>
      </c>
      <c r="B497" s="2" t="s">
        <v>826</v>
      </c>
      <c r="C497" s="60" t="str">
        <f t="shared" si="148"/>
        <v>A.070.10.112</v>
      </c>
      <c r="D497" s="51" t="s">
        <v>890</v>
      </c>
      <c r="E497" s="62" t="s">
        <v>45</v>
      </c>
      <c r="F497" s="63" t="str">
        <f t="shared" si="149"/>
        <v>Naphtha (for feedstock)</v>
      </c>
      <c r="G497" s="64">
        <v>0.176574423678</v>
      </c>
      <c r="H497" s="10">
        <f t="shared" si="150"/>
        <v>0.1765744237</v>
      </c>
      <c r="I497" s="65">
        <v>0.016444152277999998</v>
      </c>
      <c r="J497" s="65">
        <v>0.0461431224</v>
      </c>
      <c r="K497" s="65">
        <v>0.008237149</v>
      </c>
      <c r="L497" s="65">
        <v>0.10575</v>
      </c>
      <c r="N497" s="66">
        <v>0.705</v>
      </c>
      <c r="O497" s="10">
        <f t="shared" si="151"/>
        <v>0.705</v>
      </c>
      <c r="Q497" s="67">
        <v>58.164787</v>
      </c>
      <c r="S497" s="68">
        <v>0.024897903</v>
      </c>
      <c r="T497" s="68">
        <v>0.020051312</v>
      </c>
      <c r="U497" s="68">
        <v>7.2439104E-4</v>
      </c>
      <c r="V497" s="68">
        <v>0.0041221996</v>
      </c>
      <c r="X497" s="69">
        <v>1.0404049E-4</v>
      </c>
      <c r="Y497" s="70"/>
      <c r="Z497" s="72"/>
    </row>
    <row r="498" ht="12.75" customHeight="1">
      <c r="B498" s="2"/>
      <c r="C498" s="60"/>
      <c r="D498" s="75" t="s">
        <v>904</v>
      </c>
      <c r="E498" s="62"/>
      <c r="G498" s="10"/>
      <c r="H498" s="10"/>
      <c r="I498" s="10"/>
      <c r="J498" s="10"/>
      <c r="K498" s="10"/>
      <c r="L498" s="10"/>
      <c r="N498" s="10"/>
      <c r="O498" s="10"/>
      <c r="Q498" s="67"/>
      <c r="Y498" s="71"/>
      <c r="Z498" s="48"/>
    </row>
    <row r="499" ht="12.75" customHeight="1">
      <c r="A499" s="1" t="s">
        <v>905</v>
      </c>
      <c r="B499" s="2" t="s">
        <v>826</v>
      </c>
      <c r="C499" s="60" t="str">
        <f>MID(A499,1,12)</f>
        <v>A.070.11.101</v>
      </c>
      <c r="D499" s="51" t="s">
        <v>904</v>
      </c>
      <c r="E499" s="62" t="s">
        <v>45</v>
      </c>
      <c r="F499" s="63" t="str">
        <f>MID(A499, 21,85)</f>
        <v>Fuel grade uranium 3615 GJ/kg (4.52% enriched U-235 )</v>
      </c>
      <c r="G499" s="64">
        <v>30434.272415625182</v>
      </c>
      <c r="H499" s="10">
        <f>G499</f>
        <v>30434.27242</v>
      </c>
      <c r="I499" s="65">
        <v>112.21255292</v>
      </c>
      <c r="J499" s="65">
        <v>709.2020039070001</v>
      </c>
      <c r="K499" s="65">
        <v>29175.721448798184</v>
      </c>
      <c r="L499" s="65">
        <v>437.13641</v>
      </c>
      <c r="N499" s="66">
        <v>2914.2427333333335</v>
      </c>
      <c r="O499" s="10">
        <f>N499</f>
        <v>2914.242733</v>
      </c>
      <c r="Q499" s="67">
        <v>3663469.8</v>
      </c>
      <c r="S499" s="68">
        <v>236.8146</v>
      </c>
      <c r="T499" s="68">
        <v>229.01064</v>
      </c>
      <c r="U499" s="68">
        <v>6.0503634</v>
      </c>
      <c r="V499" s="68">
        <v>1.7536041</v>
      </c>
      <c r="X499" s="69">
        <v>4.9739309</v>
      </c>
      <c r="Y499" s="70"/>
      <c r="Z499" s="72"/>
    </row>
    <row r="500" ht="12.75" customHeight="1">
      <c r="B500" s="2"/>
      <c r="C500" s="60"/>
      <c r="D500" s="51"/>
      <c r="E500" s="62"/>
      <c r="G500" s="10"/>
      <c r="H500" s="10"/>
      <c r="I500" s="10"/>
      <c r="J500" s="10"/>
      <c r="K500" s="10"/>
      <c r="L500" s="10"/>
      <c r="N500" s="10"/>
      <c r="O500" s="10"/>
      <c r="Q500" s="67"/>
      <c r="Y500" s="71"/>
      <c r="Z500" s="72"/>
    </row>
    <row r="501" ht="12.75" customHeight="1">
      <c r="B501" s="2"/>
      <c r="C501" s="60"/>
      <c r="D501" s="75" t="s">
        <v>906</v>
      </c>
      <c r="E501" s="62"/>
      <c r="G501" s="10"/>
      <c r="H501" s="10"/>
      <c r="I501" s="10"/>
      <c r="J501" s="10"/>
      <c r="K501" s="10"/>
      <c r="L501" s="10"/>
      <c r="N501" s="10"/>
      <c r="O501" s="10"/>
      <c r="Q501" s="67"/>
      <c r="Y501" s="71"/>
      <c r="Z501" s="72"/>
    </row>
    <row r="502" ht="12.75" customHeight="1">
      <c r="A502" s="1" t="s">
        <v>907</v>
      </c>
      <c r="B502" s="2" t="s">
        <v>908</v>
      </c>
      <c r="C502" s="60" t="str">
        <f>MID(A502,1,12)</f>
        <v>A.080.01.101</v>
      </c>
      <c r="D502" s="51" t="s">
        <v>906</v>
      </c>
      <c r="E502" s="62" t="s">
        <v>45</v>
      </c>
      <c r="F502" s="63" t="str">
        <f>MID(A502, 21,85)</f>
        <v>Glass for windows and facades (float glass)</v>
      </c>
      <c r="G502" s="64">
        <v>0.2630588326407061</v>
      </c>
      <c r="H502" s="10">
        <f>G502</f>
        <v>0.2630588326</v>
      </c>
      <c r="I502" s="65">
        <v>0.01331568173</v>
      </c>
      <c r="J502" s="65">
        <v>0.018954952722000002</v>
      </c>
      <c r="K502" s="65">
        <v>0.015205728188706105</v>
      </c>
      <c r="L502" s="65">
        <v>0.21558247</v>
      </c>
      <c r="N502" s="66">
        <v>1.4372164666666667</v>
      </c>
      <c r="O502" s="10">
        <f>N502</f>
        <v>1.437216467</v>
      </c>
      <c r="Q502" s="67">
        <v>21.973193</v>
      </c>
      <c r="S502" s="68">
        <v>0.027170527</v>
      </c>
      <c r="T502" s="68">
        <v>0.024573896</v>
      </c>
      <c r="U502" s="68">
        <v>0.0011467342</v>
      </c>
      <c r="V502" s="68">
        <v>0.0014498964</v>
      </c>
      <c r="X502" s="69">
        <v>7.1744983E-5</v>
      </c>
      <c r="Y502" s="70"/>
      <c r="Z502" s="72"/>
    </row>
    <row r="503" ht="12.75" customHeight="1">
      <c r="B503" s="2"/>
      <c r="C503" s="60"/>
      <c r="D503" s="75" t="s">
        <v>909</v>
      </c>
      <c r="E503" s="62"/>
      <c r="G503" s="10"/>
      <c r="H503" s="10"/>
      <c r="I503" s="10"/>
      <c r="J503" s="10"/>
      <c r="K503" s="10"/>
      <c r="L503" s="10"/>
      <c r="N503" s="10"/>
      <c r="O503" s="10"/>
      <c r="Q503" s="67"/>
      <c r="Y503" s="71"/>
      <c r="Z503" s="72"/>
    </row>
    <row r="504" ht="12.75" customHeight="1">
      <c r="A504" s="1" t="s">
        <v>910</v>
      </c>
      <c r="B504" s="2" t="s">
        <v>908</v>
      </c>
      <c r="C504" s="60" t="str">
        <f t="shared" ref="C504:C508" si="152">MID(A504,1,12)</f>
        <v>A.080.02.101</v>
      </c>
      <c r="D504" s="51" t="s">
        <v>909</v>
      </c>
      <c r="E504" s="62" t="s">
        <v>45</v>
      </c>
      <c r="F504" s="63" t="str">
        <f t="shared" ref="F504:F508" si="153">MID(A504, 21,85)</f>
        <v>Borosilicate glass (Pyrex)</v>
      </c>
      <c r="G504" s="64">
        <v>0.33902517116825737</v>
      </c>
      <c r="H504" s="10">
        <f t="shared" ref="H504:H508" si="154">G504</f>
        <v>0.3390251712</v>
      </c>
      <c r="I504" s="65">
        <v>0.018500187700000004</v>
      </c>
      <c r="J504" s="65">
        <v>0.030433536543000003</v>
      </c>
      <c r="K504" s="65">
        <v>0.019744826925257367</v>
      </c>
      <c r="L504" s="65">
        <v>0.27034662</v>
      </c>
      <c r="N504" s="66">
        <v>1.8023107999999999</v>
      </c>
      <c r="O504" s="10">
        <f t="shared" ref="O504:O508" si="155">N504</f>
        <v>1.8023108</v>
      </c>
      <c r="Q504" s="67">
        <v>23.169046</v>
      </c>
      <c r="S504" s="68">
        <v>0.036161679</v>
      </c>
      <c r="T504" s="68">
        <v>0.033226476</v>
      </c>
      <c r="U504" s="68">
        <v>0.0014993655</v>
      </c>
      <c r="V504" s="68">
        <v>0.0014358375</v>
      </c>
      <c r="X504" s="69">
        <v>1.2288621E-4</v>
      </c>
      <c r="Y504" s="70"/>
      <c r="Z504" s="72"/>
    </row>
    <row r="505" ht="12.75" customHeight="1">
      <c r="A505" s="1" t="s">
        <v>911</v>
      </c>
      <c r="B505" s="2" t="s">
        <v>908</v>
      </c>
      <c r="C505" s="60" t="str">
        <f t="shared" si="152"/>
        <v>A.080.02.102</v>
      </c>
      <c r="D505" s="51" t="s">
        <v>909</v>
      </c>
      <c r="E505" s="62" t="s">
        <v>45</v>
      </c>
      <c r="F505" s="63" t="str">
        <f t="shared" si="153"/>
        <v>Ceramic glass</v>
      </c>
      <c r="G505" s="64">
        <v>0.5261176536373122</v>
      </c>
      <c r="H505" s="10">
        <f t="shared" si="154"/>
        <v>0.5261176536</v>
      </c>
      <c r="I505" s="65">
        <v>0.02663136286</v>
      </c>
      <c r="J505" s="65">
        <v>0.03790990542000001</v>
      </c>
      <c r="K505" s="65">
        <v>0.030411455357312208</v>
      </c>
      <c r="L505" s="65">
        <v>0.43116493</v>
      </c>
      <c r="N505" s="66">
        <v>2.874432866666667</v>
      </c>
      <c r="O505" s="10">
        <f t="shared" si="155"/>
        <v>2.874432867</v>
      </c>
      <c r="Q505" s="67">
        <v>43.946385</v>
      </c>
      <c r="S505" s="68">
        <v>0.054341053</v>
      </c>
      <c r="T505" s="68">
        <v>0.049147792</v>
      </c>
      <c r="U505" s="68">
        <v>0.0022934684</v>
      </c>
      <c r="V505" s="68">
        <v>0.0028997929</v>
      </c>
      <c r="X505" s="69">
        <v>1.4348997E-4</v>
      </c>
      <c r="Y505" s="70"/>
      <c r="Z505" s="72"/>
    </row>
    <row r="506" ht="12.75" customHeight="1">
      <c r="A506" s="1" t="s">
        <v>912</v>
      </c>
      <c r="B506" s="2" t="s">
        <v>908</v>
      </c>
      <c r="C506" s="60" t="str">
        <f t="shared" si="152"/>
        <v>A.080.02.103</v>
      </c>
      <c r="D506" s="51" t="s">
        <v>909</v>
      </c>
      <c r="E506" s="62" t="s">
        <v>45</v>
      </c>
      <c r="F506" s="63" t="str">
        <f t="shared" si="153"/>
        <v>Recycled borosilicate glass (Pyrex)</v>
      </c>
      <c r="G506" s="64">
        <v>0.21692585163182704</v>
      </c>
      <c r="H506" s="10">
        <f t="shared" si="154"/>
        <v>0.2169258516</v>
      </c>
      <c r="I506" s="65">
        <v>0.011820809495</v>
      </c>
      <c r="J506" s="65">
        <v>0.016740931439</v>
      </c>
      <c r="K506" s="65">
        <v>0.016090080697827056</v>
      </c>
      <c r="L506" s="65">
        <v>0.17227403</v>
      </c>
      <c r="N506" s="66">
        <v>1.1484935333333333</v>
      </c>
      <c r="O506" s="10">
        <f t="shared" si="155"/>
        <v>1.148493533</v>
      </c>
      <c r="Q506" s="67">
        <v>17.737509</v>
      </c>
      <c r="S506" s="68">
        <v>0.021866646</v>
      </c>
      <c r="T506" s="68">
        <v>0.019794466</v>
      </c>
      <c r="U506" s="68">
        <v>9.2136879E-4</v>
      </c>
      <c r="V506" s="68">
        <v>0.001150811</v>
      </c>
      <c r="X506" s="69">
        <v>5.7801964E-5</v>
      </c>
      <c r="Y506" s="70"/>
      <c r="Z506" s="72"/>
    </row>
    <row r="507" ht="12.75" customHeight="1">
      <c r="A507" s="1" t="s">
        <v>913</v>
      </c>
      <c r="B507" s="2" t="s">
        <v>908</v>
      </c>
      <c r="C507" s="60" t="str">
        <f t="shared" si="152"/>
        <v>A.080.02.104</v>
      </c>
      <c r="D507" s="51" t="s">
        <v>909</v>
      </c>
      <c r="E507" s="62" t="s">
        <v>45</v>
      </c>
      <c r="F507" s="63" t="str">
        <f t="shared" si="153"/>
        <v>Recycled silica glass</v>
      </c>
      <c r="G507" s="64">
        <v>0.4799846830165332</v>
      </c>
      <c r="H507" s="10">
        <f t="shared" si="154"/>
        <v>0.479984683</v>
      </c>
      <c r="I507" s="65">
        <v>0.02513649073</v>
      </c>
      <c r="J507" s="65">
        <v>0.03569588341</v>
      </c>
      <c r="K507" s="65">
        <v>0.03129580887653317</v>
      </c>
      <c r="L507" s="65">
        <v>0.3878565</v>
      </c>
      <c r="N507" s="66">
        <v>2.58571</v>
      </c>
      <c r="O507" s="10">
        <f t="shared" si="155"/>
        <v>2.58571</v>
      </c>
      <c r="Q507" s="67">
        <v>39.710701</v>
      </c>
      <c r="S507" s="68">
        <v>0.049037173</v>
      </c>
      <c r="T507" s="68">
        <v>0.044368362</v>
      </c>
      <c r="U507" s="68">
        <v>0.002068103</v>
      </c>
      <c r="V507" s="68">
        <v>0.0026007074</v>
      </c>
      <c r="X507" s="69">
        <v>1.2954695E-4</v>
      </c>
      <c r="Y507" s="70"/>
      <c r="Z507" s="72"/>
    </row>
    <row r="508" ht="12.75" customHeight="1">
      <c r="A508" s="1" t="s">
        <v>914</v>
      </c>
      <c r="B508" s="2" t="s">
        <v>908</v>
      </c>
      <c r="C508" s="60" t="str">
        <f t="shared" si="152"/>
        <v>A.080.02.105</v>
      </c>
      <c r="D508" s="51" t="s">
        <v>909</v>
      </c>
      <c r="E508" s="62" t="s">
        <v>45</v>
      </c>
      <c r="F508" s="63" t="str">
        <f t="shared" si="153"/>
        <v>Silica glass</v>
      </c>
      <c r="G508" s="64">
        <v>0.5261176536373122</v>
      </c>
      <c r="H508" s="10">
        <f t="shared" si="154"/>
        <v>0.5261176536</v>
      </c>
      <c r="I508" s="65">
        <v>0.02663136286</v>
      </c>
      <c r="J508" s="65">
        <v>0.03790990542000001</v>
      </c>
      <c r="K508" s="65">
        <v>0.030411455357312208</v>
      </c>
      <c r="L508" s="65">
        <v>0.43116493</v>
      </c>
      <c r="N508" s="66">
        <v>2.874432866666667</v>
      </c>
      <c r="O508" s="10">
        <f t="shared" si="155"/>
        <v>2.874432867</v>
      </c>
      <c r="Q508" s="67">
        <v>43.946385</v>
      </c>
      <c r="S508" s="68">
        <v>0.054341053</v>
      </c>
      <c r="T508" s="68">
        <v>0.049147792</v>
      </c>
      <c r="U508" s="68">
        <v>0.0022934684</v>
      </c>
      <c r="V508" s="68">
        <v>0.0028997929</v>
      </c>
      <c r="X508" s="69">
        <v>1.4348997E-4</v>
      </c>
      <c r="Y508" s="70"/>
      <c r="Z508" s="72"/>
    </row>
    <row r="509" ht="12.75" customHeight="1">
      <c r="B509" s="2"/>
      <c r="C509" s="60"/>
      <c r="D509" s="75" t="s">
        <v>915</v>
      </c>
      <c r="E509" s="62"/>
      <c r="G509" s="10"/>
      <c r="H509" s="10"/>
      <c r="I509" s="10"/>
      <c r="J509" s="10"/>
      <c r="K509" s="10"/>
      <c r="L509" s="10"/>
      <c r="N509" s="10"/>
      <c r="O509" s="10"/>
      <c r="Q509" s="67"/>
      <c r="Y509" s="71"/>
      <c r="Z509" s="72"/>
    </row>
    <row r="510" ht="12.75" customHeight="1">
      <c r="A510" s="1" t="s">
        <v>916</v>
      </c>
      <c r="B510" s="2" t="s">
        <v>908</v>
      </c>
      <c r="C510" s="60" t="str">
        <f t="shared" ref="C510:C516" si="156">MID(A510,1,12)</f>
        <v>A.080.03.101</v>
      </c>
      <c r="D510" s="51" t="s">
        <v>915</v>
      </c>
      <c r="E510" s="62" t="s">
        <v>45</v>
      </c>
      <c r="F510" s="63" t="str">
        <f t="shared" ref="F510:F516" si="157">MID(A510, 21,85)</f>
        <v>Glass bottles 100% recycled</v>
      </c>
      <c r="G510" s="64">
        <v>0.17494582212498797</v>
      </c>
      <c r="H510" s="10">
        <f t="shared" ref="H510:H516" si="158">G510</f>
        <v>0.1749458221</v>
      </c>
      <c r="I510" s="65">
        <v>0.00726453446</v>
      </c>
      <c r="J510" s="65">
        <v>0.010776373954000001</v>
      </c>
      <c r="K510" s="65">
        <v>0.005560913710987963</v>
      </c>
      <c r="L510" s="65">
        <v>0.151344</v>
      </c>
      <c r="N510" s="66">
        <v>1.00896</v>
      </c>
      <c r="O510" s="10">
        <f t="shared" ref="O510:O516" si="159">N510</f>
        <v>1.00896</v>
      </c>
      <c r="Q510" s="67">
        <v>15.336951</v>
      </c>
      <c r="S510" s="68">
        <v>0.018839419</v>
      </c>
      <c r="T510" s="68">
        <v>0.017049262</v>
      </c>
      <c r="U510" s="68">
        <v>7.9761881E-4</v>
      </c>
      <c r="V510" s="68">
        <v>9.9253784E-4</v>
      </c>
      <c r="X510" s="69">
        <v>4.9636271E-5</v>
      </c>
      <c r="Y510" s="70"/>
      <c r="Z510" s="72"/>
    </row>
    <row r="511" ht="12.75" customHeight="1">
      <c r="A511" s="1" t="s">
        <v>917</v>
      </c>
      <c r="B511" s="2" t="s">
        <v>908</v>
      </c>
      <c r="C511" s="60" t="str">
        <f t="shared" si="156"/>
        <v>A.080.03.102</v>
      </c>
      <c r="D511" s="51" t="s">
        <v>915</v>
      </c>
      <c r="E511" s="62" t="s">
        <v>45</v>
      </c>
      <c r="F511" s="63" t="str">
        <f t="shared" si="157"/>
        <v>Glass bottles recycled average EU 74%</v>
      </c>
      <c r="G511" s="64">
        <v>0.19785520245396168</v>
      </c>
      <c r="H511" s="10">
        <f t="shared" si="158"/>
        <v>0.1978552025</v>
      </c>
      <c r="I511" s="65">
        <v>0.008837832653000002</v>
      </c>
      <c r="J511" s="65">
        <v>0.012902804379999999</v>
      </c>
      <c r="K511" s="65">
        <v>0.00806856542096168</v>
      </c>
      <c r="L511" s="65">
        <v>0.168046</v>
      </c>
      <c r="N511" s="66">
        <v>1.1203066666666668</v>
      </c>
      <c r="O511" s="10">
        <f t="shared" si="159"/>
        <v>1.120306667</v>
      </c>
      <c r="Q511" s="67">
        <v>17.062374</v>
      </c>
      <c r="S511" s="68">
        <v>0.021005507</v>
      </c>
      <c r="T511" s="68">
        <v>0.019005667</v>
      </c>
      <c r="U511" s="68">
        <v>8.8838881E-4</v>
      </c>
      <c r="V511" s="68">
        <v>0.0011114511</v>
      </c>
      <c r="X511" s="69">
        <v>5.5384536E-5</v>
      </c>
      <c r="Y511" s="70"/>
      <c r="Z511" s="72"/>
    </row>
    <row r="512" ht="12.75" customHeight="1">
      <c r="A512" s="1" t="s">
        <v>918</v>
      </c>
      <c r="B512" s="2" t="s">
        <v>908</v>
      </c>
      <c r="C512" s="60" t="str">
        <f t="shared" si="156"/>
        <v>A.080.03.103</v>
      </c>
      <c r="D512" s="51" t="s">
        <v>915</v>
      </c>
      <c r="E512" s="62" t="s">
        <v>45</v>
      </c>
      <c r="F512" s="63" t="str">
        <f t="shared" si="157"/>
        <v>Glass bottles virgin</v>
      </c>
      <c r="G512" s="64">
        <v>0.2630588326407061</v>
      </c>
      <c r="H512" s="10">
        <f t="shared" si="158"/>
        <v>0.2630588326</v>
      </c>
      <c r="I512" s="65">
        <v>0.01331568173</v>
      </c>
      <c r="J512" s="65">
        <v>0.018954952722000002</v>
      </c>
      <c r="K512" s="65">
        <v>0.015205728188706105</v>
      </c>
      <c r="L512" s="65">
        <v>0.21558247</v>
      </c>
      <c r="N512" s="66">
        <v>1.4372164666666667</v>
      </c>
      <c r="O512" s="10">
        <f t="shared" si="159"/>
        <v>1.437216467</v>
      </c>
      <c r="Q512" s="67">
        <v>21.973193</v>
      </c>
      <c r="S512" s="68">
        <v>0.027170527</v>
      </c>
      <c r="T512" s="68">
        <v>0.024573896</v>
      </c>
      <c r="U512" s="68">
        <v>0.0011467342</v>
      </c>
      <c r="V512" s="68">
        <v>0.0014498964</v>
      </c>
      <c r="X512" s="69">
        <v>7.1744983E-5</v>
      </c>
      <c r="Y512" s="70"/>
      <c r="Z512" s="48"/>
    </row>
    <row r="513" ht="12.75" customHeight="1">
      <c r="A513" s="1" t="s">
        <v>919</v>
      </c>
      <c r="B513" s="2" t="s">
        <v>908</v>
      </c>
      <c r="C513" s="60" t="str">
        <f t="shared" si="156"/>
        <v>A.080.03.104</v>
      </c>
      <c r="D513" s="51" t="s">
        <v>915</v>
      </c>
      <c r="E513" s="62" t="s">
        <v>45</v>
      </c>
      <c r="F513" s="63" t="str">
        <f t="shared" si="157"/>
        <v>Glass bottles flint (=clean transparant), EoL-RIR in Europe 40%</v>
      </c>
      <c r="G513" s="64">
        <v>0.22781362646263886</v>
      </c>
      <c r="H513" s="10">
        <f t="shared" si="158"/>
        <v>0.2278136265</v>
      </c>
      <c r="I513" s="65">
        <v>0.010895222780000002</v>
      </c>
      <c r="J513" s="65">
        <v>0.015683521127</v>
      </c>
      <c r="K513" s="65">
        <v>0.011347802555638848</v>
      </c>
      <c r="L513" s="65">
        <v>0.18988708</v>
      </c>
      <c r="N513" s="66">
        <v>1.2659138666666667</v>
      </c>
      <c r="O513" s="10">
        <f t="shared" si="159"/>
        <v>1.265913867</v>
      </c>
      <c r="Q513" s="67">
        <v>19.318696</v>
      </c>
      <c r="S513" s="68">
        <v>0.023838084</v>
      </c>
      <c r="T513" s="68">
        <v>0.021564042</v>
      </c>
      <c r="U513" s="68">
        <v>0.0010070881</v>
      </c>
      <c r="V513" s="68">
        <v>0.001266953</v>
      </c>
      <c r="X513" s="69">
        <v>6.2901498E-5</v>
      </c>
      <c r="Y513" s="77"/>
      <c r="Z513" s="48"/>
    </row>
    <row r="514" ht="12.75" customHeight="1">
      <c r="A514" s="1" t="s">
        <v>920</v>
      </c>
      <c r="B514" s="2" t="s">
        <v>908</v>
      </c>
      <c r="C514" s="60" t="str">
        <f t="shared" si="156"/>
        <v>A.080.03.105</v>
      </c>
      <c r="D514" s="51" t="s">
        <v>915</v>
      </c>
      <c r="E514" s="62" t="s">
        <v>45</v>
      </c>
      <c r="F514" s="63" t="str">
        <f t="shared" si="157"/>
        <v>Glass bottles brown EoL-RIR in Europe 50%</v>
      </c>
      <c r="G514" s="64">
        <v>0.21900232207782205</v>
      </c>
      <c r="H514" s="10">
        <f t="shared" si="158"/>
        <v>0.2190023221</v>
      </c>
      <c r="I514" s="65">
        <v>0.01029010804</v>
      </c>
      <c r="J514" s="65">
        <v>0.014865663332999999</v>
      </c>
      <c r="K514" s="65">
        <v>0.010383320704822034</v>
      </c>
      <c r="L514" s="65">
        <v>0.18346323</v>
      </c>
      <c r="N514" s="66">
        <v>1.2230882</v>
      </c>
      <c r="O514" s="10">
        <f t="shared" si="159"/>
        <v>1.2230882</v>
      </c>
      <c r="Q514" s="67">
        <v>18.655072</v>
      </c>
      <c r="S514" s="68">
        <v>0.023004973</v>
      </c>
      <c r="T514" s="68">
        <v>0.020811579</v>
      </c>
      <c r="U514" s="68">
        <v>9.7217651E-4</v>
      </c>
      <c r="V514" s="68">
        <v>0.0012212171</v>
      </c>
      <c r="X514" s="69">
        <v>6.0690627E-5</v>
      </c>
      <c r="Y514" s="77"/>
      <c r="Z514" s="72"/>
    </row>
    <row r="515" ht="12.75" customHeight="1">
      <c r="A515" s="1" t="s">
        <v>921</v>
      </c>
      <c r="B515" s="2" t="s">
        <v>908</v>
      </c>
      <c r="C515" s="60" t="str">
        <f t="shared" si="156"/>
        <v>A.080.03.106</v>
      </c>
      <c r="D515" s="51" t="s">
        <v>915</v>
      </c>
      <c r="E515" s="62" t="s">
        <v>45</v>
      </c>
      <c r="F515" s="63" t="str">
        <f t="shared" si="157"/>
        <v>Glass bottles green EoL-RIR in Europe 80%</v>
      </c>
      <c r="G515" s="64">
        <v>0.19256842001457158</v>
      </c>
      <c r="H515" s="10">
        <f t="shared" si="158"/>
        <v>0.19256842</v>
      </c>
      <c r="I515" s="65">
        <v>0.008474763829999999</v>
      </c>
      <c r="J515" s="65">
        <v>0.012412089652</v>
      </c>
      <c r="K515" s="65">
        <v>0.007489876532571591</v>
      </c>
      <c r="L515" s="65">
        <v>0.16419169</v>
      </c>
      <c r="N515" s="66">
        <v>1.0946112666666667</v>
      </c>
      <c r="O515" s="10">
        <f t="shared" si="159"/>
        <v>1.094611267</v>
      </c>
      <c r="Q515" s="67">
        <v>16.664199</v>
      </c>
      <c r="S515" s="68">
        <v>0.02050564</v>
      </c>
      <c r="T515" s="68">
        <v>0.018554189</v>
      </c>
      <c r="U515" s="68">
        <v>8.6744189E-4</v>
      </c>
      <c r="V515" s="68">
        <v>0.0010840096</v>
      </c>
      <c r="X515" s="69">
        <v>5.4058014E-5</v>
      </c>
      <c r="Y515" s="77"/>
      <c r="Z515" s="72"/>
    </row>
    <row r="516" ht="12.75" customHeight="1">
      <c r="A516" s="1" t="s">
        <v>922</v>
      </c>
      <c r="B516" s="2" t="s">
        <v>908</v>
      </c>
      <c r="C516" s="60" t="str">
        <f t="shared" si="156"/>
        <v>A.080.03.107</v>
      </c>
      <c r="D516" s="51" t="s">
        <v>915</v>
      </c>
      <c r="E516" s="62" t="s">
        <v>45</v>
      </c>
      <c r="F516" s="63" t="str">
        <f t="shared" si="157"/>
        <v>Glass bottles unspecified colour EoL-RIR in Europe 52%</v>
      </c>
      <c r="G516" s="64">
        <v>0.21724006131865867</v>
      </c>
      <c r="H516" s="10">
        <f t="shared" si="158"/>
        <v>0.2172400613</v>
      </c>
      <c r="I516" s="65">
        <v>0.01016908513</v>
      </c>
      <c r="J516" s="65">
        <v>0.01470209172</v>
      </c>
      <c r="K516" s="65">
        <v>0.010190424468658673</v>
      </c>
      <c r="L516" s="65">
        <v>0.18217846</v>
      </c>
      <c r="N516" s="66">
        <v>1.2145230666666667</v>
      </c>
      <c r="O516" s="10">
        <f t="shared" si="159"/>
        <v>1.214523067</v>
      </c>
      <c r="Q516" s="67">
        <v>18.522347</v>
      </c>
      <c r="S516" s="68">
        <v>0.022838351</v>
      </c>
      <c r="T516" s="68">
        <v>0.020661086</v>
      </c>
      <c r="U516" s="68">
        <v>9.6519421E-4</v>
      </c>
      <c r="V516" s="68">
        <v>0.00121207</v>
      </c>
      <c r="X516" s="69">
        <v>6.0248453E-5</v>
      </c>
      <c r="Y516" s="77"/>
      <c r="Z516" s="72"/>
    </row>
    <row r="517" ht="12.75" customHeight="1">
      <c r="B517" s="2"/>
      <c r="C517" s="60"/>
      <c r="D517" s="51"/>
      <c r="E517" s="62"/>
      <c r="G517" s="10"/>
      <c r="H517" s="10"/>
      <c r="I517" s="10"/>
      <c r="J517" s="10"/>
      <c r="K517" s="10"/>
      <c r="L517" s="10"/>
      <c r="N517" s="10"/>
      <c r="O517" s="10"/>
      <c r="Q517" s="67"/>
      <c r="Y517" s="74"/>
      <c r="Z517" s="72"/>
    </row>
    <row r="518" ht="12.75" customHeight="1">
      <c r="B518" s="2"/>
      <c r="C518" s="60"/>
      <c r="D518" s="75" t="s">
        <v>923</v>
      </c>
      <c r="E518" s="62"/>
      <c r="G518" s="10"/>
      <c r="H518" s="10"/>
      <c r="I518" s="10"/>
      <c r="J518" s="10"/>
      <c r="K518" s="10"/>
      <c r="L518" s="10"/>
      <c r="N518" s="10"/>
      <c r="O518" s="10"/>
      <c r="Q518" s="67"/>
      <c r="Y518" s="74"/>
      <c r="Z518" s="72"/>
    </row>
    <row r="519" ht="12.75" customHeight="1">
      <c r="A519" s="1" t="s">
        <v>924</v>
      </c>
      <c r="B519" s="2" t="s">
        <v>925</v>
      </c>
      <c r="C519" s="60" t="str">
        <f t="shared" ref="C519:C523" si="160">MID(A519,1,12)</f>
        <v>A.090.01.101</v>
      </c>
      <c r="D519" s="51" t="s">
        <v>923</v>
      </c>
      <c r="E519" s="62" t="s">
        <v>45</v>
      </c>
      <c r="F519" s="63" t="str">
        <f t="shared" ref="F519:F523" si="161">MID(A519, 21,85)</f>
        <v>Glare 1-3/2-0.3</v>
      </c>
      <c r="G519" s="64">
        <v>3.43627869534613</v>
      </c>
      <c r="H519" s="10">
        <f t="shared" ref="H519:H523" si="162">G519</f>
        <v>3.436278695</v>
      </c>
      <c r="I519" s="65">
        <v>0.1385665113</v>
      </c>
      <c r="J519" s="65">
        <v>0.41944207514</v>
      </c>
      <c r="K519" s="65">
        <v>0.78831720890613</v>
      </c>
      <c r="L519" s="65">
        <v>2.0899529</v>
      </c>
      <c r="N519" s="66">
        <v>13.933019333333334</v>
      </c>
      <c r="O519" s="10">
        <f t="shared" ref="O519:O523" si="163">N519</f>
        <v>13.93301933</v>
      </c>
      <c r="Q519" s="67">
        <v>214.86997</v>
      </c>
      <c r="S519" s="68">
        <v>0.3705537</v>
      </c>
      <c r="T519" s="68">
        <v>0.34935196</v>
      </c>
      <c r="U519" s="68">
        <v>0.012304062</v>
      </c>
      <c r="V519" s="68">
        <v>0.0088976838</v>
      </c>
      <c r="X519" s="69">
        <v>8.0441734E-4</v>
      </c>
      <c r="Y519" s="70"/>
      <c r="Z519" s="48"/>
    </row>
    <row r="520" ht="12.75" customHeight="1">
      <c r="A520" s="1" t="s">
        <v>926</v>
      </c>
      <c r="B520" s="2" t="s">
        <v>925</v>
      </c>
      <c r="C520" s="60" t="str">
        <f t="shared" si="160"/>
        <v>A.090.01.102</v>
      </c>
      <c r="D520" s="51" t="s">
        <v>923</v>
      </c>
      <c r="E520" s="62" t="s">
        <v>45</v>
      </c>
      <c r="F520" s="63" t="str">
        <f t="shared" si="161"/>
        <v>Glare 3-3/2-0.2</v>
      </c>
      <c r="G520" s="64">
        <v>2.6717919753139503</v>
      </c>
      <c r="H520" s="10">
        <f t="shared" si="162"/>
        <v>2.671791975</v>
      </c>
      <c r="I520" s="65">
        <v>0.10664001270000001</v>
      </c>
      <c r="J520" s="65">
        <v>0.33355154831</v>
      </c>
      <c r="K520" s="65">
        <v>0.5676750143039501</v>
      </c>
      <c r="L520" s="65">
        <v>1.6639254</v>
      </c>
      <c r="N520" s="66">
        <v>11.092836000000002</v>
      </c>
      <c r="O520" s="10">
        <f t="shared" si="163"/>
        <v>11.092836</v>
      </c>
      <c r="Q520" s="67">
        <v>181.49954</v>
      </c>
      <c r="S520" s="68">
        <v>0.25359691</v>
      </c>
      <c r="T520" s="68">
        <v>0.23629439</v>
      </c>
      <c r="U520" s="68">
        <v>0.0096621438</v>
      </c>
      <c r="V520" s="68">
        <v>0.0076403768</v>
      </c>
      <c r="X520" s="69">
        <v>6.3509928E-4</v>
      </c>
      <c r="Y520" s="70"/>
      <c r="Z520" s="48"/>
    </row>
    <row r="521" ht="12.75" customHeight="1">
      <c r="A521" s="1" t="s">
        <v>927</v>
      </c>
      <c r="B521" s="2" t="s">
        <v>925</v>
      </c>
      <c r="C521" s="60" t="str">
        <f t="shared" si="160"/>
        <v>A.090.01.103</v>
      </c>
      <c r="D521" s="51" t="s">
        <v>923</v>
      </c>
      <c r="E521" s="62" t="s">
        <v>45</v>
      </c>
      <c r="F521" s="63" t="str">
        <f t="shared" si="161"/>
        <v>Glare 3-6/5-0.4</v>
      </c>
      <c r="G521" s="64">
        <v>2.21470756402569</v>
      </c>
      <c r="H521" s="10">
        <f t="shared" si="162"/>
        <v>2.214707564</v>
      </c>
      <c r="I521" s="65">
        <v>0.08918277320000001</v>
      </c>
      <c r="J521" s="65">
        <v>0.27393958335999996</v>
      </c>
      <c r="K521" s="65">
        <v>0.59606930746569</v>
      </c>
      <c r="L521" s="65">
        <v>1.2555159</v>
      </c>
      <c r="N521" s="66">
        <v>8.370106</v>
      </c>
      <c r="O521" s="10">
        <f t="shared" si="163"/>
        <v>8.370106</v>
      </c>
      <c r="Q521" s="67">
        <v>114.00107</v>
      </c>
      <c r="S521" s="68">
        <v>0.20692339</v>
      </c>
      <c r="T521" s="68">
        <v>0.19516953</v>
      </c>
      <c r="U521" s="68">
        <v>0.0075556518</v>
      </c>
      <c r="V521" s="68">
        <v>0.00419821</v>
      </c>
      <c r="X521" s="69">
        <v>4.78984E-4</v>
      </c>
      <c r="Y521" s="70"/>
      <c r="Z521" s="72"/>
    </row>
    <row r="522" ht="12.75" customHeight="1">
      <c r="A522" s="1" t="s">
        <v>928</v>
      </c>
      <c r="B522" s="2" t="s">
        <v>925</v>
      </c>
      <c r="C522" s="60" t="str">
        <f t="shared" si="160"/>
        <v>A.090.01.104</v>
      </c>
      <c r="D522" s="51" t="s">
        <v>923</v>
      </c>
      <c r="E522" s="62" t="s">
        <v>45</v>
      </c>
      <c r="F522" s="63" t="str">
        <f t="shared" si="161"/>
        <v>Glare 4-6/5-0.4</v>
      </c>
      <c r="G522" s="64">
        <v>7.97789398729879</v>
      </c>
      <c r="H522" s="10">
        <f t="shared" si="162"/>
        <v>7.977893987</v>
      </c>
      <c r="I522" s="65">
        <v>0.326300266</v>
      </c>
      <c r="J522" s="65">
        <v>1.10341893515</v>
      </c>
      <c r="K522" s="65">
        <v>2.0614492861487896</v>
      </c>
      <c r="L522" s="65">
        <v>4.4867255</v>
      </c>
      <c r="N522" s="66">
        <v>29.911503333333336</v>
      </c>
      <c r="O522" s="10">
        <f t="shared" si="163"/>
        <v>29.91150333</v>
      </c>
      <c r="Q522" s="67">
        <v>415.50897</v>
      </c>
      <c r="S522" s="68">
        <v>0.73768369</v>
      </c>
      <c r="T522" s="68">
        <v>0.69475512</v>
      </c>
      <c r="U522" s="68">
        <v>0.027093972</v>
      </c>
      <c r="V522" s="68">
        <v>0.015834603</v>
      </c>
      <c r="X522" s="69">
        <v>0.0017301426</v>
      </c>
      <c r="Y522" s="70"/>
      <c r="Z522" s="72"/>
    </row>
    <row r="523" ht="12.75" customHeight="1">
      <c r="A523" s="1" t="s">
        <v>929</v>
      </c>
      <c r="B523" s="2" t="s">
        <v>925</v>
      </c>
      <c r="C523" s="60" t="str">
        <f t="shared" si="160"/>
        <v>A.090.01.105</v>
      </c>
      <c r="D523" s="51" t="s">
        <v>923</v>
      </c>
      <c r="E523" s="62" t="s">
        <v>729</v>
      </c>
      <c r="F523" s="63" t="str">
        <f t="shared" si="161"/>
        <v>Hylite (1 m2  1.2 mm thickness  1.8 ton/m3)</v>
      </c>
      <c r="G523" s="64">
        <v>4.5451282314179995</v>
      </c>
      <c r="H523" s="10">
        <f t="shared" si="162"/>
        <v>4.545128231</v>
      </c>
      <c r="I523" s="65">
        <v>0.018195435918</v>
      </c>
      <c r="J523" s="65">
        <v>1.3553501954999998</v>
      </c>
      <c r="K523" s="65">
        <v>1.2593521</v>
      </c>
      <c r="L523" s="65">
        <v>1.9122305</v>
      </c>
      <c r="N523" s="66">
        <v>12.748203333333333</v>
      </c>
      <c r="O523" s="10">
        <f t="shared" si="163"/>
        <v>12.74820333</v>
      </c>
      <c r="Q523" s="67">
        <v>229.36719</v>
      </c>
      <c r="S523" s="68">
        <v>0.66384524</v>
      </c>
      <c r="T523" s="68">
        <v>0.63590594</v>
      </c>
      <c r="U523" s="68">
        <v>0.017984146</v>
      </c>
      <c r="V523" s="68">
        <v>0.0099551559</v>
      </c>
      <c r="X523" s="69">
        <v>0.0010022451</v>
      </c>
      <c r="Y523" s="70"/>
      <c r="Z523" s="72"/>
    </row>
    <row r="524" ht="12.75" customHeight="1">
      <c r="B524" s="2"/>
      <c r="C524" s="60"/>
      <c r="D524" s="51"/>
      <c r="E524" s="62"/>
      <c r="G524" s="10"/>
      <c r="H524" s="10"/>
      <c r="I524" s="10"/>
      <c r="J524" s="10"/>
      <c r="K524" s="10"/>
      <c r="L524" s="10"/>
      <c r="N524" s="10"/>
      <c r="O524" s="10"/>
      <c r="Q524" s="67"/>
      <c r="Y524" s="71"/>
      <c r="Z524" s="72"/>
    </row>
    <row r="525" ht="12.75" customHeight="1">
      <c r="B525" s="2"/>
      <c r="C525" s="60"/>
      <c r="D525" s="75" t="s">
        <v>930</v>
      </c>
      <c r="E525" s="62"/>
      <c r="G525" s="10"/>
      <c r="H525" s="10"/>
      <c r="I525" s="10"/>
      <c r="J525" s="10"/>
      <c r="K525" s="10"/>
      <c r="L525" s="10"/>
      <c r="N525" s="10"/>
      <c r="O525" s="10"/>
      <c r="Q525" s="67"/>
      <c r="Y525" s="71"/>
      <c r="Z525" s="48"/>
    </row>
    <row r="526" ht="12.75" customHeight="1">
      <c r="A526" s="1" t="s">
        <v>931</v>
      </c>
      <c r="B526" s="2" t="s">
        <v>932</v>
      </c>
      <c r="C526" s="60" t="str">
        <f t="shared" ref="C526:C532" si="164">MID(A526,1,12)</f>
        <v>A.100.02.101</v>
      </c>
      <c r="D526" s="51" t="s">
        <v>930</v>
      </c>
      <c r="E526" s="62" t="s">
        <v>45</v>
      </c>
      <c r="F526" s="63" t="str">
        <f t="shared" ref="F526:F532" si="165">MID(A526, 21,85)</f>
        <v>Steel market mix USA 69.2% EAF for beams &amp; sheet</v>
      </c>
      <c r="G526" s="64">
        <v>0.2725184641831935</v>
      </c>
      <c r="H526" s="10">
        <f t="shared" ref="H526:H532" si="166">G526</f>
        <v>0.2725184642</v>
      </c>
      <c r="I526" s="65">
        <v>0.015804857877868998</v>
      </c>
      <c r="J526" s="65">
        <v>0.048710466305324496</v>
      </c>
      <c r="K526" s="65">
        <v>0.0219912</v>
      </c>
      <c r="L526" s="65">
        <v>0.18601194</v>
      </c>
      <c r="N526" s="66">
        <v>1.2400796</v>
      </c>
      <c r="O526" s="10">
        <f t="shared" ref="O526:O532" si="167">N526</f>
        <v>1.2400796</v>
      </c>
      <c r="Q526" s="67">
        <v>14.468374</v>
      </c>
      <c r="S526" s="68">
        <v>0.025677218</v>
      </c>
      <c r="T526" s="68">
        <v>0.023569042</v>
      </c>
      <c r="U526" s="68">
        <v>0.0010484037</v>
      </c>
      <c r="V526" s="68">
        <v>0.0010597722</v>
      </c>
      <c r="X526" s="69">
        <v>5.924666E-5</v>
      </c>
      <c r="Y526" s="70"/>
      <c r="Z526" s="72"/>
    </row>
    <row r="527" ht="12.75" customHeight="1">
      <c r="A527" s="1" t="s">
        <v>933</v>
      </c>
      <c r="B527" s="2" t="s">
        <v>932</v>
      </c>
      <c r="C527" s="60" t="str">
        <f t="shared" si="164"/>
        <v>A.100.02.102</v>
      </c>
      <c r="D527" s="51" t="s">
        <v>930</v>
      </c>
      <c r="E527" s="62" t="s">
        <v>45</v>
      </c>
      <c r="F527" s="63" t="str">
        <f t="shared" si="165"/>
        <v>Steel virgin + 15% scrap BOF for beams &amp; sheet</v>
      </c>
      <c r="G527" s="64">
        <v>0.5862061847471756</v>
      </c>
      <c r="H527" s="10">
        <f t="shared" si="166"/>
        <v>0.5862061847</v>
      </c>
      <c r="I527" s="65">
        <v>0.03189927405028</v>
      </c>
      <c r="J527" s="65">
        <v>0.1065569106968955</v>
      </c>
      <c r="K527" s="65">
        <v>0.0714</v>
      </c>
      <c r="L527" s="65">
        <v>0.37635</v>
      </c>
      <c r="N527" s="66">
        <v>2.5090000000000003</v>
      </c>
      <c r="O527" s="10">
        <f t="shared" si="167"/>
        <v>2.509</v>
      </c>
      <c r="Q527" s="67">
        <v>23.95995</v>
      </c>
      <c r="S527" s="68">
        <v>0.057049329</v>
      </c>
      <c r="T527" s="68">
        <v>0.053028885</v>
      </c>
      <c r="U527" s="68">
        <v>0.0022229174</v>
      </c>
      <c r="V527" s="68">
        <v>0.0017975271</v>
      </c>
      <c r="X527" s="69">
        <v>1.1825115E-4</v>
      </c>
      <c r="Y527" s="70"/>
      <c r="Z527" s="72"/>
    </row>
    <row r="528" ht="12.75" customHeight="1">
      <c r="A528" s="1" t="s">
        <v>934</v>
      </c>
      <c r="B528" s="2" t="s">
        <v>932</v>
      </c>
      <c r="C528" s="60" t="str">
        <f t="shared" si="164"/>
        <v>A.100.02.103</v>
      </c>
      <c r="D528" s="51" t="s">
        <v>930</v>
      </c>
      <c r="E528" s="62" t="s">
        <v>45</v>
      </c>
      <c r="F528" s="63" t="str">
        <f t="shared" si="165"/>
        <v>Steel from 100% scrap EAF for beams &amp; sheet</v>
      </c>
      <c r="G528" s="64">
        <v>0.1329002294703228</v>
      </c>
      <c r="H528" s="10">
        <f t="shared" si="166"/>
        <v>0.1329002295</v>
      </c>
      <c r="I528" s="65">
        <v>0.008641447084368</v>
      </c>
      <c r="J528" s="65">
        <v>0.02296378238595479</v>
      </c>
      <c r="K528" s="65">
        <v>0.0</v>
      </c>
      <c r="L528" s="65">
        <v>0.101295</v>
      </c>
      <c r="N528" s="66">
        <v>0.6753</v>
      </c>
      <c r="O528" s="10">
        <f t="shared" si="167"/>
        <v>0.6753</v>
      </c>
      <c r="Q528" s="67">
        <v>10.2438</v>
      </c>
      <c r="S528" s="68">
        <v>0.011713909</v>
      </c>
      <c r="T528" s="68">
        <v>0.010456858</v>
      </c>
      <c r="U528" s="68">
        <v>5.2564324E-4</v>
      </c>
      <c r="V528" s="68">
        <v>7.3140732E-4</v>
      </c>
      <c r="X528" s="69">
        <v>3.2984545E-5</v>
      </c>
      <c r="Y528" s="70"/>
      <c r="Z528" s="72"/>
    </row>
    <row r="529" ht="12.75" customHeight="1">
      <c r="A529" s="1" t="s">
        <v>935</v>
      </c>
      <c r="B529" s="2" t="s">
        <v>932</v>
      </c>
      <c r="C529" s="60" t="str">
        <f t="shared" si="164"/>
        <v>A.100.02.104</v>
      </c>
      <c r="D529" s="51" t="s">
        <v>930</v>
      </c>
      <c r="E529" s="62" t="s">
        <v>45</v>
      </c>
      <c r="F529" s="63" t="str">
        <f t="shared" si="165"/>
        <v>Steel market mix Europe 49.8% EAF for beams &amp; sheet</v>
      </c>
      <c r="G529" s="64">
        <v>0.360459818488704</v>
      </c>
      <c r="H529" s="10">
        <f t="shared" si="166"/>
        <v>0.3604598185</v>
      </c>
      <c r="I529" s="65">
        <v>0.020316875793257</v>
      </c>
      <c r="J529" s="65">
        <v>0.064927532695447</v>
      </c>
      <c r="K529" s="65">
        <v>0.0358428</v>
      </c>
      <c r="L529" s="65">
        <v>0.23937261</v>
      </c>
      <c r="N529" s="66">
        <v>1.5958174</v>
      </c>
      <c r="O529" s="10">
        <f t="shared" si="167"/>
        <v>1.5958174</v>
      </c>
      <c r="Q529" s="67">
        <v>17.129307</v>
      </c>
      <c r="S529" s="68">
        <v>0.03447229</v>
      </c>
      <c r="T529" s="68">
        <v>0.031828015</v>
      </c>
      <c r="U529" s="68">
        <v>0.0013776749</v>
      </c>
      <c r="V529" s="68">
        <v>0.0012665995</v>
      </c>
      <c r="X529" s="69">
        <v>7.5788382E-5</v>
      </c>
      <c r="Y529" s="70"/>
      <c r="Z529" s="72"/>
    </row>
    <row r="530" ht="12.75" customHeight="1">
      <c r="A530" s="1" t="s">
        <v>936</v>
      </c>
      <c r="B530" s="2" t="s">
        <v>932</v>
      </c>
      <c r="C530" s="60" t="str">
        <f t="shared" si="164"/>
        <v>A.100.02.105</v>
      </c>
      <c r="D530" s="51" t="s">
        <v>930</v>
      </c>
      <c r="E530" s="62" t="s">
        <v>45</v>
      </c>
      <c r="F530" s="63" t="str">
        <f t="shared" si="165"/>
        <v>Steel market mix China 9% EAF for beams &amp; sheet</v>
      </c>
      <c r="G530" s="64">
        <v>0.5408755882494913</v>
      </c>
      <c r="H530" s="10">
        <f t="shared" si="166"/>
        <v>0.5408755882</v>
      </c>
      <c r="I530" s="65">
        <v>0.02957349075369</v>
      </c>
      <c r="J530" s="65">
        <v>0.0981975974958014</v>
      </c>
      <c r="K530" s="65">
        <v>0.06426</v>
      </c>
      <c r="L530" s="65">
        <v>0.3488445</v>
      </c>
      <c r="N530" s="66">
        <v>2.3256300000000003</v>
      </c>
      <c r="O530" s="10">
        <f t="shared" si="167"/>
        <v>2.32563</v>
      </c>
      <c r="Q530" s="67">
        <v>22.588335</v>
      </c>
      <c r="S530" s="68">
        <v>0.052515787</v>
      </c>
      <c r="T530" s="68">
        <v>0.048771682</v>
      </c>
      <c r="U530" s="68">
        <v>0.00205319</v>
      </c>
      <c r="V530" s="68">
        <v>0.0016909151</v>
      </c>
      <c r="X530" s="69">
        <v>1.0972449E-4</v>
      </c>
      <c r="Y530" s="70"/>
      <c r="Z530" s="72"/>
    </row>
    <row r="531" ht="12.75" customHeight="1">
      <c r="A531" s="1" t="s">
        <v>937</v>
      </c>
      <c r="B531" s="2" t="s">
        <v>932</v>
      </c>
      <c r="C531" s="60" t="str">
        <f t="shared" si="164"/>
        <v>A.100.02.106</v>
      </c>
      <c r="D531" s="51" t="s">
        <v>930</v>
      </c>
      <c r="E531" s="62" t="s">
        <v>45</v>
      </c>
      <c r="F531" s="63" t="str">
        <f t="shared" si="165"/>
        <v>Steel welded pipes 8.5% scrap BOF</v>
      </c>
      <c r="G531" s="64">
        <v>0.5598123614542319</v>
      </c>
      <c r="H531" s="10">
        <f t="shared" si="166"/>
        <v>0.5598123615</v>
      </c>
      <c r="I531" s="65">
        <v>0.00899835937324</v>
      </c>
      <c r="J531" s="65">
        <v>0.0541040020809918</v>
      </c>
      <c r="K531" s="65">
        <v>0.07686</v>
      </c>
      <c r="L531" s="65">
        <v>0.41985</v>
      </c>
      <c r="N531" s="66">
        <v>2.799</v>
      </c>
      <c r="O531" s="10">
        <f t="shared" si="167"/>
        <v>2.799</v>
      </c>
      <c r="Q531" s="67">
        <v>30.156</v>
      </c>
      <c r="S531" s="68">
        <v>0.063612614</v>
      </c>
      <c r="T531" s="68">
        <v>0.058934428</v>
      </c>
      <c r="U531" s="68">
        <v>0.002431624</v>
      </c>
      <c r="V531" s="68">
        <v>0.0022465617</v>
      </c>
      <c r="X531" s="69">
        <v>1.307684E-4</v>
      </c>
      <c r="Y531" s="70"/>
      <c r="Z531" s="72"/>
    </row>
    <row r="532" ht="12.75" customHeight="1">
      <c r="A532" s="1" t="s">
        <v>938</v>
      </c>
      <c r="B532" s="2" t="s">
        <v>932</v>
      </c>
      <c r="C532" s="60" t="str">
        <f t="shared" si="164"/>
        <v>A.100.02.107</v>
      </c>
      <c r="D532" s="51" t="s">
        <v>930</v>
      </c>
      <c r="E532" s="62" t="s">
        <v>45</v>
      </c>
      <c r="F532" s="63" t="str">
        <f t="shared" si="165"/>
        <v>Steel seamless pipes 33% scrap BOF</v>
      </c>
      <c r="G532" s="64">
        <v>0.694993167</v>
      </c>
      <c r="H532" s="10">
        <f t="shared" si="166"/>
        <v>0.694993167</v>
      </c>
      <c r="I532" s="65">
        <v>0.049572</v>
      </c>
      <c r="J532" s="65">
        <v>0.115591167</v>
      </c>
      <c r="K532" s="65">
        <v>0.05628</v>
      </c>
      <c r="L532" s="65">
        <v>0.47355</v>
      </c>
      <c r="N532" s="66">
        <v>3.1570000000000005</v>
      </c>
      <c r="O532" s="10">
        <f t="shared" si="167"/>
        <v>3.157</v>
      </c>
      <c r="Q532" s="67">
        <v>30.261</v>
      </c>
      <c r="S532" s="68">
        <v>0.053590739</v>
      </c>
      <c r="T532" s="68">
        <v>0.048889487</v>
      </c>
      <c r="U532" s="68">
        <v>0.0024722081</v>
      </c>
      <c r="V532" s="68">
        <v>0.0022290437</v>
      </c>
      <c r="X532" s="69">
        <v>1.3452593E-4</v>
      </c>
      <c r="Y532" s="70"/>
      <c r="Z532" s="72"/>
    </row>
    <row r="533" ht="12.75" customHeight="1">
      <c r="B533" s="2"/>
      <c r="C533" s="60"/>
      <c r="D533" s="75" t="s">
        <v>939</v>
      </c>
      <c r="E533" s="62"/>
      <c r="G533" s="10"/>
      <c r="H533" s="10"/>
      <c r="I533" s="10"/>
      <c r="J533" s="10"/>
      <c r="K533" s="10"/>
      <c r="L533" s="10"/>
      <c r="N533" s="10"/>
      <c r="O533" s="10"/>
      <c r="Q533" s="67"/>
      <c r="Y533" s="71"/>
      <c r="Z533" s="72"/>
    </row>
    <row r="534" ht="12.75" customHeight="1">
      <c r="A534" s="1" t="s">
        <v>940</v>
      </c>
      <c r="B534" s="2" t="s">
        <v>932</v>
      </c>
      <c r="C534" s="60" t="str">
        <f t="shared" ref="C534:C541" si="168">MID(A534,1,12)</f>
        <v>A.100.04.101</v>
      </c>
      <c r="D534" s="51" t="s">
        <v>939</v>
      </c>
      <c r="E534" s="62" t="s">
        <v>45</v>
      </c>
      <c r="F534" s="63" t="str">
        <f t="shared" ref="F534:F541" si="169">MID(A534, 21,85)</f>
        <v>GG15</v>
      </c>
      <c r="G534" s="64">
        <v>0.253197394277636</v>
      </c>
      <c r="H534" s="10">
        <f t="shared" ref="H534:H541" si="170">G534</f>
        <v>0.2531973943</v>
      </c>
      <c r="I534" s="65">
        <v>0.012833876025</v>
      </c>
      <c r="J534" s="65">
        <v>0.0299511872165</v>
      </c>
      <c r="K534" s="65">
        <v>0.028018671036135985</v>
      </c>
      <c r="L534" s="65">
        <v>0.18239366</v>
      </c>
      <c r="N534" s="66">
        <v>1.2159577333333336</v>
      </c>
      <c r="O534" s="10">
        <f t="shared" ref="O534:O541" si="171">N534</f>
        <v>1.215957733</v>
      </c>
      <c r="Q534" s="67">
        <v>15.486332</v>
      </c>
      <c r="S534" s="68">
        <v>0.036313745</v>
      </c>
      <c r="T534" s="68">
        <v>0.034193514</v>
      </c>
      <c r="U534" s="68">
        <v>0.0010041049</v>
      </c>
      <c r="V534" s="68">
        <v>0.0011161254</v>
      </c>
      <c r="X534" s="69">
        <v>6.0696101E-5</v>
      </c>
      <c r="Y534" s="70"/>
      <c r="Z534" s="48"/>
    </row>
    <row r="535" ht="12.75" customHeight="1">
      <c r="A535" s="1" t="s">
        <v>941</v>
      </c>
      <c r="B535" s="2" t="s">
        <v>932</v>
      </c>
      <c r="C535" s="60" t="str">
        <f t="shared" si="168"/>
        <v>A.100.04.102</v>
      </c>
      <c r="D535" s="51" t="s">
        <v>939</v>
      </c>
      <c r="E535" s="62" t="s">
        <v>45</v>
      </c>
      <c r="F535" s="63" t="str">
        <f t="shared" si="169"/>
        <v>GG35</v>
      </c>
      <c r="G535" s="64">
        <v>0.253197394277636</v>
      </c>
      <c r="H535" s="10">
        <f t="shared" si="170"/>
        <v>0.2531973943</v>
      </c>
      <c r="I535" s="65">
        <v>0.012833876025</v>
      </c>
      <c r="J535" s="65">
        <v>0.0299511872165</v>
      </c>
      <c r="K535" s="65">
        <v>0.028018671036135985</v>
      </c>
      <c r="L535" s="65">
        <v>0.18239366</v>
      </c>
      <c r="N535" s="66">
        <v>1.2159577333333336</v>
      </c>
      <c r="O535" s="10">
        <f t="shared" si="171"/>
        <v>1.215957733</v>
      </c>
      <c r="Q535" s="67">
        <v>15.486332</v>
      </c>
      <c r="S535" s="68">
        <v>0.036313745</v>
      </c>
      <c r="T535" s="68">
        <v>0.034193514</v>
      </c>
      <c r="U535" s="68">
        <v>0.0010041049</v>
      </c>
      <c r="V535" s="68">
        <v>0.0011161254</v>
      </c>
      <c r="X535" s="69">
        <v>6.0696101E-5</v>
      </c>
      <c r="Y535" s="70"/>
      <c r="Z535" s="72"/>
    </row>
    <row r="536" ht="12.75" customHeight="1">
      <c r="A536" s="1" t="s">
        <v>942</v>
      </c>
      <c r="B536" s="2" t="s">
        <v>932</v>
      </c>
      <c r="C536" s="60" t="str">
        <f t="shared" si="168"/>
        <v>A.100.04.103</v>
      </c>
      <c r="D536" s="51" t="s">
        <v>939</v>
      </c>
      <c r="E536" s="62" t="s">
        <v>45</v>
      </c>
      <c r="F536" s="63" t="str">
        <f t="shared" si="169"/>
        <v>GGG-NiCr</v>
      </c>
      <c r="G536" s="64">
        <v>2.8172246884864487</v>
      </c>
      <c r="H536" s="10">
        <f t="shared" si="170"/>
        <v>2.817224688</v>
      </c>
      <c r="I536" s="65">
        <v>0.06443304148</v>
      </c>
      <c r="J536" s="65">
        <v>1.2235878403433</v>
      </c>
      <c r="K536" s="65">
        <v>1.1728978266631482</v>
      </c>
      <c r="L536" s="65">
        <v>0.35630598</v>
      </c>
      <c r="N536" s="66">
        <v>2.3753732000000003</v>
      </c>
      <c r="O536" s="10">
        <f t="shared" si="171"/>
        <v>2.3753732</v>
      </c>
      <c r="Q536" s="67">
        <v>35.373629</v>
      </c>
      <c r="S536" s="68">
        <v>0.43836444</v>
      </c>
      <c r="T536" s="68">
        <v>0.42665263</v>
      </c>
      <c r="U536" s="68">
        <v>0.0088034095</v>
      </c>
      <c r="V536" s="68">
        <v>0.0029083974</v>
      </c>
      <c r="X536" s="69">
        <v>4.6995524E-4</v>
      </c>
      <c r="Y536" s="70"/>
      <c r="Z536" s="72"/>
    </row>
    <row r="537" ht="12.75" customHeight="1">
      <c r="A537" s="1" t="s">
        <v>943</v>
      </c>
      <c r="B537" s="2" t="s">
        <v>932</v>
      </c>
      <c r="C537" s="60" t="str">
        <f t="shared" si="168"/>
        <v>A.100.04.104</v>
      </c>
      <c r="D537" s="51" t="s">
        <v>939</v>
      </c>
      <c r="E537" s="62" t="s">
        <v>45</v>
      </c>
      <c r="F537" s="63" t="str">
        <f t="shared" si="169"/>
        <v>GGG-NiSiCr</v>
      </c>
      <c r="G537" s="64">
        <v>2.8385488140714843</v>
      </c>
      <c r="H537" s="10">
        <f t="shared" si="170"/>
        <v>2.838548814</v>
      </c>
      <c r="I537" s="65">
        <v>0.06455692581</v>
      </c>
      <c r="J537" s="65">
        <v>1.2234171652622</v>
      </c>
      <c r="K537" s="65">
        <v>1.1868377729992843</v>
      </c>
      <c r="L537" s="65">
        <v>0.36373695</v>
      </c>
      <c r="N537" s="66">
        <v>2.424913</v>
      </c>
      <c r="O537" s="10">
        <f t="shared" si="171"/>
        <v>2.424913</v>
      </c>
      <c r="Q537" s="67">
        <v>35.894193</v>
      </c>
      <c r="S537" s="68">
        <v>0.43920516</v>
      </c>
      <c r="T537" s="68">
        <v>0.42741164</v>
      </c>
      <c r="U537" s="68">
        <v>0.0088407169</v>
      </c>
      <c r="V537" s="68">
        <v>0.0029528095</v>
      </c>
      <c r="X537" s="69">
        <v>4.7201008E-4</v>
      </c>
      <c r="Y537" s="70"/>
      <c r="Z537" s="72"/>
    </row>
    <row r="538" ht="12.75" customHeight="1">
      <c r="A538" s="1" t="s">
        <v>944</v>
      </c>
      <c r="B538" s="2" t="s">
        <v>932</v>
      </c>
      <c r="C538" s="60" t="str">
        <f t="shared" si="168"/>
        <v>A.100.04.105</v>
      </c>
      <c r="D538" s="51" t="s">
        <v>939</v>
      </c>
      <c r="E538" s="62" t="s">
        <v>45</v>
      </c>
      <c r="F538" s="63" t="str">
        <f t="shared" si="169"/>
        <v>GGG40</v>
      </c>
      <c r="G538" s="64">
        <v>0.253197394277636</v>
      </c>
      <c r="H538" s="10">
        <f t="shared" si="170"/>
        <v>0.2531973943</v>
      </c>
      <c r="I538" s="65">
        <v>0.012833876025</v>
      </c>
      <c r="J538" s="65">
        <v>0.0299511872165</v>
      </c>
      <c r="K538" s="65">
        <v>0.028018671036135985</v>
      </c>
      <c r="L538" s="65">
        <v>0.18239366</v>
      </c>
      <c r="N538" s="66">
        <v>1.2159577333333336</v>
      </c>
      <c r="O538" s="10">
        <f t="shared" si="171"/>
        <v>1.215957733</v>
      </c>
      <c r="Q538" s="67">
        <v>15.486332</v>
      </c>
      <c r="S538" s="68">
        <v>0.036313745</v>
      </c>
      <c r="T538" s="68">
        <v>0.034193514</v>
      </c>
      <c r="U538" s="68">
        <v>0.0010041049</v>
      </c>
      <c r="V538" s="68">
        <v>0.0011161254</v>
      </c>
      <c r="X538" s="69">
        <v>6.0696101E-5</v>
      </c>
      <c r="Y538" s="70"/>
      <c r="Z538" s="72"/>
    </row>
    <row r="539" ht="12.75" customHeight="1">
      <c r="A539" s="1" t="s">
        <v>945</v>
      </c>
      <c r="B539" s="2" t="s">
        <v>932</v>
      </c>
      <c r="C539" s="60" t="str">
        <f t="shared" si="168"/>
        <v>A.100.04.106</v>
      </c>
      <c r="D539" s="51" t="s">
        <v>939</v>
      </c>
      <c r="E539" s="62" t="s">
        <v>45</v>
      </c>
      <c r="F539" s="63" t="str">
        <f t="shared" si="169"/>
        <v>GGG60</v>
      </c>
      <c r="G539" s="64">
        <v>0.33113090780713594</v>
      </c>
      <c r="H539" s="10">
        <f t="shared" si="170"/>
        <v>0.3311309078</v>
      </c>
      <c r="I539" s="65">
        <v>0.0218380978</v>
      </c>
      <c r="J539" s="65">
        <v>0.074152362541</v>
      </c>
      <c r="K539" s="65">
        <v>0.027410007466135984</v>
      </c>
      <c r="L539" s="65">
        <v>0.20773044</v>
      </c>
      <c r="N539" s="66">
        <v>1.3848696</v>
      </c>
      <c r="O539" s="10">
        <f t="shared" si="171"/>
        <v>1.3848696</v>
      </c>
      <c r="Q539" s="67">
        <v>15.678808</v>
      </c>
      <c r="S539" s="68">
        <v>0.050793003</v>
      </c>
      <c r="T539" s="68">
        <v>0.048311086</v>
      </c>
      <c r="U539" s="68">
        <v>0.0013453114</v>
      </c>
      <c r="V539" s="68">
        <v>0.0011366058</v>
      </c>
      <c r="X539" s="69">
        <v>7.9491427E-5</v>
      </c>
      <c r="Y539" s="70"/>
      <c r="Z539" s="72"/>
    </row>
    <row r="540" ht="12.75" customHeight="1">
      <c r="A540" s="1" t="s">
        <v>946</v>
      </c>
      <c r="B540" s="2" t="s">
        <v>932</v>
      </c>
      <c r="C540" s="60" t="str">
        <f t="shared" si="168"/>
        <v>A.100.04.107</v>
      </c>
      <c r="D540" s="51" t="s">
        <v>939</v>
      </c>
      <c r="E540" s="62" t="s">
        <v>45</v>
      </c>
      <c r="F540" s="63" t="str">
        <f t="shared" si="169"/>
        <v>GGG70</v>
      </c>
      <c r="G540" s="64">
        <v>0.269617014602636</v>
      </c>
      <c r="H540" s="10">
        <f t="shared" si="170"/>
        <v>0.2696170146</v>
      </c>
      <c r="I540" s="65">
        <v>0.01384363125</v>
      </c>
      <c r="J540" s="65">
        <v>0.0343202372165</v>
      </c>
      <c r="K540" s="65">
        <v>0.030919606136135987</v>
      </c>
      <c r="L540" s="65">
        <v>0.19053354</v>
      </c>
      <c r="N540" s="66">
        <v>1.2702236</v>
      </c>
      <c r="O540" s="10">
        <f t="shared" si="171"/>
        <v>1.2702236</v>
      </c>
      <c r="Q540" s="67">
        <v>15.578039</v>
      </c>
      <c r="S540" s="68">
        <v>0.03816785</v>
      </c>
      <c r="T540" s="68">
        <v>0.03598125</v>
      </c>
      <c r="U540" s="68">
        <v>0.0010701636</v>
      </c>
      <c r="V540" s="68">
        <v>0.001116437</v>
      </c>
      <c r="X540" s="69">
        <v>6.5231992E-5</v>
      </c>
      <c r="Y540" s="70"/>
      <c r="Z540" s="72"/>
    </row>
    <row r="541" ht="12.75" customHeight="1">
      <c r="A541" s="1" t="s">
        <v>947</v>
      </c>
      <c r="B541" s="2" t="s">
        <v>932</v>
      </c>
      <c r="C541" s="60" t="str">
        <f t="shared" si="168"/>
        <v>A.100.04.108</v>
      </c>
      <c r="D541" s="51" t="s">
        <v>939</v>
      </c>
      <c r="E541" s="62" t="s">
        <v>45</v>
      </c>
      <c r="F541" s="63" t="str">
        <f t="shared" si="169"/>
        <v>GGL-NiCuCr</v>
      </c>
      <c r="G541" s="64">
        <v>2.2468807948359983</v>
      </c>
      <c r="H541" s="10">
        <f t="shared" si="170"/>
        <v>2.246880795</v>
      </c>
      <c r="I541" s="65">
        <v>0.05391850383</v>
      </c>
      <c r="J541" s="65">
        <v>0.9574507887025999</v>
      </c>
      <c r="K541" s="65">
        <v>0.9196442223033986</v>
      </c>
      <c r="L541" s="65">
        <v>0.31586728</v>
      </c>
      <c r="N541" s="66">
        <v>2.105781866666667</v>
      </c>
      <c r="O541" s="10">
        <f t="shared" si="171"/>
        <v>2.105781867</v>
      </c>
      <c r="Q541" s="67">
        <v>30.590458</v>
      </c>
      <c r="S541" s="68">
        <v>0.35394334</v>
      </c>
      <c r="T541" s="68">
        <v>0.34441049</v>
      </c>
      <c r="U541" s="68">
        <v>0.0070568625</v>
      </c>
      <c r="V541" s="68">
        <v>0.0024759967</v>
      </c>
      <c r="X541" s="69">
        <v>3.8248034E-4</v>
      </c>
      <c r="Y541" s="70"/>
      <c r="Z541" s="72"/>
    </row>
    <row r="542" ht="12.75" customHeight="1">
      <c r="B542" s="2"/>
      <c r="C542" s="60"/>
      <c r="D542" s="75" t="s">
        <v>948</v>
      </c>
      <c r="E542" s="62"/>
      <c r="G542" s="10"/>
      <c r="H542" s="10"/>
      <c r="I542" s="10"/>
      <c r="J542" s="10"/>
      <c r="K542" s="10"/>
      <c r="L542" s="10"/>
      <c r="N542" s="10"/>
      <c r="O542" s="10"/>
      <c r="Q542" s="67"/>
      <c r="Y542" s="71"/>
      <c r="Z542" s="72"/>
    </row>
    <row r="543" ht="12.75" customHeight="1">
      <c r="A543" s="1" t="s">
        <v>949</v>
      </c>
      <c r="B543" s="2" t="s">
        <v>932</v>
      </c>
      <c r="C543" s="60" t="str">
        <f t="shared" ref="C543:C600" si="172">MID(A543,1,12)</f>
        <v>A.100.06.101</v>
      </c>
      <c r="D543" s="51" t="s">
        <v>948</v>
      </c>
      <c r="E543" s="62" t="s">
        <v>45</v>
      </c>
      <c r="F543" s="63" t="str">
        <f t="shared" ref="F543:F600" si="173">MID(A543, 21,85)</f>
        <v>Stainless Steel (secondary), average</v>
      </c>
      <c r="G543" s="64">
        <v>0.34658778854334055</v>
      </c>
      <c r="H543" s="10">
        <f t="shared" ref="H543:H600" si="174">G543</f>
        <v>0.3465877885</v>
      </c>
      <c r="I543" s="65">
        <v>0.0253000535834</v>
      </c>
      <c r="J543" s="65">
        <v>0.066640254158</v>
      </c>
      <c r="K543" s="65">
        <v>0.008723830801940566</v>
      </c>
      <c r="L543" s="65">
        <v>0.24592365</v>
      </c>
      <c r="N543" s="66">
        <v>1.639491</v>
      </c>
      <c r="O543" s="10">
        <f t="shared" ref="O543:O600" si="175">N543</f>
        <v>1.639491</v>
      </c>
      <c r="Q543" s="67">
        <v>21.443917</v>
      </c>
      <c r="S543" s="68">
        <v>0.043257273</v>
      </c>
      <c r="T543" s="68">
        <v>0.0412091</v>
      </c>
      <c r="U543" s="68">
        <v>0.0016720974</v>
      </c>
      <c r="V543" s="68">
        <v>3.7607596E-4</v>
      </c>
      <c r="X543" s="69">
        <v>9.6167239E-5</v>
      </c>
      <c r="Y543" s="70"/>
      <c r="Z543" s="72"/>
    </row>
    <row r="544" ht="12.75" customHeight="1">
      <c r="A544" s="1" t="s">
        <v>950</v>
      </c>
      <c r="B544" s="2" t="s">
        <v>932</v>
      </c>
      <c r="C544" s="60" t="str">
        <f t="shared" si="172"/>
        <v>A.100.06.102</v>
      </c>
      <c r="D544" s="51" t="s">
        <v>948</v>
      </c>
      <c r="E544" s="62" t="s">
        <v>45</v>
      </c>
      <c r="F544" s="63" t="str">
        <f t="shared" si="173"/>
        <v>GX12Cr14 (CA15) 23% inox scrap (China)</v>
      </c>
      <c r="G544" s="64">
        <v>1.6147937767558085</v>
      </c>
      <c r="H544" s="10">
        <f t="shared" si="174"/>
        <v>1.614793777</v>
      </c>
      <c r="I544" s="65">
        <v>0.09284912546</v>
      </c>
      <c r="J544" s="65">
        <v>0.408564320615</v>
      </c>
      <c r="K544" s="65">
        <v>0.2650585506808085</v>
      </c>
      <c r="L544" s="65">
        <v>0.84832178</v>
      </c>
      <c r="N544" s="66">
        <v>5.6554785333333335</v>
      </c>
      <c r="O544" s="10">
        <f t="shared" si="175"/>
        <v>5.655478533</v>
      </c>
      <c r="Q544" s="67">
        <v>43.376366</v>
      </c>
      <c r="S544" s="68">
        <v>0.2061109</v>
      </c>
      <c r="T544" s="68">
        <v>0.19793103</v>
      </c>
      <c r="U544" s="68">
        <v>0.0064910905</v>
      </c>
      <c r="V544" s="68">
        <v>0.0016887757</v>
      </c>
      <c r="X544" s="69">
        <v>3.9539657E-4</v>
      </c>
      <c r="Y544" s="70"/>
      <c r="Z544" s="72"/>
    </row>
    <row r="545" ht="12.75" customHeight="1">
      <c r="A545" s="1" t="s">
        <v>951</v>
      </c>
      <c r="B545" s="2" t="s">
        <v>932</v>
      </c>
      <c r="C545" s="60" t="str">
        <f t="shared" si="172"/>
        <v>A.100.06.103</v>
      </c>
      <c r="D545" s="51" t="s">
        <v>948</v>
      </c>
      <c r="E545" s="62" t="s">
        <v>45</v>
      </c>
      <c r="F545" s="63" t="str">
        <f t="shared" si="173"/>
        <v>GX12Cr14 (CA15) 44% inox scrap (World)</v>
      </c>
      <c r="G545" s="64">
        <v>1.2625143411224558</v>
      </c>
      <c r="H545" s="10">
        <f t="shared" si="174"/>
        <v>1.262514341</v>
      </c>
      <c r="I545" s="65">
        <v>0.07408549414</v>
      </c>
      <c r="J545" s="65">
        <v>0.313585407143</v>
      </c>
      <c r="K545" s="65">
        <v>0.19385446983945578</v>
      </c>
      <c r="L545" s="65">
        <v>0.68098897</v>
      </c>
      <c r="N545" s="66">
        <v>4.539926466666667</v>
      </c>
      <c r="O545" s="10">
        <f t="shared" si="175"/>
        <v>4.539926467</v>
      </c>
      <c r="Q545" s="67">
        <v>37.284019</v>
      </c>
      <c r="S545" s="68">
        <v>0.16087378</v>
      </c>
      <c r="T545" s="68">
        <v>0.15439716</v>
      </c>
      <c r="U545" s="68">
        <v>0.0051524813</v>
      </c>
      <c r="V545" s="68">
        <v>0.0013241369</v>
      </c>
      <c r="X545" s="69">
        <v>3.1227731E-4</v>
      </c>
      <c r="Y545" s="70"/>
      <c r="Z545" s="72"/>
    </row>
    <row r="546" ht="12.75" customHeight="1">
      <c r="A546" s="1" t="s">
        <v>952</v>
      </c>
      <c r="B546" s="2" t="s">
        <v>932</v>
      </c>
      <c r="C546" s="60" t="str">
        <f t="shared" si="172"/>
        <v>A.100.06.104</v>
      </c>
      <c r="D546" s="51" t="s">
        <v>948</v>
      </c>
      <c r="E546" s="62" t="s">
        <v>45</v>
      </c>
      <c r="F546" s="63" t="str">
        <f t="shared" si="173"/>
        <v>GX12Cr14 (CA15) 70% inox scrap (EU, USA)</v>
      </c>
      <c r="G546" s="64">
        <v>0.846184083901967</v>
      </c>
      <c r="H546" s="10">
        <f t="shared" si="174"/>
        <v>0.8461840839</v>
      </c>
      <c r="I546" s="65">
        <v>0.0519102941</v>
      </c>
      <c r="J546" s="65">
        <v>0.20133761386600002</v>
      </c>
      <c r="K546" s="65">
        <v>0.10970417593596703</v>
      </c>
      <c r="L546" s="65">
        <v>0.483232</v>
      </c>
      <c r="N546" s="66">
        <v>3.221546666666667</v>
      </c>
      <c r="O546" s="10">
        <f t="shared" si="175"/>
        <v>3.221546667</v>
      </c>
      <c r="Q546" s="67">
        <v>30.083972</v>
      </c>
      <c r="S546" s="68">
        <v>0.10741173</v>
      </c>
      <c r="T546" s="68">
        <v>0.10294804</v>
      </c>
      <c r="U546" s="68">
        <v>0.0035704886</v>
      </c>
      <c r="V546" s="68">
        <v>8.932001E-4</v>
      </c>
      <c r="X546" s="69">
        <v>2.1404546E-4</v>
      </c>
      <c r="Y546" s="70"/>
      <c r="Z546" s="72"/>
    </row>
    <row r="547" ht="12.75" customHeight="1">
      <c r="A547" s="1" t="s">
        <v>953</v>
      </c>
      <c r="B547" s="2" t="s">
        <v>932</v>
      </c>
      <c r="C547" s="60" t="str">
        <f t="shared" si="172"/>
        <v>A.100.06.105</v>
      </c>
      <c r="D547" s="51" t="s">
        <v>948</v>
      </c>
      <c r="E547" s="62" t="s">
        <v>45</v>
      </c>
      <c r="F547" s="63" t="str">
        <f t="shared" si="173"/>
        <v>GX5CrNi19 10 (CF8) 23% inox scrap (China)</v>
      </c>
      <c r="G547" s="64">
        <v>3.612515488100046</v>
      </c>
      <c r="H547" s="10">
        <f t="shared" si="174"/>
        <v>3.612515488</v>
      </c>
      <c r="I547" s="65">
        <v>0.14354624873</v>
      </c>
      <c r="J547" s="65">
        <v>1.2983381261090001</v>
      </c>
      <c r="K547" s="65">
        <v>1.0988993132610454</v>
      </c>
      <c r="L547" s="65">
        <v>1.0717318</v>
      </c>
      <c r="N547" s="66">
        <v>7.144878666666667</v>
      </c>
      <c r="O547" s="10">
        <f t="shared" si="175"/>
        <v>7.144878667</v>
      </c>
      <c r="Q547" s="67">
        <v>56.950722</v>
      </c>
      <c r="S547" s="68">
        <v>0.51845918</v>
      </c>
      <c r="T547" s="68">
        <v>0.502862</v>
      </c>
      <c r="U547" s="68">
        <v>0.012789038</v>
      </c>
      <c r="V547" s="68">
        <v>0.0028081418</v>
      </c>
      <c r="X547" s="69">
        <v>7.4441022E-4</v>
      </c>
      <c r="Y547" s="70"/>
      <c r="Z547" s="72"/>
    </row>
    <row r="548" ht="12.75" customHeight="1">
      <c r="A548" s="1" t="s">
        <v>954</v>
      </c>
      <c r="B548" s="2" t="s">
        <v>932</v>
      </c>
      <c r="C548" s="60" t="str">
        <f t="shared" si="172"/>
        <v>A.100.06.106</v>
      </c>
      <c r="D548" s="51" t="s">
        <v>948</v>
      </c>
      <c r="E548" s="62" t="s">
        <v>45</v>
      </c>
      <c r="F548" s="63" t="str">
        <f t="shared" si="173"/>
        <v>GX5CrNi19 10 (CF8) 44% inox scrap (World)</v>
      </c>
      <c r="G548" s="64">
        <v>2.705313369526933</v>
      </c>
      <c r="H548" s="10">
        <f t="shared" si="174"/>
        <v>2.70531337</v>
      </c>
      <c r="I548" s="65">
        <v>0.11070008382</v>
      </c>
      <c r="J548" s="65">
        <v>0.956199816504</v>
      </c>
      <c r="K548" s="65">
        <v>0.7960728192029328</v>
      </c>
      <c r="L548" s="65">
        <v>0.84234065</v>
      </c>
      <c r="N548" s="66">
        <v>5.615604333333334</v>
      </c>
      <c r="O548" s="10">
        <f t="shared" si="175"/>
        <v>5.615604333</v>
      </c>
      <c r="Q548" s="67">
        <v>47.087721</v>
      </c>
      <c r="S548" s="68">
        <v>0.38645865</v>
      </c>
      <c r="T548" s="68">
        <v>0.37462508</v>
      </c>
      <c r="U548" s="68">
        <v>0.0097009992</v>
      </c>
      <c r="V548" s="68">
        <v>0.002132568</v>
      </c>
      <c r="X548" s="69">
        <v>5.6434272E-4</v>
      </c>
      <c r="Y548" s="70"/>
      <c r="Z548" s="72"/>
    </row>
    <row r="549" ht="12.75" customHeight="1">
      <c r="A549" s="1" t="s">
        <v>955</v>
      </c>
      <c r="B549" s="2" t="s">
        <v>932</v>
      </c>
      <c r="C549" s="60" t="str">
        <f t="shared" si="172"/>
        <v>A.100.06.107</v>
      </c>
      <c r="D549" s="51" t="s">
        <v>948</v>
      </c>
      <c r="E549" s="62" t="s">
        <v>45</v>
      </c>
      <c r="F549" s="63" t="str">
        <f t="shared" si="173"/>
        <v>GX5CrNi19 10 (CF8) 70% inox scrap (EU, USA)</v>
      </c>
      <c r="G549" s="64">
        <v>1.633165369093909</v>
      </c>
      <c r="H549" s="10">
        <f t="shared" si="174"/>
        <v>1.633165369</v>
      </c>
      <c r="I549" s="65">
        <v>0.0718818879</v>
      </c>
      <c r="J549" s="65">
        <v>0.551854557696</v>
      </c>
      <c r="K549" s="65">
        <v>0.43818691349790906</v>
      </c>
      <c r="L549" s="65">
        <v>0.57124201</v>
      </c>
      <c r="N549" s="66">
        <v>3.8082800666666667</v>
      </c>
      <c r="O549" s="10">
        <f t="shared" si="175"/>
        <v>3.808280067</v>
      </c>
      <c r="Q549" s="67">
        <v>35.431446</v>
      </c>
      <c r="S549" s="68">
        <v>0.23045802</v>
      </c>
      <c r="T549" s="68">
        <v>0.22307236</v>
      </c>
      <c r="U549" s="68">
        <v>0.0060514984</v>
      </c>
      <c r="V549" s="68">
        <v>0.0013341625</v>
      </c>
      <c r="X549" s="69">
        <v>3.5153568E-4</v>
      </c>
      <c r="Y549" s="70"/>
      <c r="Z549" s="72"/>
    </row>
    <row r="550" ht="12.75" customHeight="1">
      <c r="A550" s="1" t="s">
        <v>956</v>
      </c>
      <c r="B550" s="2" t="s">
        <v>932</v>
      </c>
      <c r="C550" s="60" t="str">
        <f t="shared" si="172"/>
        <v>A.100.06.108</v>
      </c>
      <c r="D550" s="51" t="s">
        <v>948</v>
      </c>
      <c r="E550" s="62" t="s">
        <v>45</v>
      </c>
      <c r="F550" s="63" t="str">
        <f t="shared" si="173"/>
        <v>X10Cr13 (mart 410) 23% inox scrap (China)</v>
      </c>
      <c r="G550" s="64">
        <v>1.7643333322483554</v>
      </c>
      <c r="H550" s="10">
        <f t="shared" si="174"/>
        <v>1.764333332</v>
      </c>
      <c r="I550" s="65">
        <v>0.14122823817</v>
      </c>
      <c r="J550" s="65">
        <v>0.390949460245</v>
      </c>
      <c r="K550" s="65">
        <v>0.29496501383335544</v>
      </c>
      <c r="L550" s="65">
        <v>0.93719062</v>
      </c>
      <c r="N550" s="66">
        <v>6.2479374666666665</v>
      </c>
      <c r="O550" s="10">
        <f t="shared" si="175"/>
        <v>6.247937467</v>
      </c>
      <c r="Q550" s="67">
        <v>46.298507</v>
      </c>
      <c r="S550" s="68">
        <v>0.5449953</v>
      </c>
      <c r="T550" s="68">
        <v>0.53644701</v>
      </c>
      <c r="U550" s="68">
        <v>0.0066553546</v>
      </c>
      <c r="V550" s="68">
        <v>0.0018929367</v>
      </c>
      <c r="X550" s="69">
        <v>4.6167691E-4</v>
      </c>
      <c r="Y550" s="70"/>
      <c r="Z550" s="72"/>
    </row>
    <row r="551" ht="12.75" customHeight="1">
      <c r="A551" s="1" t="s">
        <v>957</v>
      </c>
      <c r="B551" s="2" t="s">
        <v>932</v>
      </c>
      <c r="C551" s="60" t="str">
        <f t="shared" si="172"/>
        <v>A.100.06.109</v>
      </c>
      <c r="D551" s="51" t="s">
        <v>948</v>
      </c>
      <c r="E551" s="62" t="s">
        <v>45</v>
      </c>
      <c r="F551" s="63" t="str">
        <f t="shared" si="173"/>
        <v>X10Cr13 (mart 410) 44% inox scrap (World)</v>
      </c>
      <c r="G551" s="64">
        <v>1.3705151220391096</v>
      </c>
      <c r="H551" s="10">
        <f t="shared" si="174"/>
        <v>1.370515122</v>
      </c>
      <c r="I551" s="65">
        <v>0.10902596460000001</v>
      </c>
      <c r="J551" s="65">
        <v>0.300863567545</v>
      </c>
      <c r="K551" s="65">
        <v>0.21545356989410963</v>
      </c>
      <c r="L551" s="65">
        <v>0.74517202</v>
      </c>
      <c r="N551" s="66">
        <v>4.967813466666668</v>
      </c>
      <c r="O551" s="10">
        <f t="shared" si="175"/>
        <v>4.967813467</v>
      </c>
      <c r="Q551" s="67">
        <v>39.394454</v>
      </c>
      <c r="S551" s="68">
        <v>0.40562363</v>
      </c>
      <c r="T551" s="68">
        <v>0.39888092</v>
      </c>
      <c r="U551" s="68">
        <v>0.0052711165</v>
      </c>
      <c r="V551" s="68">
        <v>0.0014715865</v>
      </c>
      <c r="X551" s="69">
        <v>3.6014644E-4</v>
      </c>
      <c r="Y551" s="70"/>
      <c r="Z551" s="72"/>
    </row>
    <row r="552" ht="12.75" customHeight="1">
      <c r="A552" s="1" t="s">
        <v>958</v>
      </c>
      <c r="B552" s="2" t="s">
        <v>932</v>
      </c>
      <c r="C552" s="60" t="str">
        <f t="shared" si="172"/>
        <v>A.100.06.110</v>
      </c>
      <c r="D552" s="51" t="s">
        <v>948</v>
      </c>
      <c r="E552" s="62" t="s">
        <v>45</v>
      </c>
      <c r="F552" s="63" t="str">
        <f t="shared" si="173"/>
        <v>X10Cr13 (mart 410) 70% inox scrap (EU, USA)</v>
      </c>
      <c r="G552" s="64">
        <v>0.9050936062970691</v>
      </c>
      <c r="H552" s="10">
        <f t="shared" si="174"/>
        <v>0.9050936063</v>
      </c>
      <c r="I552" s="65">
        <v>0.0709687328</v>
      </c>
      <c r="J552" s="65">
        <v>0.19439842380399996</v>
      </c>
      <c r="K552" s="65">
        <v>0.12148550969306915</v>
      </c>
      <c r="L552" s="65">
        <v>0.51824094</v>
      </c>
      <c r="N552" s="66">
        <v>3.4549396</v>
      </c>
      <c r="O552" s="10">
        <f t="shared" si="175"/>
        <v>3.4549396</v>
      </c>
      <c r="Q552" s="67">
        <v>31.235119</v>
      </c>
      <c r="S552" s="68">
        <v>0.24091165</v>
      </c>
      <c r="T552" s="68">
        <v>0.23630282</v>
      </c>
      <c r="U552" s="68">
        <v>0.0036351987</v>
      </c>
      <c r="V552" s="68">
        <v>9.7362715E-4</v>
      </c>
      <c r="X552" s="69">
        <v>2.401559E-4</v>
      </c>
      <c r="Y552" s="70"/>
      <c r="Z552" s="72"/>
    </row>
    <row r="553" ht="12.75" customHeight="1">
      <c r="A553" s="1" t="s">
        <v>959</v>
      </c>
      <c r="B553" s="2" t="s">
        <v>932</v>
      </c>
      <c r="C553" s="60" t="str">
        <f t="shared" si="172"/>
        <v>A.100.06.111</v>
      </c>
      <c r="D553" s="51" t="s">
        <v>948</v>
      </c>
      <c r="E553" s="62" t="s">
        <v>45</v>
      </c>
      <c r="F553" s="63" t="str">
        <f t="shared" si="173"/>
        <v>X10CrNiMoNb 23% inox scrap (China)</v>
      </c>
      <c r="G553" s="64">
        <v>5.254953315743677</v>
      </c>
      <c r="H553" s="10">
        <f t="shared" si="174"/>
        <v>5.254953316</v>
      </c>
      <c r="I553" s="65">
        <v>0.16394216756</v>
      </c>
      <c r="J553" s="65">
        <v>1.69892934591</v>
      </c>
      <c r="K553" s="65">
        <v>2.2516982022736776</v>
      </c>
      <c r="L553" s="65">
        <v>1.1403836</v>
      </c>
      <c r="N553" s="66">
        <v>7.602557333333334</v>
      </c>
      <c r="O553" s="10">
        <f t="shared" si="175"/>
        <v>7.602557333</v>
      </c>
      <c r="Q553" s="67">
        <v>62.314548</v>
      </c>
      <c r="S553" s="68">
        <v>0.71723598</v>
      </c>
      <c r="T553" s="68">
        <v>0.69769492</v>
      </c>
      <c r="U553" s="68">
        <v>0.01545273</v>
      </c>
      <c r="V553" s="68">
        <v>0.0040883223</v>
      </c>
      <c r="X553" s="69">
        <v>0.0012706856</v>
      </c>
      <c r="Y553" s="70"/>
      <c r="Z553" s="72"/>
    </row>
    <row r="554" ht="12.75" customHeight="1">
      <c r="A554" s="1" t="s">
        <v>960</v>
      </c>
      <c r="B554" s="2" t="s">
        <v>932</v>
      </c>
      <c r="C554" s="60" t="str">
        <f t="shared" si="172"/>
        <v>A.100.06.112</v>
      </c>
      <c r="D554" s="51" t="s">
        <v>948</v>
      </c>
      <c r="E554" s="62" t="s">
        <v>45</v>
      </c>
      <c r="F554" s="63" t="str">
        <f t="shared" si="173"/>
        <v>X10CrNiMoNb 44% inox scrap (World)</v>
      </c>
      <c r="G554" s="64">
        <v>3.8915183410414125</v>
      </c>
      <c r="H554" s="10">
        <f t="shared" si="174"/>
        <v>3.891518341</v>
      </c>
      <c r="I554" s="65">
        <v>0.1254304703</v>
      </c>
      <c r="J554" s="65">
        <v>1.245515643696</v>
      </c>
      <c r="K554" s="65">
        <v>1.6286497570454126</v>
      </c>
      <c r="L554" s="65">
        <v>0.89192247</v>
      </c>
      <c r="N554" s="66">
        <v>5.946149800000001</v>
      </c>
      <c r="O554" s="10">
        <f t="shared" si="175"/>
        <v>5.9461498</v>
      </c>
      <c r="Q554" s="67">
        <v>50.961595</v>
      </c>
      <c r="S554" s="68">
        <v>0.53001967</v>
      </c>
      <c r="T554" s="68">
        <v>0.51533775</v>
      </c>
      <c r="U554" s="68">
        <v>0.011624776</v>
      </c>
      <c r="V554" s="68">
        <v>0.0030571427</v>
      </c>
      <c r="X554" s="69">
        <v>9.4443048E-4</v>
      </c>
      <c r="Y554" s="70"/>
      <c r="Z554" s="72"/>
    </row>
    <row r="555" ht="12.75" customHeight="1">
      <c r="A555" s="1" t="s">
        <v>961</v>
      </c>
      <c r="B555" s="2" t="s">
        <v>932</v>
      </c>
      <c r="C555" s="60" t="str">
        <f t="shared" si="172"/>
        <v>A.100.06.113</v>
      </c>
      <c r="D555" s="51" t="s">
        <v>948</v>
      </c>
      <c r="E555" s="62" t="s">
        <v>45</v>
      </c>
      <c r="F555" s="63" t="str">
        <f t="shared" si="173"/>
        <v>X10CrNiMoNb 70% inox scrap (EU, USA)</v>
      </c>
      <c r="G555" s="64">
        <v>2.2801862786256253</v>
      </c>
      <c r="H555" s="10">
        <f t="shared" si="174"/>
        <v>2.280186279</v>
      </c>
      <c r="I555" s="65">
        <v>0.07991664459999999</v>
      </c>
      <c r="J555" s="65">
        <v>0.7096632152500002</v>
      </c>
      <c r="K555" s="65">
        <v>0.8923197787756253</v>
      </c>
      <c r="L555" s="65">
        <v>0.59828664</v>
      </c>
      <c r="N555" s="66">
        <v>3.9885776</v>
      </c>
      <c r="O555" s="10">
        <f t="shared" si="175"/>
        <v>3.9885776</v>
      </c>
      <c r="Q555" s="67">
        <v>37.544468</v>
      </c>
      <c r="S555" s="68">
        <v>0.30876404</v>
      </c>
      <c r="T555" s="68">
        <v>0.29982473</v>
      </c>
      <c r="U555" s="68">
        <v>0.0071008313</v>
      </c>
      <c r="V555" s="68">
        <v>0.001838476</v>
      </c>
      <c r="X555" s="69">
        <v>5.5885628E-4</v>
      </c>
      <c r="Y555" s="70"/>
      <c r="Z555" s="72"/>
    </row>
    <row r="556" ht="12.75" customHeight="1">
      <c r="A556" s="1" t="s">
        <v>962</v>
      </c>
      <c r="B556" s="2" t="s">
        <v>932</v>
      </c>
      <c r="C556" s="60" t="str">
        <f t="shared" si="172"/>
        <v>A.100.06.114</v>
      </c>
      <c r="D556" s="51" t="s">
        <v>948</v>
      </c>
      <c r="E556" s="62" t="s">
        <v>45</v>
      </c>
      <c r="F556" s="63" t="str">
        <f t="shared" si="173"/>
        <v>X10CrNiS (303) 23% inox scrap (China)</v>
      </c>
      <c r="G556" s="64">
        <v>3.3892950344712807</v>
      </c>
      <c r="H556" s="10">
        <f t="shared" si="174"/>
        <v>3.389295034</v>
      </c>
      <c r="I556" s="65">
        <v>0.14243863266999998</v>
      </c>
      <c r="J556" s="65">
        <v>1.2031457745180003</v>
      </c>
      <c r="K556" s="65">
        <v>1.0028754272832803</v>
      </c>
      <c r="L556" s="65">
        <v>1.0408352</v>
      </c>
      <c r="N556" s="66">
        <v>6.938901333333334</v>
      </c>
      <c r="O556" s="10">
        <f t="shared" si="175"/>
        <v>6.938901333</v>
      </c>
      <c r="Q556" s="67">
        <v>55.143691</v>
      </c>
      <c r="S556" s="68">
        <v>0.52181782</v>
      </c>
      <c r="T556" s="68">
        <v>0.50709289</v>
      </c>
      <c r="U556" s="68">
        <v>0.012061853</v>
      </c>
      <c r="V556" s="68">
        <v>0.0026630826</v>
      </c>
      <c r="X556" s="69">
        <v>7.0950357E-4</v>
      </c>
      <c r="Y556" s="70"/>
      <c r="Z556" s="72"/>
    </row>
    <row r="557" ht="12.75" customHeight="1">
      <c r="A557" s="1" t="s">
        <v>963</v>
      </c>
      <c r="B557" s="2" t="s">
        <v>932</v>
      </c>
      <c r="C557" s="60" t="str">
        <f t="shared" si="172"/>
        <v>A.100.06.115</v>
      </c>
      <c r="D557" s="51" t="s">
        <v>948</v>
      </c>
      <c r="E557" s="62" t="s">
        <v>45</v>
      </c>
      <c r="F557" s="63" t="str">
        <f t="shared" si="173"/>
        <v>X10CrNiS (303) 44% inox scrap (World)</v>
      </c>
      <c r="G557" s="64">
        <v>2.544098547902693</v>
      </c>
      <c r="H557" s="10">
        <f t="shared" si="174"/>
        <v>2.544098548</v>
      </c>
      <c r="I557" s="65">
        <v>0.10990014205000001</v>
      </c>
      <c r="J557" s="65">
        <v>0.887449766967</v>
      </c>
      <c r="K557" s="65">
        <v>0.726722208885693</v>
      </c>
      <c r="L557" s="65">
        <v>0.82002643</v>
      </c>
      <c r="N557" s="66">
        <v>5.466842866666667</v>
      </c>
      <c r="O557" s="10">
        <f t="shared" si="175"/>
        <v>5.466842867</v>
      </c>
      <c r="Q557" s="67">
        <v>45.782642</v>
      </c>
      <c r="S557" s="68">
        <v>0.38888434</v>
      </c>
      <c r="T557" s="68">
        <v>0.37768072</v>
      </c>
      <c r="U557" s="68">
        <v>0.0091758098</v>
      </c>
      <c r="V557" s="68">
        <v>0.002027803</v>
      </c>
      <c r="X557" s="69">
        <v>5.3913237E-4</v>
      </c>
      <c r="Y557" s="70"/>
      <c r="Z557" s="72"/>
    </row>
    <row r="558" ht="12.75" customHeight="1">
      <c r="A558" s="1" t="s">
        <v>964</v>
      </c>
      <c r="B558" s="2" t="s">
        <v>932</v>
      </c>
      <c r="C558" s="60" t="str">
        <f t="shared" si="172"/>
        <v>A.100.06.116</v>
      </c>
      <c r="D558" s="51" t="s">
        <v>948</v>
      </c>
      <c r="E558" s="62" t="s">
        <v>45</v>
      </c>
      <c r="F558" s="63" t="str">
        <f t="shared" si="173"/>
        <v>X10CrNiS (303) 70% inox scrap (EU, USA)</v>
      </c>
      <c r="G558" s="64">
        <v>1.5452300143900874</v>
      </c>
      <c r="H558" s="10">
        <f t="shared" si="174"/>
        <v>1.545230014</v>
      </c>
      <c r="I558" s="65">
        <v>0.0714455563</v>
      </c>
      <c r="J558" s="65">
        <v>0.514354529947</v>
      </c>
      <c r="K558" s="65">
        <v>0.40035930814308734</v>
      </c>
      <c r="L558" s="65">
        <v>0.55907062</v>
      </c>
      <c r="N558" s="66">
        <v>3.7271374666666666</v>
      </c>
      <c r="O558" s="10">
        <f t="shared" si="175"/>
        <v>3.727137467</v>
      </c>
      <c r="Q558" s="67">
        <v>34.719585</v>
      </c>
      <c r="S558" s="68">
        <v>0.23178113</v>
      </c>
      <c r="T558" s="68">
        <v>0.22473908</v>
      </c>
      <c r="U558" s="68">
        <v>0.0057650314</v>
      </c>
      <c r="V558" s="68">
        <v>0.001277018</v>
      </c>
      <c r="X558" s="69">
        <v>3.3778458E-4</v>
      </c>
      <c r="Y558" s="70"/>
      <c r="Z558" s="72"/>
    </row>
    <row r="559" ht="12.75" customHeight="1">
      <c r="A559" s="1" t="s">
        <v>965</v>
      </c>
      <c r="B559" s="2" t="s">
        <v>932</v>
      </c>
      <c r="C559" s="60" t="str">
        <f t="shared" si="172"/>
        <v>A.100.06.117</v>
      </c>
      <c r="D559" s="51" t="s">
        <v>948</v>
      </c>
      <c r="E559" s="62" t="s">
        <v>45</v>
      </c>
      <c r="F559" s="63" t="str">
        <f t="shared" si="173"/>
        <v>X12Cr13 (416) 23% inox scrap (China)</v>
      </c>
      <c r="G559" s="64">
        <v>1.4386266898431166</v>
      </c>
      <c r="H559" s="10">
        <f t="shared" si="174"/>
        <v>1.43862669</v>
      </c>
      <c r="I559" s="65">
        <v>0.09329171889000001</v>
      </c>
      <c r="J559" s="65">
        <v>0.323933676559</v>
      </c>
      <c r="K559" s="65">
        <v>0.18083720439411666</v>
      </c>
      <c r="L559" s="65">
        <v>0.84056409</v>
      </c>
      <c r="N559" s="66">
        <v>5.6037606</v>
      </c>
      <c r="O559" s="10">
        <f t="shared" si="175"/>
        <v>5.6037606</v>
      </c>
      <c r="Q559" s="67">
        <v>41.829137</v>
      </c>
      <c r="S559" s="68">
        <v>0.20542725</v>
      </c>
      <c r="T559" s="68">
        <v>0.19793397</v>
      </c>
      <c r="U559" s="68">
        <v>0.0059478298</v>
      </c>
      <c r="V559" s="68">
        <v>0.0015454486</v>
      </c>
      <c r="X559" s="69">
        <v>3.7193056E-4</v>
      </c>
      <c r="Y559" s="70"/>
      <c r="Z559" s="72"/>
    </row>
    <row r="560" ht="12.75" customHeight="1">
      <c r="A560" s="1" t="s">
        <v>966</v>
      </c>
      <c r="B560" s="2" t="s">
        <v>932</v>
      </c>
      <c r="C560" s="60" t="str">
        <f t="shared" si="172"/>
        <v>A.100.06.118</v>
      </c>
      <c r="D560" s="51" t="s">
        <v>948</v>
      </c>
      <c r="E560" s="62" t="s">
        <v>45</v>
      </c>
      <c r="F560" s="63" t="str">
        <f t="shared" si="173"/>
        <v>X12Cr13 (416) 44% inox scrap (World)</v>
      </c>
      <c r="G560" s="64">
        <v>1.1352825446571473</v>
      </c>
      <c r="H560" s="10">
        <f t="shared" si="174"/>
        <v>1.135282545</v>
      </c>
      <c r="I560" s="65">
        <v>0.0744051452</v>
      </c>
      <c r="J560" s="65">
        <v>0.25246328354700004</v>
      </c>
      <c r="K560" s="65">
        <v>0.1330279259101472</v>
      </c>
      <c r="L560" s="65">
        <v>0.67538619</v>
      </c>
      <c r="N560" s="66">
        <v>4.5025746</v>
      </c>
      <c r="O560" s="10">
        <f t="shared" si="175"/>
        <v>4.5025746</v>
      </c>
      <c r="Q560" s="67">
        <v>36.166576</v>
      </c>
      <c r="S560" s="68">
        <v>0.16038003</v>
      </c>
      <c r="T560" s="68">
        <v>0.15439929</v>
      </c>
      <c r="U560" s="68">
        <v>0.0047601263</v>
      </c>
      <c r="V560" s="68">
        <v>0.0012206229</v>
      </c>
      <c r="X560" s="69">
        <v>2.9532964E-4</v>
      </c>
      <c r="Y560" s="70"/>
      <c r="Z560" s="72"/>
    </row>
    <row r="561" ht="12.75" customHeight="1">
      <c r="A561" s="1" t="s">
        <v>967</v>
      </c>
      <c r="B561" s="2" t="s">
        <v>932</v>
      </c>
      <c r="C561" s="60" t="str">
        <f t="shared" si="172"/>
        <v>A.100.06.119</v>
      </c>
      <c r="D561" s="51" t="s">
        <v>948</v>
      </c>
      <c r="E561" s="62" t="s">
        <v>45</v>
      </c>
      <c r="F561" s="63" t="str">
        <f t="shared" si="173"/>
        <v>X12Cr13 (416) 70% inox scrap (EU, USA)</v>
      </c>
      <c r="G561" s="64">
        <v>0.7767849232201623</v>
      </c>
      <c r="H561" s="10">
        <f t="shared" si="174"/>
        <v>0.7767849232</v>
      </c>
      <c r="I561" s="65">
        <v>0.052084648799999994</v>
      </c>
      <c r="J561" s="65">
        <v>0.16799826799099998</v>
      </c>
      <c r="K561" s="65">
        <v>0.07652606642916236</v>
      </c>
      <c r="L561" s="65">
        <v>0.48017594</v>
      </c>
      <c r="N561" s="66">
        <v>3.2011729333333334</v>
      </c>
      <c r="O561" s="10">
        <f t="shared" si="175"/>
        <v>3.201172933</v>
      </c>
      <c r="Q561" s="67">
        <v>29.474458</v>
      </c>
      <c r="S561" s="68">
        <v>0.10714242</v>
      </c>
      <c r="T561" s="68">
        <v>0.1029492</v>
      </c>
      <c r="U561" s="68">
        <v>0.0033564768</v>
      </c>
      <c r="V561" s="68">
        <v>8.3673791E-4</v>
      </c>
      <c r="X561" s="69">
        <v>2.0480127E-4</v>
      </c>
      <c r="Y561" s="70"/>
      <c r="Z561" s="72"/>
    </row>
    <row r="562" ht="12.75" customHeight="1">
      <c r="A562" s="1" t="s">
        <v>968</v>
      </c>
      <c r="B562" s="2" t="s">
        <v>932</v>
      </c>
      <c r="C562" s="60" t="str">
        <f t="shared" si="172"/>
        <v>A.100.06.120</v>
      </c>
      <c r="D562" s="51" t="s">
        <v>948</v>
      </c>
      <c r="E562" s="62" t="s">
        <v>45</v>
      </c>
      <c r="F562" s="63" t="str">
        <f t="shared" si="173"/>
        <v>X12CrNi17 7 (301) 23% inox scrap (China)</v>
      </c>
      <c r="G562" s="64">
        <v>1.4386266898431166</v>
      </c>
      <c r="H562" s="10">
        <f t="shared" si="174"/>
        <v>1.43862669</v>
      </c>
      <c r="I562" s="65">
        <v>0.09329171889000001</v>
      </c>
      <c r="J562" s="65">
        <v>0.323933676559</v>
      </c>
      <c r="K562" s="65">
        <v>0.18083720439411666</v>
      </c>
      <c r="L562" s="65">
        <v>0.84056409</v>
      </c>
      <c r="N562" s="66">
        <v>5.6037606</v>
      </c>
      <c r="O562" s="10">
        <f t="shared" si="175"/>
        <v>5.6037606</v>
      </c>
      <c r="Q562" s="67">
        <v>41.829137</v>
      </c>
      <c r="S562" s="68">
        <v>0.20542725</v>
      </c>
      <c r="T562" s="68">
        <v>0.19793397</v>
      </c>
      <c r="U562" s="68">
        <v>0.0059478298</v>
      </c>
      <c r="V562" s="68">
        <v>0.0015454486</v>
      </c>
      <c r="X562" s="69">
        <v>3.7193056E-4</v>
      </c>
      <c r="Y562" s="70"/>
      <c r="Z562" s="72"/>
    </row>
    <row r="563" ht="12.75" customHeight="1">
      <c r="A563" s="1" t="s">
        <v>969</v>
      </c>
      <c r="B563" s="2" t="s">
        <v>932</v>
      </c>
      <c r="C563" s="60" t="str">
        <f t="shared" si="172"/>
        <v>A.100.06.121</v>
      </c>
      <c r="D563" s="51" t="s">
        <v>948</v>
      </c>
      <c r="E563" s="62" t="s">
        <v>45</v>
      </c>
      <c r="F563" s="63" t="str">
        <f t="shared" si="173"/>
        <v>X12CrNi17 7 (301) 44% inox scrap (World)</v>
      </c>
      <c r="G563" s="64">
        <v>1.1352825446571473</v>
      </c>
      <c r="H563" s="10">
        <f t="shared" si="174"/>
        <v>1.135282545</v>
      </c>
      <c r="I563" s="65">
        <v>0.0744051452</v>
      </c>
      <c r="J563" s="65">
        <v>0.25246328354700004</v>
      </c>
      <c r="K563" s="65">
        <v>0.1330279259101472</v>
      </c>
      <c r="L563" s="65">
        <v>0.67538619</v>
      </c>
      <c r="N563" s="66">
        <v>4.5025746</v>
      </c>
      <c r="O563" s="10">
        <f t="shared" si="175"/>
        <v>4.5025746</v>
      </c>
      <c r="Q563" s="67">
        <v>36.166576</v>
      </c>
      <c r="S563" s="68">
        <v>0.16038003</v>
      </c>
      <c r="T563" s="68">
        <v>0.15439929</v>
      </c>
      <c r="U563" s="68">
        <v>0.0047601263</v>
      </c>
      <c r="V563" s="68">
        <v>0.0012206229</v>
      </c>
      <c r="X563" s="69">
        <v>2.9532964E-4</v>
      </c>
      <c r="Y563" s="70"/>
      <c r="Z563" s="72"/>
    </row>
    <row r="564" ht="12.75" customHeight="1">
      <c r="A564" s="1" t="s">
        <v>970</v>
      </c>
      <c r="B564" s="2" t="s">
        <v>932</v>
      </c>
      <c r="C564" s="60" t="str">
        <f t="shared" si="172"/>
        <v>A.100.06.122</v>
      </c>
      <c r="D564" s="51" t="s">
        <v>948</v>
      </c>
      <c r="E564" s="62" t="s">
        <v>45</v>
      </c>
      <c r="F564" s="63" t="str">
        <f t="shared" si="173"/>
        <v>X12CrNi17 7 (301) 70% inox scrap (EU, USA)</v>
      </c>
      <c r="G564" s="64">
        <v>0.7767849232201623</v>
      </c>
      <c r="H564" s="10">
        <f t="shared" si="174"/>
        <v>0.7767849232</v>
      </c>
      <c r="I564" s="65">
        <v>0.052084648799999994</v>
      </c>
      <c r="J564" s="65">
        <v>0.16799826799099998</v>
      </c>
      <c r="K564" s="65">
        <v>0.07652606642916236</v>
      </c>
      <c r="L564" s="65">
        <v>0.48017594</v>
      </c>
      <c r="N564" s="66">
        <v>3.2011729333333334</v>
      </c>
      <c r="O564" s="10">
        <f t="shared" si="175"/>
        <v>3.201172933</v>
      </c>
      <c r="Q564" s="67">
        <v>29.474458</v>
      </c>
      <c r="S564" s="68">
        <v>0.10714242</v>
      </c>
      <c r="T564" s="68">
        <v>0.1029492</v>
      </c>
      <c r="U564" s="68">
        <v>0.0033564768</v>
      </c>
      <c r="V564" s="68">
        <v>8.3673791E-4</v>
      </c>
      <c r="X564" s="69">
        <v>2.0480127E-4</v>
      </c>
      <c r="Y564" s="70"/>
      <c r="Z564" s="72"/>
    </row>
    <row r="565" ht="12.75" customHeight="1">
      <c r="A565" s="1" t="s">
        <v>971</v>
      </c>
      <c r="B565" s="2" t="s">
        <v>932</v>
      </c>
      <c r="C565" s="60" t="str">
        <f t="shared" si="172"/>
        <v>A.100.06.123</v>
      </c>
      <c r="D565" s="51" t="s">
        <v>948</v>
      </c>
      <c r="E565" s="62" t="s">
        <v>45</v>
      </c>
      <c r="F565" s="63" t="str">
        <f t="shared" si="173"/>
        <v>X20Cr13 (420) 23% inox scrap (China)</v>
      </c>
      <c r="G565" s="64">
        <v>1.8182334694511164</v>
      </c>
      <c r="H565" s="10">
        <f t="shared" si="174"/>
        <v>1.818233469</v>
      </c>
      <c r="I565" s="65">
        <v>0.10094474974999999</v>
      </c>
      <c r="J565" s="65">
        <v>0.39327781030699993</v>
      </c>
      <c r="K565" s="65">
        <v>0.4705458993941167</v>
      </c>
      <c r="L565" s="65">
        <v>0.85346501</v>
      </c>
      <c r="N565" s="66">
        <v>5.689766733333333</v>
      </c>
      <c r="O565" s="10">
        <f t="shared" si="175"/>
        <v>5.689766733</v>
      </c>
      <c r="Q565" s="67">
        <v>42.395606</v>
      </c>
      <c r="S565" s="68">
        <v>0.22798017</v>
      </c>
      <c r="T565" s="68">
        <v>0.2197637</v>
      </c>
      <c r="U565" s="68">
        <v>0.0064189408</v>
      </c>
      <c r="V565" s="68">
        <v>0.0017975217</v>
      </c>
      <c r="X565" s="69">
        <v>5.0665471E-4</v>
      </c>
      <c r="Y565" s="70"/>
      <c r="Z565" s="72"/>
    </row>
    <row r="566" ht="12.75" customHeight="1">
      <c r="A566" s="1" t="s">
        <v>972</v>
      </c>
      <c r="B566" s="2" t="s">
        <v>932</v>
      </c>
      <c r="C566" s="60" t="str">
        <f t="shared" si="172"/>
        <v>A.100.06.124</v>
      </c>
      <c r="D566" s="51" t="s">
        <v>948</v>
      </c>
      <c r="E566" s="62" t="s">
        <v>45</v>
      </c>
      <c r="F566" s="63" t="str">
        <f t="shared" si="173"/>
        <v>X20Cr13 (420) 44% inox scrap (World)</v>
      </c>
      <c r="G566" s="64">
        <v>1.4094429940751472</v>
      </c>
      <c r="H566" s="10">
        <f t="shared" si="174"/>
        <v>1.409442994</v>
      </c>
      <c r="I566" s="65">
        <v>0.0799323338</v>
      </c>
      <c r="J566" s="65">
        <v>0.302545149365</v>
      </c>
      <c r="K566" s="65">
        <v>0.3422619909101472</v>
      </c>
      <c r="L566" s="65">
        <v>0.68470352</v>
      </c>
      <c r="N566" s="66">
        <v>4.564690133333333</v>
      </c>
      <c r="O566" s="10">
        <f t="shared" si="175"/>
        <v>4.564690133</v>
      </c>
      <c r="Q566" s="67">
        <v>36.575692</v>
      </c>
      <c r="S566" s="68">
        <v>0.17666825</v>
      </c>
      <c r="T566" s="68">
        <v>0.1701652</v>
      </c>
      <c r="U566" s="68">
        <v>0.0051003732</v>
      </c>
      <c r="V566" s="68">
        <v>0.0014026757</v>
      </c>
      <c r="X566" s="69">
        <v>3.9263041E-4</v>
      </c>
      <c r="Y566" s="70"/>
      <c r="Z566" s="72"/>
    </row>
    <row r="567" ht="12.75" customHeight="1">
      <c r="A567" s="1" t="s">
        <v>973</v>
      </c>
      <c r="B567" s="2" t="s">
        <v>932</v>
      </c>
      <c r="C567" s="60" t="str">
        <f t="shared" si="172"/>
        <v>A.100.06.125</v>
      </c>
      <c r="D567" s="51" t="s">
        <v>948</v>
      </c>
      <c r="E567" s="62" t="s">
        <v>45</v>
      </c>
      <c r="F567" s="63" t="str">
        <f t="shared" si="173"/>
        <v>X20Cr13 (420) 70% inox scrap (EU, USA)</v>
      </c>
      <c r="G567" s="64">
        <v>0.9263269929751623</v>
      </c>
      <c r="H567" s="10">
        <f t="shared" si="174"/>
        <v>0.926326993</v>
      </c>
      <c r="I567" s="65">
        <v>0.0550994792</v>
      </c>
      <c r="J567" s="65">
        <v>0.195315651346</v>
      </c>
      <c r="K567" s="65">
        <v>0.19065374242916233</v>
      </c>
      <c r="L567" s="65">
        <v>0.48525812</v>
      </c>
      <c r="N567" s="66">
        <v>3.2350541333333336</v>
      </c>
      <c r="O567" s="10">
        <f t="shared" si="175"/>
        <v>3.235054133</v>
      </c>
      <c r="Q567" s="67">
        <v>29.697612</v>
      </c>
      <c r="S567" s="68">
        <v>0.1160269</v>
      </c>
      <c r="T567" s="68">
        <v>0.11154879</v>
      </c>
      <c r="U567" s="68">
        <v>0.003542066</v>
      </c>
      <c r="V567" s="68">
        <v>9.3603945E-4</v>
      </c>
      <c r="X567" s="69">
        <v>2.5787442E-4</v>
      </c>
      <c r="Y567" s="70"/>
      <c r="Z567" s="72"/>
    </row>
    <row r="568" ht="12.75" customHeight="1">
      <c r="A568" s="1" t="s">
        <v>974</v>
      </c>
      <c r="B568" s="2" t="s">
        <v>932</v>
      </c>
      <c r="C568" s="60" t="str">
        <f t="shared" si="172"/>
        <v>A.100.06.126</v>
      </c>
      <c r="D568" s="51" t="s">
        <v>948</v>
      </c>
      <c r="E568" s="62" t="s">
        <v>45</v>
      </c>
      <c r="F568" s="63" t="str">
        <f t="shared" si="173"/>
        <v>X22CrNi17 (431) 23% inox scrap (China)</v>
      </c>
      <c r="G568" s="64">
        <v>1.9286901844996591</v>
      </c>
      <c r="H568" s="10">
        <f t="shared" si="174"/>
        <v>1.928690184</v>
      </c>
      <c r="I568" s="65">
        <v>0.10702890577999999</v>
      </c>
      <c r="J568" s="65">
        <v>0.528836788913</v>
      </c>
      <c r="K568" s="65">
        <v>0.36796328980665893</v>
      </c>
      <c r="L568" s="65">
        <v>0.9248612</v>
      </c>
      <c r="N568" s="66">
        <v>6.165741333333334</v>
      </c>
      <c r="O568" s="10">
        <f t="shared" si="175"/>
        <v>6.165741333</v>
      </c>
      <c r="Q568" s="67">
        <v>44.87421</v>
      </c>
      <c r="S568" s="68">
        <v>0.26630117</v>
      </c>
      <c r="T568" s="68">
        <v>0.25696905</v>
      </c>
      <c r="U568" s="68">
        <v>0.0075714317</v>
      </c>
      <c r="V568" s="68">
        <v>0.0017606917</v>
      </c>
      <c r="X568" s="69">
        <v>4.6456547E-4</v>
      </c>
      <c r="Y568" s="70"/>
      <c r="Z568" s="72"/>
    </row>
    <row r="569" ht="12.75" customHeight="1">
      <c r="A569" s="1" t="s">
        <v>975</v>
      </c>
      <c r="B569" s="2" t="s">
        <v>932</v>
      </c>
      <c r="C569" s="60" t="str">
        <f t="shared" si="172"/>
        <v>A.100.06.127</v>
      </c>
      <c r="D569" s="51" t="s">
        <v>948</v>
      </c>
      <c r="E569" s="62" t="s">
        <v>45</v>
      </c>
      <c r="F569" s="63" t="str">
        <f t="shared" si="173"/>
        <v>X22CrNi17 (431) 44% inox scrap (World)</v>
      </c>
      <c r="G569" s="64">
        <v>1.489217293656563</v>
      </c>
      <c r="H569" s="10">
        <f t="shared" si="174"/>
        <v>1.489217294</v>
      </c>
      <c r="I569" s="65">
        <v>0.08432644709</v>
      </c>
      <c r="J569" s="65">
        <v>0.400448860914</v>
      </c>
      <c r="K569" s="65">
        <v>0.26817455565256326</v>
      </c>
      <c r="L569" s="65">
        <v>0.73626743</v>
      </c>
      <c r="N569" s="66">
        <v>4.908449533333333</v>
      </c>
      <c r="O569" s="10">
        <f t="shared" si="175"/>
        <v>4.908449533</v>
      </c>
      <c r="Q569" s="67">
        <v>38.365795</v>
      </c>
      <c r="S569" s="68">
        <v>0.20434453</v>
      </c>
      <c r="T569" s="68">
        <v>0.19703573</v>
      </c>
      <c r="U569" s="68">
        <v>0.0059327277</v>
      </c>
      <c r="V569" s="68">
        <v>0.0013760762</v>
      </c>
      <c r="X569" s="69">
        <v>3.6223262E-4</v>
      </c>
      <c r="Y569" s="70"/>
      <c r="Z569" s="72"/>
    </row>
    <row r="570" ht="12.75" customHeight="1">
      <c r="A570" s="1" t="s">
        <v>976</v>
      </c>
      <c r="B570" s="2" t="s">
        <v>932</v>
      </c>
      <c r="C570" s="60" t="str">
        <f t="shared" si="172"/>
        <v>A.100.06.128</v>
      </c>
      <c r="D570" s="51" t="s">
        <v>948</v>
      </c>
      <c r="E570" s="62" t="s">
        <v>45</v>
      </c>
      <c r="F570" s="63" t="str">
        <f t="shared" si="173"/>
        <v>X22CrNi17 (431) 70% inox scrap (EU, USA)</v>
      </c>
      <c r="G570" s="64">
        <v>0.9698402459475711</v>
      </c>
      <c r="H570" s="10">
        <f t="shared" si="174"/>
        <v>0.9698402459</v>
      </c>
      <c r="I570" s="65">
        <v>0.05749626819999999</v>
      </c>
      <c r="J570" s="65">
        <v>0.24871767936800002</v>
      </c>
      <c r="K570" s="65">
        <v>0.15024240837957112</v>
      </c>
      <c r="L570" s="65">
        <v>0.51338389</v>
      </c>
      <c r="N570" s="66">
        <v>3.4225592666666667</v>
      </c>
      <c r="O570" s="10">
        <f t="shared" si="175"/>
        <v>3.422559267</v>
      </c>
      <c r="Q570" s="67">
        <v>30.674032</v>
      </c>
      <c r="S570" s="68">
        <v>0.13112305</v>
      </c>
      <c r="T570" s="68">
        <v>0.12620544</v>
      </c>
      <c r="U570" s="68">
        <v>0.0039960776</v>
      </c>
      <c r="V570" s="68">
        <v>9.2153065E-4</v>
      </c>
      <c r="X570" s="69">
        <v>2.4129381E-4</v>
      </c>
      <c r="Y570" s="70"/>
      <c r="Z570" s="72"/>
    </row>
    <row r="571" ht="12.75" customHeight="1">
      <c r="A571" s="1" t="s">
        <v>977</v>
      </c>
      <c r="B571" s="2" t="s">
        <v>932</v>
      </c>
      <c r="C571" s="60" t="str">
        <f t="shared" si="172"/>
        <v>A.100.06.129</v>
      </c>
      <c r="D571" s="51" t="s">
        <v>948</v>
      </c>
      <c r="E571" s="62" t="s">
        <v>45</v>
      </c>
      <c r="F571" s="63" t="str">
        <f t="shared" si="173"/>
        <v>X2CrNiMo1712 (316L) 23% imox scrap (China)</v>
      </c>
      <c r="G571" s="64">
        <v>5.020085164765473</v>
      </c>
      <c r="H571" s="10">
        <f t="shared" si="174"/>
        <v>5.020085165</v>
      </c>
      <c r="I571" s="65">
        <v>0.1622737085</v>
      </c>
      <c r="J571" s="65">
        <v>1.573062379128</v>
      </c>
      <c r="K571" s="65">
        <v>2.185173977137473</v>
      </c>
      <c r="L571" s="65">
        <v>1.0995751</v>
      </c>
      <c r="N571" s="66">
        <v>7.330500666666667</v>
      </c>
      <c r="O571" s="10">
        <f t="shared" si="175"/>
        <v>7.330500667</v>
      </c>
      <c r="Q571" s="67">
        <v>57.140163</v>
      </c>
      <c r="S571" s="68">
        <v>0.69618698</v>
      </c>
      <c r="T571" s="68">
        <v>0.67791845</v>
      </c>
      <c r="U571" s="68">
        <v>0.014492675</v>
      </c>
      <c r="V571" s="68">
        <v>0.0037758471</v>
      </c>
      <c r="X571" s="69">
        <v>0.0013004434</v>
      </c>
      <c r="Y571" s="70"/>
      <c r="Z571" s="72"/>
    </row>
    <row r="572" ht="12.75" customHeight="1">
      <c r="A572" s="1" t="s">
        <v>978</v>
      </c>
      <c r="B572" s="2" t="s">
        <v>932</v>
      </c>
      <c r="C572" s="60" t="str">
        <f t="shared" si="172"/>
        <v>A.100.06.130</v>
      </c>
      <c r="D572" s="51" t="s">
        <v>948</v>
      </c>
      <c r="E572" s="62" t="s">
        <v>45</v>
      </c>
      <c r="F572" s="63" t="str">
        <f t="shared" si="173"/>
        <v>X2CrNiMo1712 (316L) 44% imox scrap (World)</v>
      </c>
      <c r="G572" s="64">
        <v>3.7218915156121453</v>
      </c>
      <c r="H572" s="10">
        <f t="shared" si="174"/>
        <v>3.721891516</v>
      </c>
      <c r="I572" s="65">
        <v>0.12422546737000001</v>
      </c>
      <c r="J572" s="65">
        <v>1.154611812684</v>
      </c>
      <c r="K572" s="65">
        <v>1.5806045055581455</v>
      </c>
      <c r="L572" s="65">
        <v>0.86244973</v>
      </c>
      <c r="N572" s="66">
        <v>5.749664866666667</v>
      </c>
      <c r="O572" s="10">
        <f t="shared" si="175"/>
        <v>5.749664867</v>
      </c>
      <c r="Q572" s="67">
        <v>47.224539</v>
      </c>
      <c r="S572" s="68">
        <v>0.51481761</v>
      </c>
      <c r="T572" s="68">
        <v>0.50105474</v>
      </c>
      <c r="U572" s="68">
        <v>0.010931404</v>
      </c>
      <c r="V572" s="68">
        <v>0.0028314662</v>
      </c>
      <c r="X572" s="69">
        <v>9.6592224E-4</v>
      </c>
      <c r="Y572" s="70"/>
      <c r="Z572" s="72"/>
    </row>
    <row r="573" ht="12.75" customHeight="1">
      <c r="A573" s="1" t="s">
        <v>979</v>
      </c>
      <c r="B573" s="2" t="s">
        <v>932</v>
      </c>
      <c r="C573" s="60" t="str">
        <f t="shared" si="172"/>
        <v>A.100.06.131</v>
      </c>
      <c r="D573" s="51" t="s">
        <v>948</v>
      </c>
      <c r="E573" s="62" t="s">
        <v>45</v>
      </c>
      <c r="F573" s="63" t="str">
        <f t="shared" si="173"/>
        <v>X2CrNiMo1712 (316L) 70% imox scrap (EU, USA)</v>
      </c>
      <c r="G573" s="64">
        <v>2.187662547082116</v>
      </c>
      <c r="H573" s="10">
        <f t="shared" si="174"/>
        <v>2.187662547</v>
      </c>
      <c r="I573" s="65">
        <v>0.0792593706</v>
      </c>
      <c r="J573" s="65">
        <v>0.6600792812449999</v>
      </c>
      <c r="K573" s="65">
        <v>0.866113295237116</v>
      </c>
      <c r="L573" s="65">
        <v>0.5822106</v>
      </c>
      <c r="N573" s="66">
        <v>3.8814040000000003</v>
      </c>
      <c r="O573" s="10">
        <f t="shared" si="175"/>
        <v>3.881404</v>
      </c>
      <c r="Q573" s="67">
        <v>35.506074</v>
      </c>
      <c r="S573" s="68">
        <v>0.300472</v>
      </c>
      <c r="T573" s="68">
        <v>0.292034</v>
      </c>
      <c r="U573" s="68">
        <v>0.0067226281</v>
      </c>
      <c r="V573" s="68">
        <v>0.0017153797</v>
      </c>
      <c r="X573" s="69">
        <v>5.7057906E-4</v>
      </c>
      <c r="Y573" s="70"/>
      <c r="Z573" s="72"/>
    </row>
    <row r="574" ht="12.75" customHeight="1">
      <c r="A574" s="1" t="s">
        <v>980</v>
      </c>
      <c r="B574" s="2" t="s">
        <v>932</v>
      </c>
      <c r="C574" s="60" t="str">
        <f t="shared" si="172"/>
        <v>A.100.06.132</v>
      </c>
      <c r="D574" s="51" t="s">
        <v>948</v>
      </c>
      <c r="E574" s="62" t="s">
        <v>45</v>
      </c>
      <c r="F574" s="63" t="str">
        <f t="shared" si="173"/>
        <v>X30Cr13 (~420) 23% inox scrap (China)</v>
      </c>
      <c r="G574" s="64">
        <v>1.4339321263431168</v>
      </c>
      <c r="H574" s="10">
        <f t="shared" si="174"/>
        <v>1.433932126</v>
      </c>
      <c r="I574" s="65">
        <v>0.09199823139</v>
      </c>
      <c r="J574" s="65">
        <v>0.32212827155900003</v>
      </c>
      <c r="K574" s="65">
        <v>0.17995484339411666</v>
      </c>
      <c r="L574" s="65">
        <v>0.83985078</v>
      </c>
      <c r="N574" s="66">
        <v>5.599005200000001</v>
      </c>
      <c r="O574" s="10">
        <f t="shared" si="175"/>
        <v>5.5990052</v>
      </c>
      <c r="Q574" s="67">
        <v>41.861478</v>
      </c>
      <c r="S574" s="68">
        <v>0.19595832</v>
      </c>
      <c r="T574" s="68">
        <v>0.18847188</v>
      </c>
      <c r="U574" s="68">
        <v>0.0059377728</v>
      </c>
      <c r="V574" s="68">
        <v>0.0015486682</v>
      </c>
      <c r="X574" s="69">
        <v>3.6987753E-4</v>
      </c>
      <c r="Y574" s="70"/>
      <c r="Z574" s="72"/>
    </row>
    <row r="575" ht="12.75" customHeight="1">
      <c r="A575" s="1" t="s">
        <v>981</v>
      </c>
      <c r="B575" s="2" t="s">
        <v>932</v>
      </c>
      <c r="C575" s="60" t="str">
        <f t="shared" si="172"/>
        <v>A.100.06.133</v>
      </c>
      <c r="D575" s="51" t="s">
        <v>948</v>
      </c>
      <c r="E575" s="62" t="s">
        <v>45</v>
      </c>
      <c r="F575" s="63" t="str">
        <f t="shared" si="173"/>
        <v>X30Cr13 (~420) 44% inox scrap (World)</v>
      </c>
      <c r="G575" s="64">
        <v>1.1318920336571472</v>
      </c>
      <c r="H575" s="10">
        <f t="shared" si="174"/>
        <v>1.131892034</v>
      </c>
      <c r="I575" s="65">
        <v>0.07347096019999999</v>
      </c>
      <c r="J575" s="65">
        <v>0.25115937454700005</v>
      </c>
      <c r="K575" s="65">
        <v>0.13239067891014722</v>
      </c>
      <c r="L575" s="65">
        <v>0.67487102</v>
      </c>
      <c r="N575" s="66">
        <v>4.499140133333333</v>
      </c>
      <c r="O575" s="10">
        <f t="shared" si="175"/>
        <v>4.499140133</v>
      </c>
      <c r="Q575" s="67">
        <v>36.189933</v>
      </c>
      <c r="S575" s="68">
        <v>0.15354137</v>
      </c>
      <c r="T575" s="68">
        <v>0.14756555</v>
      </c>
      <c r="U575" s="68">
        <v>0.004752863</v>
      </c>
      <c r="V575" s="68">
        <v>0.0012229481</v>
      </c>
      <c r="X575" s="69">
        <v>2.9384689E-4</v>
      </c>
      <c r="Y575" s="70"/>
      <c r="Z575" s="72"/>
    </row>
    <row r="576" ht="12.75" customHeight="1">
      <c r="A576" s="1" t="s">
        <v>982</v>
      </c>
      <c r="B576" s="2" t="s">
        <v>932</v>
      </c>
      <c r="C576" s="60" t="str">
        <f t="shared" si="172"/>
        <v>A.100.06.134</v>
      </c>
      <c r="D576" s="51" t="s">
        <v>948</v>
      </c>
      <c r="E576" s="62" t="s">
        <v>45</v>
      </c>
      <c r="F576" s="63" t="str">
        <f t="shared" si="173"/>
        <v>X30Cr13 (~420) 70% inox scrap (EU, USA)</v>
      </c>
      <c r="G576" s="64">
        <v>0.7749355544201624</v>
      </c>
      <c r="H576" s="10">
        <f t="shared" si="174"/>
        <v>0.7749355544</v>
      </c>
      <c r="I576" s="65">
        <v>0.051575092999999995</v>
      </c>
      <c r="J576" s="65">
        <v>0.16728704899099997</v>
      </c>
      <c r="K576" s="65">
        <v>0.07617847242916237</v>
      </c>
      <c r="L576" s="65">
        <v>0.47989494</v>
      </c>
      <c r="N576" s="66">
        <v>3.1992996000000002</v>
      </c>
      <c r="O576" s="10">
        <f t="shared" si="175"/>
        <v>3.1992996</v>
      </c>
      <c r="Q576" s="67">
        <v>29.487198</v>
      </c>
      <c r="S576" s="68">
        <v>0.10341223</v>
      </c>
      <c r="T576" s="68">
        <v>0.099221712</v>
      </c>
      <c r="U576" s="68">
        <v>0.003352515</v>
      </c>
      <c r="V576" s="68">
        <v>8.3800624E-4</v>
      </c>
      <c r="X576" s="69">
        <v>2.0399251E-4</v>
      </c>
      <c r="Y576" s="70"/>
      <c r="Z576" s="72"/>
    </row>
    <row r="577" ht="12.75" customHeight="1">
      <c r="A577" s="1" t="s">
        <v>983</v>
      </c>
      <c r="B577" s="2" t="s">
        <v>932</v>
      </c>
      <c r="C577" s="60" t="str">
        <f t="shared" si="172"/>
        <v>A.100.06.135</v>
      </c>
      <c r="D577" s="51" t="s">
        <v>948</v>
      </c>
      <c r="E577" s="62" t="s">
        <v>45</v>
      </c>
      <c r="F577" s="63" t="str">
        <f t="shared" si="173"/>
        <v>X35CrMo17 23% inox scrap (China)</v>
      </c>
      <c r="G577" s="64">
        <v>2.0463436309431167</v>
      </c>
      <c r="H577" s="10">
        <f t="shared" si="174"/>
        <v>2.046343631</v>
      </c>
      <c r="I577" s="65">
        <v>0.10519465099</v>
      </c>
      <c r="J577" s="65">
        <v>0.452204952559</v>
      </c>
      <c r="K577" s="65">
        <v>0.5676296673941166</v>
      </c>
      <c r="L577" s="65">
        <v>0.92131436</v>
      </c>
      <c r="N577" s="66">
        <v>6.142095733333334</v>
      </c>
      <c r="O577" s="10">
        <f t="shared" si="175"/>
        <v>6.142095733</v>
      </c>
      <c r="Q577" s="67">
        <v>42.298249</v>
      </c>
      <c r="S577" s="68">
        <v>0.25379533</v>
      </c>
      <c r="T577" s="68">
        <v>0.24485705</v>
      </c>
      <c r="U577" s="68">
        <v>0.007105022</v>
      </c>
      <c r="V577" s="68">
        <v>0.0018332646</v>
      </c>
      <c r="X577" s="69">
        <v>5.9454618E-4</v>
      </c>
      <c r="Y577" s="70"/>
      <c r="Z577" s="72"/>
    </row>
    <row r="578" ht="12.75" customHeight="1">
      <c r="A578" s="1" t="s">
        <v>984</v>
      </c>
      <c r="B578" s="2" t="s">
        <v>932</v>
      </c>
      <c r="C578" s="60" t="str">
        <f t="shared" si="172"/>
        <v>A.100.06.136</v>
      </c>
      <c r="D578" s="51" t="s">
        <v>948</v>
      </c>
      <c r="E578" s="62" t="s">
        <v>45</v>
      </c>
      <c r="F578" s="63" t="str">
        <f t="shared" si="173"/>
        <v>X35CrMo17 44% inox scrap (World)</v>
      </c>
      <c r="G578" s="64">
        <v>1.574189238857147</v>
      </c>
      <c r="H578" s="10">
        <f t="shared" si="174"/>
        <v>1.574189239</v>
      </c>
      <c r="I578" s="65">
        <v>0.08300170739999999</v>
      </c>
      <c r="J578" s="65">
        <v>0.345103653547</v>
      </c>
      <c r="K578" s="65">
        <v>0.41237804791014715</v>
      </c>
      <c r="L578" s="65">
        <v>0.73370583</v>
      </c>
      <c r="N578" s="66">
        <v>4.8913722</v>
      </c>
      <c r="O578" s="10">
        <f t="shared" si="175"/>
        <v>4.8913722</v>
      </c>
      <c r="Q578" s="67">
        <v>36.505379</v>
      </c>
      <c r="S578" s="68">
        <v>0.19531254</v>
      </c>
      <c r="T578" s="68">
        <v>0.18828817</v>
      </c>
      <c r="U578" s="68">
        <v>0.0055958763</v>
      </c>
      <c r="V578" s="68">
        <v>0.00142849</v>
      </c>
      <c r="X578" s="69">
        <v>4.5610759E-4</v>
      </c>
      <c r="Y578" s="70"/>
      <c r="Z578" s="72"/>
    </row>
    <row r="579" ht="12.75" customHeight="1">
      <c r="A579" s="1" t="s">
        <v>985</v>
      </c>
      <c r="B579" s="2" t="s">
        <v>932</v>
      </c>
      <c r="C579" s="60" t="str">
        <f t="shared" si="172"/>
        <v>A.100.06.137</v>
      </c>
      <c r="D579" s="51" t="s">
        <v>948</v>
      </c>
      <c r="E579" s="62" t="s">
        <v>45</v>
      </c>
      <c r="F579" s="63" t="str">
        <f t="shared" si="173"/>
        <v>X35CrMo17 70% inox scrap (EU, USA)</v>
      </c>
      <c r="G579" s="64">
        <v>1.0161885765201624</v>
      </c>
      <c r="H579" s="10">
        <f t="shared" si="174"/>
        <v>1.016188577</v>
      </c>
      <c r="I579" s="65">
        <v>0.0567736831</v>
      </c>
      <c r="J579" s="65">
        <v>0.21852937399099998</v>
      </c>
      <c r="K579" s="65">
        <v>0.22889885942916235</v>
      </c>
      <c r="L579" s="65">
        <v>0.51198666</v>
      </c>
      <c r="N579" s="66">
        <v>3.4132444000000004</v>
      </c>
      <c r="O579" s="10">
        <f t="shared" si="175"/>
        <v>3.4132444</v>
      </c>
      <c r="Q579" s="67">
        <v>29.65926</v>
      </c>
      <c r="S579" s="68">
        <v>0.12619651</v>
      </c>
      <c r="T579" s="68">
        <v>0.12143405</v>
      </c>
      <c r="U579" s="68">
        <v>0.0038123404</v>
      </c>
      <c r="V579" s="68">
        <v>9.5011996E-4</v>
      </c>
      <c r="X579" s="69">
        <v>2.9249834E-4</v>
      </c>
      <c r="Y579" s="70"/>
      <c r="Z579" s="72"/>
    </row>
    <row r="580" ht="12.75" customHeight="1">
      <c r="A580" s="1" t="s">
        <v>986</v>
      </c>
      <c r="B580" s="2" t="s">
        <v>932</v>
      </c>
      <c r="C580" s="60" t="str">
        <f t="shared" si="172"/>
        <v>A.100.06.138</v>
      </c>
      <c r="D580" s="51" t="s">
        <v>948</v>
      </c>
      <c r="E580" s="62" t="s">
        <v>45</v>
      </c>
      <c r="F580" s="63" t="str">
        <f t="shared" si="173"/>
        <v>X5CrNi18 (304) 23% inox scrap (China)</v>
      </c>
      <c r="G580" s="64">
        <v>3.625558358494972</v>
      </c>
      <c r="H580" s="10">
        <f t="shared" si="174"/>
        <v>3.625558358</v>
      </c>
      <c r="I580" s="65">
        <v>0.14873806535</v>
      </c>
      <c r="J580" s="65">
        <v>1.305816120575</v>
      </c>
      <c r="K580" s="65">
        <v>1.098120572569972</v>
      </c>
      <c r="L580" s="65">
        <v>1.0728836</v>
      </c>
      <c r="N580" s="66">
        <v>7.152557333333333</v>
      </c>
      <c r="O580" s="10">
        <f t="shared" si="175"/>
        <v>7.152557333</v>
      </c>
      <c r="Q580" s="67">
        <v>56.691762</v>
      </c>
      <c r="S580" s="68">
        <v>0.55617435</v>
      </c>
      <c r="T580" s="68">
        <v>0.54056902</v>
      </c>
      <c r="U580" s="68">
        <v>0.012821443</v>
      </c>
      <c r="V580" s="68">
        <v>0.0027838827</v>
      </c>
      <c r="X580" s="69">
        <v>7.5217563E-4</v>
      </c>
      <c r="Y580" s="70"/>
      <c r="Z580" s="72"/>
    </row>
    <row r="581" ht="12.75" customHeight="1">
      <c r="A581" s="1" t="s">
        <v>987</v>
      </c>
      <c r="B581" s="2" t="s">
        <v>932</v>
      </c>
      <c r="C581" s="60" t="str">
        <f t="shared" si="172"/>
        <v>A.100.06.139</v>
      </c>
      <c r="D581" s="51" t="s">
        <v>948</v>
      </c>
      <c r="E581" s="62" t="s">
        <v>45</v>
      </c>
      <c r="F581" s="63" t="str">
        <f t="shared" si="173"/>
        <v>X5CrNi18 (304) 44% inox scrap (World)</v>
      </c>
      <c r="G581" s="64">
        <v>2.714733226268002</v>
      </c>
      <c r="H581" s="10">
        <f t="shared" si="174"/>
        <v>2.714733226</v>
      </c>
      <c r="I581" s="65">
        <v>0.11444972688999999</v>
      </c>
      <c r="J581" s="65">
        <v>0.9616006215630001</v>
      </c>
      <c r="K581" s="65">
        <v>0.7955103678150017</v>
      </c>
      <c r="L581" s="65">
        <v>0.84317251</v>
      </c>
      <c r="N581" s="66">
        <v>5.621150066666667</v>
      </c>
      <c r="O581" s="10">
        <f t="shared" si="175"/>
        <v>5.621150067</v>
      </c>
      <c r="Q581" s="67">
        <v>46.900694</v>
      </c>
      <c r="S581" s="68">
        <v>0.41369738</v>
      </c>
      <c r="T581" s="68">
        <v>0.40185793</v>
      </c>
      <c r="U581" s="68">
        <v>0.0097244024</v>
      </c>
      <c r="V581" s="68">
        <v>0.0021150475</v>
      </c>
      <c r="X581" s="69">
        <v>5.6995107E-4</v>
      </c>
      <c r="Y581" s="70"/>
      <c r="Z581" s="72"/>
    </row>
    <row r="582" ht="12.75" customHeight="1">
      <c r="A582" s="1" t="s">
        <v>988</v>
      </c>
      <c r="B582" s="2" t="s">
        <v>932</v>
      </c>
      <c r="C582" s="60" t="str">
        <f t="shared" si="172"/>
        <v>A.100.06.140</v>
      </c>
      <c r="D582" s="51" t="s">
        <v>948</v>
      </c>
      <c r="E582" s="62" t="s">
        <v>45</v>
      </c>
      <c r="F582" s="63" t="str">
        <f t="shared" si="173"/>
        <v>X5CrNi18 (304) 70% inox scrap (EU, USA)</v>
      </c>
      <c r="G582" s="64">
        <v>1.638303478462892</v>
      </c>
      <c r="H582" s="10">
        <f t="shared" si="174"/>
        <v>1.638303478</v>
      </c>
      <c r="I582" s="65">
        <v>0.073927148</v>
      </c>
      <c r="J582" s="65">
        <v>0.554800452813</v>
      </c>
      <c r="K582" s="65">
        <v>0.43788011764989204</v>
      </c>
      <c r="L582" s="65">
        <v>0.57169576</v>
      </c>
      <c r="N582" s="66">
        <v>3.811305066666667</v>
      </c>
      <c r="O582" s="10">
        <f t="shared" si="175"/>
        <v>3.811305067</v>
      </c>
      <c r="Q582" s="67">
        <v>35.329431</v>
      </c>
      <c r="S582" s="68">
        <v>0.24531552</v>
      </c>
      <c r="T582" s="68">
        <v>0.23792665</v>
      </c>
      <c r="U582" s="68">
        <v>0.0060642638</v>
      </c>
      <c r="V582" s="68">
        <v>0.0013246059</v>
      </c>
      <c r="X582" s="69">
        <v>3.5459479E-4</v>
      </c>
      <c r="Y582" s="70"/>
      <c r="Z582" s="72"/>
    </row>
    <row r="583" ht="12.75" customHeight="1">
      <c r="A583" s="1" t="s">
        <v>989</v>
      </c>
      <c r="B583" s="2" t="s">
        <v>932</v>
      </c>
      <c r="C583" s="60" t="str">
        <f t="shared" si="172"/>
        <v>A.100.06.141</v>
      </c>
      <c r="D583" s="51" t="s">
        <v>948</v>
      </c>
      <c r="E583" s="62" t="s">
        <v>45</v>
      </c>
      <c r="F583" s="63" t="str">
        <f t="shared" si="173"/>
        <v>X5CrNiMo18 (316) 23% inox scrap (China)</v>
      </c>
      <c r="G583" s="64">
        <v>5.001743279008664</v>
      </c>
      <c r="H583" s="10">
        <f t="shared" si="174"/>
        <v>5.001743279</v>
      </c>
      <c r="I583" s="65">
        <v>0.16370529852000001</v>
      </c>
      <c r="J583" s="65">
        <v>1.626377999632</v>
      </c>
      <c r="K583" s="65">
        <v>2.0913506808566638</v>
      </c>
      <c r="L583" s="65">
        <v>1.1203093</v>
      </c>
      <c r="N583" s="66">
        <v>7.468728666666666</v>
      </c>
      <c r="O583" s="10">
        <f t="shared" si="175"/>
        <v>7.468728667</v>
      </c>
      <c r="Q583" s="67">
        <v>58.499897</v>
      </c>
      <c r="S583" s="68">
        <v>0.69036155</v>
      </c>
      <c r="T583" s="68">
        <v>0.67171919</v>
      </c>
      <c r="U583" s="68">
        <v>0.014916811</v>
      </c>
      <c r="V583" s="68">
        <v>0.003725553</v>
      </c>
      <c r="X583" s="69">
        <v>0.0012456201</v>
      </c>
      <c r="Y583" s="70"/>
      <c r="Z583" s="72"/>
    </row>
    <row r="584" ht="12.75" customHeight="1">
      <c r="A584" s="1" t="s">
        <v>990</v>
      </c>
      <c r="B584" s="2" t="s">
        <v>932</v>
      </c>
      <c r="C584" s="60" t="str">
        <f t="shared" si="172"/>
        <v>A.100.06.142</v>
      </c>
      <c r="D584" s="51" t="s">
        <v>948</v>
      </c>
      <c r="E584" s="62" t="s">
        <v>45</v>
      </c>
      <c r="F584" s="63" t="str">
        <f t="shared" si="173"/>
        <v>X5CrNiMo18 (316) 44% inox scrap (World)</v>
      </c>
      <c r="G584" s="64">
        <v>3.70864445473421</v>
      </c>
      <c r="H584" s="10">
        <f t="shared" si="174"/>
        <v>3.708644455</v>
      </c>
      <c r="I584" s="65">
        <v>0.12525939283</v>
      </c>
      <c r="J584" s="65">
        <v>1.19311750916</v>
      </c>
      <c r="K584" s="65">
        <v>1.51284315274421</v>
      </c>
      <c r="L584" s="65">
        <v>0.8774244</v>
      </c>
      <c r="N584" s="66">
        <v>5.849496</v>
      </c>
      <c r="O584" s="10">
        <f t="shared" si="175"/>
        <v>5.849496</v>
      </c>
      <c r="Q584" s="67">
        <v>48.206569</v>
      </c>
      <c r="S584" s="68">
        <v>0.51061036</v>
      </c>
      <c r="T584" s="68">
        <v>0.4965775</v>
      </c>
      <c r="U584" s="68">
        <v>0.011237724</v>
      </c>
      <c r="V584" s="68">
        <v>0.0027951427</v>
      </c>
      <c r="X584" s="69">
        <v>9.2632766E-4</v>
      </c>
      <c r="Y584" s="70"/>
      <c r="Z584" s="72"/>
    </row>
    <row r="585" ht="12.75" customHeight="1">
      <c r="A585" s="1" t="s">
        <v>991</v>
      </c>
      <c r="B585" s="2" t="s">
        <v>932</v>
      </c>
      <c r="C585" s="60" t="str">
        <f t="shared" si="172"/>
        <v>A.100.06.143</v>
      </c>
      <c r="D585" s="51" t="s">
        <v>948</v>
      </c>
      <c r="E585" s="62" t="s">
        <v>45</v>
      </c>
      <c r="F585" s="63" t="str">
        <f t="shared" si="173"/>
        <v>X5CrNiMo18 (316) 70% inox scrap (EU, USA)</v>
      </c>
      <c r="G585" s="64">
        <v>2.180436889944797</v>
      </c>
      <c r="H585" s="10">
        <f t="shared" si="174"/>
        <v>2.18043689</v>
      </c>
      <c r="I585" s="65">
        <v>0.0798233291</v>
      </c>
      <c r="J585" s="65">
        <v>0.681082388688</v>
      </c>
      <c r="K585" s="65">
        <v>0.8291525721567968</v>
      </c>
      <c r="L585" s="65">
        <v>0.5903786</v>
      </c>
      <c r="N585" s="66">
        <v>3.9358573333333333</v>
      </c>
      <c r="O585" s="10">
        <f t="shared" si="175"/>
        <v>3.935857333</v>
      </c>
      <c r="Q585" s="67">
        <v>36.041727</v>
      </c>
      <c r="S585" s="68">
        <v>0.29817714</v>
      </c>
      <c r="T585" s="68">
        <v>0.28959186</v>
      </c>
      <c r="U585" s="68">
        <v>0.0068897119</v>
      </c>
      <c r="V585" s="68">
        <v>0.0016955669</v>
      </c>
      <c r="X585" s="69">
        <v>5.4898201E-4</v>
      </c>
      <c r="Y585" s="70"/>
      <c r="Z585" s="72"/>
    </row>
    <row r="586" ht="12.75" customHeight="1">
      <c r="A586" s="1" t="s">
        <v>992</v>
      </c>
      <c r="B586" s="2" t="s">
        <v>932</v>
      </c>
      <c r="C586" s="60" t="str">
        <f t="shared" si="172"/>
        <v>A.100.06.144</v>
      </c>
      <c r="D586" s="51" t="s">
        <v>948</v>
      </c>
      <c r="E586" s="62" t="s">
        <v>45</v>
      </c>
      <c r="F586" s="63" t="str">
        <f t="shared" si="173"/>
        <v>X6Cr17 (430) 23% inox scrap (China)</v>
      </c>
      <c r="G586" s="64">
        <v>1.5719700054431165</v>
      </c>
      <c r="H586" s="10">
        <f t="shared" si="174"/>
        <v>1.571970005</v>
      </c>
      <c r="I586" s="65">
        <v>0.10058290549000001</v>
      </c>
      <c r="J586" s="65">
        <v>0.35999894955899997</v>
      </c>
      <c r="K586" s="65">
        <v>0.20508501039411664</v>
      </c>
      <c r="L586" s="65">
        <v>0.90630314</v>
      </c>
      <c r="N586" s="66">
        <v>6.042020933333333</v>
      </c>
      <c r="O586" s="10">
        <f t="shared" si="175"/>
        <v>6.042020933</v>
      </c>
      <c r="Q586" s="67">
        <v>42.155077</v>
      </c>
      <c r="S586" s="68">
        <v>0.21175662</v>
      </c>
      <c r="T586" s="68">
        <v>0.20375031</v>
      </c>
      <c r="U586" s="68">
        <v>0.0064962474</v>
      </c>
      <c r="V586" s="68">
        <v>0.0015100637</v>
      </c>
      <c r="X586" s="69">
        <v>4.0901842E-4</v>
      </c>
      <c r="Y586" s="70"/>
      <c r="Z586" s="72"/>
    </row>
    <row r="587" ht="12.75" customHeight="1">
      <c r="A587" s="1" t="s">
        <v>993</v>
      </c>
      <c r="B587" s="2" t="s">
        <v>932</v>
      </c>
      <c r="C587" s="60" t="str">
        <f t="shared" si="172"/>
        <v>A.100.06.145</v>
      </c>
      <c r="D587" s="51" t="s">
        <v>948</v>
      </c>
      <c r="E587" s="62" t="s">
        <v>45</v>
      </c>
      <c r="F587" s="63" t="str">
        <f t="shared" si="173"/>
        <v>X6Cr17 (430) 44% inox scrap (World)</v>
      </c>
      <c r="G587" s="64">
        <v>1.2315860489571473</v>
      </c>
      <c r="H587" s="10">
        <f t="shared" si="174"/>
        <v>1.231586049</v>
      </c>
      <c r="I587" s="65">
        <v>0.07967100249999999</v>
      </c>
      <c r="J587" s="65">
        <v>0.278510423547</v>
      </c>
      <c r="K587" s="65">
        <v>0.1505402329101472</v>
      </c>
      <c r="L587" s="65">
        <v>0.72286439</v>
      </c>
      <c r="N587" s="66">
        <v>4.819095933333334</v>
      </c>
      <c r="O587" s="10">
        <f t="shared" si="175"/>
        <v>4.819095933</v>
      </c>
      <c r="Q587" s="67">
        <v>36.401977</v>
      </c>
      <c r="S587" s="68">
        <v>0.16495125</v>
      </c>
      <c r="T587" s="68">
        <v>0.15859997</v>
      </c>
      <c r="U587" s="68">
        <v>0.0051562057</v>
      </c>
      <c r="V587" s="68">
        <v>0.0011950671</v>
      </c>
      <c r="X587" s="69">
        <v>3.2211531E-4</v>
      </c>
      <c r="Y587" s="70"/>
      <c r="Z587" s="72"/>
    </row>
    <row r="588" ht="12.75" customHeight="1">
      <c r="A588" s="1" t="s">
        <v>994</v>
      </c>
      <c r="B588" s="2" t="s">
        <v>932</v>
      </c>
      <c r="C588" s="60" t="str">
        <f t="shared" si="172"/>
        <v>A.100.06.146</v>
      </c>
      <c r="D588" s="51" t="s">
        <v>948</v>
      </c>
      <c r="E588" s="62" t="s">
        <v>45</v>
      </c>
      <c r="F588" s="63" t="str">
        <f t="shared" si="173"/>
        <v>X6Cr17 (430) 70% inox scrap (EU, USA)</v>
      </c>
      <c r="G588" s="64">
        <v>0.8293141229201624</v>
      </c>
      <c r="H588" s="10">
        <f t="shared" si="174"/>
        <v>0.8293141229</v>
      </c>
      <c r="I588" s="65">
        <v>0.0549569345</v>
      </c>
      <c r="J588" s="65">
        <v>0.182205803991</v>
      </c>
      <c r="K588" s="65">
        <v>0.08607823442916238</v>
      </c>
      <c r="L588" s="65">
        <v>0.50607315</v>
      </c>
      <c r="N588" s="66">
        <v>3.373821</v>
      </c>
      <c r="O588" s="10">
        <f t="shared" si="175"/>
        <v>3.373821</v>
      </c>
      <c r="Q588" s="67">
        <v>29.602858</v>
      </c>
      <c r="S588" s="68">
        <v>0.1096358</v>
      </c>
      <c r="T588" s="68">
        <v>0.10524049</v>
      </c>
      <c r="U588" s="68">
        <v>0.0035725201</v>
      </c>
      <c r="V588" s="68">
        <v>8.2279842E-4</v>
      </c>
      <c r="X588" s="69">
        <v>2.1941164E-4</v>
      </c>
      <c r="Y588" s="70"/>
      <c r="Z588" s="72"/>
    </row>
    <row r="589" ht="12.75" customHeight="1">
      <c r="A589" s="1" t="s">
        <v>995</v>
      </c>
      <c r="B589" s="2" t="s">
        <v>932</v>
      </c>
      <c r="C589" s="60" t="str">
        <f t="shared" si="172"/>
        <v>A.100.06.147</v>
      </c>
      <c r="D589" s="51" t="s">
        <v>948</v>
      </c>
      <c r="E589" s="62" t="s">
        <v>45</v>
      </c>
      <c r="F589" s="63" t="str">
        <f t="shared" si="173"/>
        <v>X6CrNi18 (~304) 23% inox scrap (China)</v>
      </c>
      <c r="G589" s="64">
        <v>3.625558358494972</v>
      </c>
      <c r="H589" s="10">
        <f t="shared" si="174"/>
        <v>3.625558358</v>
      </c>
      <c r="I589" s="65">
        <v>0.14873806535</v>
      </c>
      <c r="J589" s="65">
        <v>1.305816120575</v>
      </c>
      <c r="K589" s="65">
        <v>1.098120572569972</v>
      </c>
      <c r="L589" s="65">
        <v>1.0728836</v>
      </c>
      <c r="N589" s="66">
        <v>7.152557333333333</v>
      </c>
      <c r="O589" s="10">
        <f t="shared" si="175"/>
        <v>7.152557333</v>
      </c>
      <c r="Q589" s="67">
        <v>56.691762</v>
      </c>
      <c r="S589" s="68">
        <v>0.55617435</v>
      </c>
      <c r="T589" s="68">
        <v>0.54056902</v>
      </c>
      <c r="U589" s="68">
        <v>0.012821443</v>
      </c>
      <c r="V589" s="68">
        <v>0.0027838827</v>
      </c>
      <c r="X589" s="69">
        <v>7.5217563E-4</v>
      </c>
      <c r="Y589" s="70"/>
      <c r="Z589" s="72"/>
    </row>
    <row r="590" ht="12.75" customHeight="1">
      <c r="A590" s="1" t="s">
        <v>996</v>
      </c>
      <c r="B590" s="2" t="s">
        <v>932</v>
      </c>
      <c r="C590" s="60" t="str">
        <f t="shared" si="172"/>
        <v>A.100.06.148</v>
      </c>
      <c r="D590" s="51" t="s">
        <v>948</v>
      </c>
      <c r="E590" s="62" t="s">
        <v>45</v>
      </c>
      <c r="F590" s="63" t="str">
        <f t="shared" si="173"/>
        <v>X6CrNi18 (~304) 44% inox scrap (World)</v>
      </c>
      <c r="G590" s="64">
        <v>2.714733226268002</v>
      </c>
      <c r="H590" s="10">
        <f t="shared" si="174"/>
        <v>2.714733226</v>
      </c>
      <c r="I590" s="65">
        <v>0.11444972688999999</v>
      </c>
      <c r="J590" s="65">
        <v>0.9616006215630001</v>
      </c>
      <c r="K590" s="65">
        <v>0.7955103678150017</v>
      </c>
      <c r="L590" s="65">
        <v>0.84317251</v>
      </c>
      <c r="N590" s="66">
        <v>5.621150066666667</v>
      </c>
      <c r="O590" s="10">
        <f t="shared" si="175"/>
        <v>5.621150067</v>
      </c>
      <c r="Q590" s="67">
        <v>46.900694</v>
      </c>
      <c r="S590" s="68">
        <v>0.41369738</v>
      </c>
      <c r="T590" s="68">
        <v>0.40185793</v>
      </c>
      <c r="U590" s="68">
        <v>0.0097244024</v>
      </c>
      <c r="V590" s="68">
        <v>0.0021150475</v>
      </c>
      <c r="X590" s="69">
        <v>5.6995107E-4</v>
      </c>
      <c r="Y590" s="70"/>
      <c r="Z590" s="72"/>
    </row>
    <row r="591" ht="12.75" customHeight="1">
      <c r="A591" s="1" t="s">
        <v>997</v>
      </c>
      <c r="B591" s="2" t="s">
        <v>932</v>
      </c>
      <c r="C591" s="60" t="str">
        <f t="shared" si="172"/>
        <v>A.100.06.149</v>
      </c>
      <c r="D591" s="51" t="s">
        <v>948</v>
      </c>
      <c r="E591" s="62" t="s">
        <v>45</v>
      </c>
      <c r="F591" s="63" t="str">
        <f t="shared" si="173"/>
        <v>X6CrNi18 (~304) 70% inox scrap (EU, USA)</v>
      </c>
      <c r="G591" s="64">
        <v>1.638303478462892</v>
      </c>
      <c r="H591" s="10">
        <f t="shared" si="174"/>
        <v>1.638303478</v>
      </c>
      <c r="I591" s="65">
        <v>0.073927148</v>
      </c>
      <c r="J591" s="65">
        <v>0.554800452813</v>
      </c>
      <c r="K591" s="65">
        <v>0.43788011764989204</v>
      </c>
      <c r="L591" s="65">
        <v>0.57169576</v>
      </c>
      <c r="N591" s="66">
        <v>3.811305066666667</v>
      </c>
      <c r="O591" s="10">
        <f t="shared" si="175"/>
        <v>3.811305067</v>
      </c>
      <c r="Q591" s="67">
        <v>35.329431</v>
      </c>
      <c r="S591" s="68">
        <v>0.24531552</v>
      </c>
      <c r="T591" s="68">
        <v>0.23792665</v>
      </c>
      <c r="U591" s="68">
        <v>0.0060642638</v>
      </c>
      <c r="V591" s="68">
        <v>0.0013246059</v>
      </c>
      <c r="X591" s="69">
        <v>3.5459479E-4</v>
      </c>
      <c r="Y591" s="70"/>
      <c r="Z591" s="72"/>
    </row>
    <row r="592" ht="12.75" customHeight="1">
      <c r="A592" s="1" t="s">
        <v>998</v>
      </c>
      <c r="B592" s="2" t="s">
        <v>932</v>
      </c>
      <c r="C592" s="60" t="str">
        <f t="shared" si="172"/>
        <v>A.100.06.150</v>
      </c>
      <c r="D592" s="51" t="s">
        <v>948</v>
      </c>
      <c r="E592" s="62" t="s">
        <v>45</v>
      </c>
      <c r="F592" s="63" t="str">
        <f t="shared" si="173"/>
        <v>X7CrAl13 (405) 23% inox scrap (China)</v>
      </c>
      <c r="G592" s="64">
        <v>1.436301380034387</v>
      </c>
      <c r="H592" s="10">
        <f t="shared" si="174"/>
        <v>1.43630138</v>
      </c>
      <c r="I592" s="65">
        <v>0.09207478136</v>
      </c>
      <c r="J592" s="65">
        <v>0.32227675660099997</v>
      </c>
      <c r="K592" s="65">
        <v>0.18088023207338705</v>
      </c>
      <c r="L592" s="65">
        <v>0.84106961</v>
      </c>
      <c r="N592" s="66">
        <v>5.607130733333333</v>
      </c>
      <c r="O592" s="10">
        <f t="shared" si="175"/>
        <v>5.607130733</v>
      </c>
      <c r="Q592" s="67">
        <v>41.947149</v>
      </c>
      <c r="S592" s="68">
        <v>0.19614591</v>
      </c>
      <c r="T592" s="68">
        <v>0.18865207</v>
      </c>
      <c r="U592" s="68">
        <v>0.0059454811</v>
      </c>
      <c r="V592" s="68">
        <v>0.0015483593</v>
      </c>
      <c r="X592" s="69">
        <v>3.7028281E-4</v>
      </c>
      <c r="Y592" s="70"/>
      <c r="Z592" s="72"/>
    </row>
    <row r="593" ht="12.75" customHeight="1">
      <c r="A593" s="1" t="s">
        <v>999</v>
      </c>
      <c r="B593" s="2" t="s">
        <v>932</v>
      </c>
      <c r="C593" s="60" t="str">
        <f t="shared" si="172"/>
        <v>A.100.06.151</v>
      </c>
      <c r="D593" s="51" t="s">
        <v>948</v>
      </c>
      <c r="E593" s="62" t="s">
        <v>45</v>
      </c>
      <c r="F593" s="63" t="str">
        <f t="shared" si="173"/>
        <v>X7CrAl13 (405) 44% inox scrap (World)</v>
      </c>
      <c r="G593" s="64">
        <v>1.1336031722560147</v>
      </c>
      <c r="H593" s="10">
        <f t="shared" si="174"/>
        <v>1.133603172</v>
      </c>
      <c r="I593" s="65">
        <v>0.07352624589000001</v>
      </c>
      <c r="J593" s="65">
        <v>0.25126662224300006</v>
      </c>
      <c r="K593" s="65">
        <v>0.13305901412301469</v>
      </c>
      <c r="L593" s="65">
        <v>0.67575129</v>
      </c>
      <c r="N593" s="66">
        <v>4.5050086</v>
      </c>
      <c r="O593" s="10">
        <f t="shared" si="175"/>
        <v>4.5050086</v>
      </c>
      <c r="Q593" s="67">
        <v>36.251807</v>
      </c>
      <c r="S593" s="68">
        <v>0.15367685</v>
      </c>
      <c r="T593" s="68">
        <v>0.14769569</v>
      </c>
      <c r="U593" s="68">
        <v>0.0047584301</v>
      </c>
      <c r="V593" s="68">
        <v>0.001222725</v>
      </c>
      <c r="X593" s="69">
        <v>2.941396E-4</v>
      </c>
      <c r="Y593" s="70"/>
      <c r="Z593" s="48"/>
    </row>
    <row r="594" ht="12.75" customHeight="1">
      <c r="A594" s="1" t="s">
        <v>1000</v>
      </c>
      <c r="B594" s="2" t="s">
        <v>932</v>
      </c>
      <c r="C594" s="60" t="str">
        <f t="shared" si="172"/>
        <v>A.100.06.152</v>
      </c>
      <c r="D594" s="51" t="s">
        <v>948</v>
      </c>
      <c r="E594" s="62" t="s">
        <v>45</v>
      </c>
      <c r="F594" s="63" t="str">
        <f t="shared" si="173"/>
        <v>X7CrAl13 (405) 70% inox scrap (EU, USA)</v>
      </c>
      <c r="G594" s="64">
        <v>0.775868902330672</v>
      </c>
      <c r="H594" s="10">
        <f t="shared" si="174"/>
        <v>0.7758689023</v>
      </c>
      <c r="I594" s="65">
        <v>0.0516052495</v>
      </c>
      <c r="J594" s="65">
        <v>0.16734554374</v>
      </c>
      <c r="K594" s="65">
        <v>0.07654301909067192</v>
      </c>
      <c r="L594" s="65">
        <v>0.48037509</v>
      </c>
      <c r="N594" s="66">
        <v>3.2025006</v>
      </c>
      <c r="O594" s="10">
        <f t="shared" si="175"/>
        <v>3.2025006</v>
      </c>
      <c r="Q594" s="67">
        <v>29.520947</v>
      </c>
      <c r="S594" s="68">
        <v>0.10348613</v>
      </c>
      <c r="T594" s="68">
        <v>0.099292696</v>
      </c>
      <c r="U594" s="68">
        <v>0.0033555516</v>
      </c>
      <c r="V594" s="68">
        <v>8.3788454E-4</v>
      </c>
      <c r="X594" s="69">
        <v>2.0415216E-4</v>
      </c>
      <c r="Y594" s="70"/>
      <c r="Z594" s="72"/>
    </row>
    <row r="595" ht="12.75" customHeight="1">
      <c r="A595" s="1" t="s">
        <v>1001</v>
      </c>
      <c r="B595" s="2" t="s">
        <v>932</v>
      </c>
      <c r="C595" s="60" t="str">
        <f t="shared" si="172"/>
        <v>A.100.06.153</v>
      </c>
      <c r="D595" s="51" t="s">
        <v>948</v>
      </c>
      <c r="E595" s="62" t="s">
        <v>45</v>
      </c>
      <c r="F595" s="63" t="str">
        <f t="shared" si="173"/>
        <v>X90CrCoMoV17 23% inox scrap (China)</v>
      </c>
      <c r="G595" s="64">
        <v>1.8752004004511167</v>
      </c>
      <c r="H595" s="10">
        <f t="shared" si="174"/>
        <v>1.8752004</v>
      </c>
      <c r="I595" s="65">
        <v>0.10946554074999999</v>
      </c>
      <c r="J595" s="65">
        <v>0.416494342307</v>
      </c>
      <c r="K595" s="65">
        <v>0.4256801573941167</v>
      </c>
      <c r="L595" s="65">
        <v>0.92356036</v>
      </c>
      <c r="N595" s="66">
        <v>6.157069066666667</v>
      </c>
      <c r="O595" s="10">
        <f t="shared" si="175"/>
        <v>6.157069067</v>
      </c>
      <c r="Q595" s="67">
        <v>42.68993</v>
      </c>
      <c r="S595" s="68">
        <v>0.23695055</v>
      </c>
      <c r="T595" s="68">
        <v>0.22834863</v>
      </c>
      <c r="U595" s="68">
        <v>0.0069115078</v>
      </c>
      <c r="V595" s="68">
        <v>0.0016904167</v>
      </c>
      <c r="X595" s="69">
        <v>5.1260414E-4</v>
      </c>
      <c r="Y595" s="70"/>
      <c r="Z595" s="72"/>
    </row>
    <row r="596" ht="12.75" customHeight="1">
      <c r="A596" s="1" t="s">
        <v>1002</v>
      </c>
      <c r="B596" s="2" t="s">
        <v>932</v>
      </c>
      <c r="C596" s="60" t="str">
        <f t="shared" si="172"/>
        <v>A.100.06.154</v>
      </c>
      <c r="D596" s="51" t="s">
        <v>948</v>
      </c>
      <c r="E596" s="62" t="s">
        <v>45</v>
      </c>
      <c r="F596" s="63" t="str">
        <f t="shared" si="173"/>
        <v>X90CrCoMoV17 44% inox scrap (World)</v>
      </c>
      <c r="G596" s="64">
        <v>1.4505857788751473</v>
      </c>
      <c r="H596" s="10">
        <f t="shared" si="174"/>
        <v>1.450585779</v>
      </c>
      <c r="I596" s="65">
        <v>0.0860862386</v>
      </c>
      <c r="J596" s="65">
        <v>0.319312652365</v>
      </c>
      <c r="K596" s="65">
        <v>0.3098589479101472</v>
      </c>
      <c r="L596" s="65">
        <v>0.73532794</v>
      </c>
      <c r="N596" s="66">
        <v>4.902186266666667</v>
      </c>
      <c r="O596" s="10">
        <f t="shared" si="175"/>
        <v>4.902186267</v>
      </c>
      <c r="Q596" s="67">
        <v>36.788259</v>
      </c>
      <c r="S596" s="68">
        <v>0.18314686</v>
      </c>
      <c r="T596" s="68">
        <v>0.17636542</v>
      </c>
      <c r="U596" s="68">
        <v>0.005456116</v>
      </c>
      <c r="V596" s="68">
        <v>0.001325322</v>
      </c>
      <c r="X596" s="69">
        <v>3.9692722E-4</v>
      </c>
      <c r="Y596" s="70"/>
      <c r="Z596" s="72"/>
    </row>
    <row r="597" ht="12.75" customHeight="1">
      <c r="A597" s="1" t="s">
        <v>1003</v>
      </c>
      <c r="B597" s="2" t="s">
        <v>932</v>
      </c>
      <c r="C597" s="60" t="str">
        <f t="shared" si="172"/>
        <v>A.100.06.155</v>
      </c>
      <c r="D597" s="51" t="s">
        <v>948</v>
      </c>
      <c r="E597" s="62" t="s">
        <v>45</v>
      </c>
      <c r="F597" s="63" t="str">
        <f t="shared" si="173"/>
        <v>X90CrCoMoV17 70% inox scrap (EU, USA)</v>
      </c>
      <c r="G597" s="64">
        <v>0.9487685105751623</v>
      </c>
      <c r="H597" s="10">
        <f t="shared" si="174"/>
        <v>0.9487685106</v>
      </c>
      <c r="I597" s="65">
        <v>0.0584561548</v>
      </c>
      <c r="J597" s="65">
        <v>0.20446156134600002</v>
      </c>
      <c r="K597" s="65">
        <v>0.17297935442916235</v>
      </c>
      <c r="L597" s="65">
        <v>0.51287144</v>
      </c>
      <c r="N597" s="66">
        <v>3.419142933333333</v>
      </c>
      <c r="O597" s="10">
        <f t="shared" si="175"/>
        <v>3.419142933</v>
      </c>
      <c r="Q597" s="67">
        <v>29.813558</v>
      </c>
      <c r="S597" s="68">
        <v>0.11956069</v>
      </c>
      <c r="T597" s="68">
        <v>0.11493073</v>
      </c>
      <c r="U597" s="68">
        <v>0.0037361076</v>
      </c>
      <c r="V597" s="68">
        <v>8.9384654E-4</v>
      </c>
      <c r="X597" s="69">
        <v>2.6021814E-4</v>
      </c>
      <c r="Y597" s="70"/>
      <c r="Z597" s="72"/>
    </row>
    <row r="598" ht="12.75" customHeight="1">
      <c r="A598" s="1" t="s">
        <v>1004</v>
      </c>
      <c r="B598" s="2" t="s">
        <v>932</v>
      </c>
      <c r="C598" s="60" t="str">
        <f t="shared" si="172"/>
        <v>A.100.06.156</v>
      </c>
      <c r="D598" s="51" t="s">
        <v>948</v>
      </c>
      <c r="E598" s="62" t="s">
        <v>45</v>
      </c>
      <c r="F598" s="63" t="str">
        <f t="shared" si="173"/>
        <v>X90CrMoV18 (440B) 23% inox scrap (China)</v>
      </c>
      <c r="G598" s="64">
        <v>2.18167720702698</v>
      </c>
      <c r="H598" s="10">
        <f t="shared" si="174"/>
        <v>2.181677207</v>
      </c>
      <c r="I598" s="65">
        <v>0.10909987066</v>
      </c>
      <c r="J598" s="65">
        <v>0.48326656535499996</v>
      </c>
      <c r="K598" s="65">
        <v>0.6268966610119802</v>
      </c>
      <c r="L598" s="65">
        <v>0.96241411</v>
      </c>
      <c r="N598" s="66">
        <v>6.416094066666667</v>
      </c>
      <c r="O598" s="10">
        <f t="shared" si="175"/>
        <v>6.416094067</v>
      </c>
      <c r="Q598" s="67">
        <v>42.595426</v>
      </c>
      <c r="S598" s="68">
        <v>0.23163201</v>
      </c>
      <c r="T598" s="68">
        <v>0.22228088</v>
      </c>
      <c r="U598" s="68">
        <v>0.007509854</v>
      </c>
      <c r="V598" s="68">
        <v>0.0018412719</v>
      </c>
      <c r="X598" s="69">
        <v>6.3354125E-4</v>
      </c>
      <c r="Y598" s="70"/>
      <c r="Z598" s="48"/>
    </row>
    <row r="599" ht="12.75" customHeight="1">
      <c r="A599" s="1" t="s">
        <v>1005</v>
      </c>
      <c r="B599" s="2" t="s">
        <v>932</v>
      </c>
      <c r="C599" s="60" t="str">
        <f t="shared" si="172"/>
        <v>A.100.06.157</v>
      </c>
      <c r="D599" s="51" t="s">
        <v>948</v>
      </c>
      <c r="E599" s="62" t="s">
        <v>45</v>
      </c>
      <c r="F599" s="63" t="str">
        <f t="shared" si="173"/>
        <v>X90CrMoV18 (440B) 44% inox scrap (World)</v>
      </c>
      <c r="G599" s="64">
        <v>1.6719301378091846</v>
      </c>
      <c r="H599" s="10">
        <f t="shared" si="174"/>
        <v>1.671930138</v>
      </c>
      <c r="I599" s="65">
        <v>0.08582214361000001</v>
      </c>
      <c r="J599" s="65">
        <v>0.36753703606500004</v>
      </c>
      <c r="K599" s="65">
        <v>0.4551819781341847</v>
      </c>
      <c r="L599" s="65">
        <v>0.76338898</v>
      </c>
      <c r="N599" s="66">
        <v>5.089259866666667</v>
      </c>
      <c r="O599" s="10">
        <f t="shared" si="175"/>
        <v>5.089259867</v>
      </c>
      <c r="Q599" s="67">
        <v>36.720007</v>
      </c>
      <c r="S599" s="68">
        <v>0.17930569</v>
      </c>
      <c r="T599" s="68">
        <v>0.17198317</v>
      </c>
      <c r="U599" s="68">
        <v>0.0058882549</v>
      </c>
      <c r="V599" s="68">
        <v>0.0014342731</v>
      </c>
      <c r="X599" s="69">
        <v>4.8427069E-4</v>
      </c>
      <c r="Y599" s="70"/>
      <c r="Z599" s="72"/>
    </row>
    <row r="600" ht="12.75" customHeight="1">
      <c r="A600" s="1" t="s">
        <v>1006</v>
      </c>
      <c r="B600" s="2" t="s">
        <v>932</v>
      </c>
      <c r="C600" s="60" t="str">
        <f t="shared" si="172"/>
        <v>A.100.06.158</v>
      </c>
      <c r="D600" s="51" t="s">
        <v>948</v>
      </c>
      <c r="E600" s="62" t="s">
        <v>45</v>
      </c>
      <c r="F600" s="63" t="str">
        <f t="shared" si="173"/>
        <v>X90CrMoV18 (440B) 70% inox scrap (EU, USA)</v>
      </c>
      <c r="G600" s="64">
        <v>1.0695018041451283</v>
      </c>
      <c r="H600" s="10">
        <f t="shared" si="174"/>
        <v>1.069501804</v>
      </c>
      <c r="I600" s="65">
        <v>0.0583121025</v>
      </c>
      <c r="J600" s="65">
        <v>0.230765770912</v>
      </c>
      <c r="K600" s="65">
        <v>0.25224646073312823</v>
      </c>
      <c r="L600" s="65">
        <v>0.52817747</v>
      </c>
      <c r="N600" s="66">
        <v>3.521183133333334</v>
      </c>
      <c r="O600" s="10">
        <f t="shared" si="175"/>
        <v>3.521183133</v>
      </c>
      <c r="Q600" s="67">
        <v>29.776329</v>
      </c>
      <c r="S600" s="68">
        <v>0.1174655</v>
      </c>
      <c r="T600" s="68">
        <v>0.11254041</v>
      </c>
      <c r="U600" s="68">
        <v>0.0039718197</v>
      </c>
      <c r="V600" s="68">
        <v>9.5327437E-4</v>
      </c>
      <c r="X600" s="69">
        <v>3.0786003E-4</v>
      </c>
      <c r="Y600" s="70"/>
      <c r="Z600" s="72"/>
    </row>
    <row r="601" ht="12.75" customHeight="1">
      <c r="B601" s="2"/>
      <c r="C601" s="60"/>
      <c r="D601" s="75" t="s">
        <v>1007</v>
      </c>
      <c r="E601" s="62"/>
      <c r="G601" s="10"/>
      <c r="H601" s="10"/>
      <c r="I601" s="10"/>
      <c r="J601" s="10"/>
      <c r="K601" s="10"/>
      <c r="L601" s="10"/>
      <c r="N601" s="10"/>
      <c r="O601" s="10"/>
      <c r="Q601" s="67"/>
      <c r="Y601" s="71"/>
      <c r="Z601" s="72"/>
    </row>
    <row r="602" ht="12.75" customHeight="1">
      <c r="A602" s="1" t="s">
        <v>1008</v>
      </c>
      <c r="B602" s="2" t="s">
        <v>932</v>
      </c>
      <c r="C602" s="60" t="str">
        <f t="shared" ref="C602:C605" si="176">MID(A602,1,12)</f>
        <v>A.100.08.101</v>
      </c>
      <c r="D602" s="51" t="s">
        <v>1007</v>
      </c>
      <c r="E602" s="62" t="s">
        <v>45</v>
      </c>
      <c r="F602" s="63" t="str">
        <f t="shared" ref="F602:F605" si="177">MID(A602, 21,85)</f>
        <v>10SPb20 (1.0721)</v>
      </c>
      <c r="G602" s="64">
        <v>0.611526857460049</v>
      </c>
      <c r="H602" s="10">
        <f t="shared" ref="H602:H605" si="178">G602</f>
        <v>0.6115268575</v>
      </c>
      <c r="I602" s="65">
        <v>0.036705046925000005</v>
      </c>
      <c r="J602" s="65">
        <v>0.11361306967585401</v>
      </c>
      <c r="K602" s="65">
        <v>0.08138772085919502</v>
      </c>
      <c r="L602" s="65">
        <v>0.37982102</v>
      </c>
      <c r="N602" s="66">
        <v>2.5321401333333333</v>
      </c>
      <c r="O602" s="10">
        <f t="shared" ref="O602:O605" si="179">N602</f>
        <v>2.532140133</v>
      </c>
      <c r="Q602" s="67">
        <v>23.94398</v>
      </c>
      <c r="S602" s="68">
        <v>0.091829014</v>
      </c>
      <c r="T602" s="68">
        <v>0.087765776</v>
      </c>
      <c r="U602" s="68">
        <v>0.0022675309</v>
      </c>
      <c r="V602" s="68">
        <v>0.0017957078</v>
      </c>
      <c r="X602" s="69">
        <v>1.2627312E-4</v>
      </c>
      <c r="Y602" s="70"/>
      <c r="Z602" s="72"/>
    </row>
    <row r="603" ht="12.75" customHeight="1">
      <c r="A603" s="1" t="s">
        <v>1009</v>
      </c>
      <c r="B603" s="2" t="s">
        <v>932</v>
      </c>
      <c r="C603" s="60" t="str">
        <f t="shared" si="176"/>
        <v>A.100.08.102</v>
      </c>
      <c r="D603" s="51" t="s">
        <v>1007</v>
      </c>
      <c r="E603" s="62" t="s">
        <v>45</v>
      </c>
      <c r="F603" s="63" t="str">
        <f t="shared" si="177"/>
        <v>35S20 (1.0726)</v>
      </c>
      <c r="G603" s="64">
        <v>0.609803562612331</v>
      </c>
      <c r="H603" s="10">
        <f t="shared" si="178"/>
        <v>0.6098035626</v>
      </c>
      <c r="I603" s="65">
        <v>0.036744033203</v>
      </c>
      <c r="J603" s="65">
        <v>0.113463430660136</v>
      </c>
      <c r="K603" s="65">
        <v>0.07783309874919503</v>
      </c>
      <c r="L603" s="65">
        <v>0.381763</v>
      </c>
      <c r="N603" s="66">
        <v>2.5450866666666667</v>
      </c>
      <c r="O603" s="10">
        <f t="shared" si="179"/>
        <v>2.545086667</v>
      </c>
      <c r="Q603" s="67">
        <v>24.036142</v>
      </c>
      <c r="S603" s="68">
        <v>0.091885711</v>
      </c>
      <c r="T603" s="68">
        <v>0.087809433</v>
      </c>
      <c r="U603" s="68">
        <v>0.0022748166</v>
      </c>
      <c r="V603" s="68">
        <v>0.001801462</v>
      </c>
      <c r="X603" s="69">
        <v>1.2655996E-4</v>
      </c>
      <c r="Y603" s="70"/>
      <c r="Z603" s="72"/>
    </row>
    <row r="604" ht="12.75" customHeight="1">
      <c r="A604" s="1" t="s">
        <v>1010</v>
      </c>
      <c r="B604" s="2" t="s">
        <v>932</v>
      </c>
      <c r="C604" s="60" t="str">
        <f t="shared" si="176"/>
        <v>A.100.08.103</v>
      </c>
      <c r="D604" s="51" t="s">
        <v>1007</v>
      </c>
      <c r="E604" s="62" t="s">
        <v>45</v>
      </c>
      <c r="F604" s="63" t="str">
        <f t="shared" si="177"/>
        <v>9S20</v>
      </c>
      <c r="G604" s="64">
        <v>0.65937277257035</v>
      </c>
      <c r="H604" s="10">
        <f t="shared" si="178"/>
        <v>0.6593727726</v>
      </c>
      <c r="I604" s="65">
        <v>0.03917230646</v>
      </c>
      <c r="J604" s="65">
        <v>0.12226593320051099</v>
      </c>
      <c r="K604" s="65">
        <v>0.120616442909839</v>
      </c>
      <c r="L604" s="65">
        <v>0.37731809</v>
      </c>
      <c r="N604" s="66">
        <v>2.5154539333333332</v>
      </c>
      <c r="O604" s="10">
        <f t="shared" si="179"/>
        <v>2.515453933</v>
      </c>
      <c r="Q604" s="67">
        <v>24.021616</v>
      </c>
      <c r="S604" s="68">
        <v>0.10371942</v>
      </c>
      <c r="T604" s="68">
        <v>0.099603735</v>
      </c>
      <c r="U604" s="68">
        <v>0.0023037151</v>
      </c>
      <c r="V604" s="68">
        <v>0.0018119688</v>
      </c>
      <c r="X604" s="69">
        <v>1.3081366E-4</v>
      </c>
      <c r="Y604" s="70"/>
      <c r="Z604" s="72"/>
    </row>
    <row r="605" ht="12.75" customHeight="1">
      <c r="A605" s="1" t="s">
        <v>1011</v>
      </c>
      <c r="B605" s="2" t="s">
        <v>932</v>
      </c>
      <c r="C605" s="60" t="str">
        <f t="shared" si="176"/>
        <v>A.100.08.104</v>
      </c>
      <c r="D605" s="51" t="s">
        <v>1007</v>
      </c>
      <c r="E605" s="62" t="s">
        <v>45</v>
      </c>
      <c r="F605" s="63" t="str">
        <f t="shared" si="177"/>
        <v>9SMnPb (1.0718)</v>
      </c>
      <c r="G605" s="64">
        <v>0.6190924084729637</v>
      </c>
      <c r="H605" s="10">
        <f t="shared" si="178"/>
        <v>0.6190924085</v>
      </c>
      <c r="I605" s="65">
        <v>0.039452535606</v>
      </c>
      <c r="J605" s="65">
        <v>0.11770833844204419</v>
      </c>
      <c r="K605" s="65">
        <v>0.0812547644249195</v>
      </c>
      <c r="L605" s="65">
        <v>0.38067677</v>
      </c>
      <c r="N605" s="66">
        <v>2.5378451333333336</v>
      </c>
      <c r="O605" s="10">
        <f t="shared" si="179"/>
        <v>2.537845133</v>
      </c>
      <c r="Q605" s="67">
        <v>23.828157</v>
      </c>
      <c r="S605" s="68">
        <v>0.11151538</v>
      </c>
      <c r="T605" s="68">
        <v>0.10744429</v>
      </c>
      <c r="U605" s="68">
        <v>0.0022865572</v>
      </c>
      <c r="V605" s="68">
        <v>0.0017845411</v>
      </c>
      <c r="X605" s="69">
        <v>1.304373E-4</v>
      </c>
      <c r="Y605" s="70"/>
      <c r="Z605" s="72"/>
    </row>
    <row r="606" ht="12.75" customHeight="1">
      <c r="B606" s="2"/>
      <c r="C606" s="60"/>
      <c r="D606" s="75" t="s">
        <v>1012</v>
      </c>
      <c r="E606" s="62"/>
      <c r="G606" s="10"/>
      <c r="H606" s="10"/>
      <c r="I606" s="10"/>
      <c r="J606" s="10"/>
      <c r="K606" s="10"/>
      <c r="L606" s="10"/>
      <c r="N606" s="10"/>
      <c r="O606" s="10"/>
      <c r="Q606" s="67"/>
      <c r="Y606" s="71"/>
      <c r="Z606" s="72"/>
    </row>
    <row r="607" ht="12.75" customHeight="1">
      <c r="A607" s="1" t="s">
        <v>1013</v>
      </c>
      <c r="B607" s="2" t="s">
        <v>932</v>
      </c>
      <c r="C607" s="60" t="str">
        <f t="shared" ref="C607:C614" si="180">MID(A607,1,12)</f>
        <v>A.100.10.101</v>
      </c>
      <c r="D607" s="51" t="s">
        <v>1012</v>
      </c>
      <c r="E607" s="62" t="s">
        <v>45</v>
      </c>
      <c r="F607" s="63" t="str">
        <f t="shared" ref="F607:F614" si="181">MID(A607, 21,85)</f>
        <v>GS-10Ni6</v>
      </c>
      <c r="G607" s="64">
        <v>0.981927768082222</v>
      </c>
      <c r="H607" s="10">
        <f t="shared" ref="H607:H614" si="182">G607</f>
        <v>0.9819277681</v>
      </c>
      <c r="I607" s="65">
        <v>0.03905003687385</v>
      </c>
      <c r="J607" s="65">
        <v>0.2938543568420501</v>
      </c>
      <c r="K607" s="65">
        <v>0.25208630436632196</v>
      </c>
      <c r="L607" s="65">
        <v>0.39693707</v>
      </c>
      <c r="N607" s="66">
        <v>2.6462471333333335</v>
      </c>
      <c r="O607" s="10">
        <f t="shared" ref="O607:O614" si="183">N607</f>
        <v>2.646247133</v>
      </c>
      <c r="Q607" s="67">
        <v>26.976376</v>
      </c>
      <c r="S607" s="68">
        <v>0.11755741</v>
      </c>
      <c r="T607" s="68">
        <v>0.1120662</v>
      </c>
      <c r="U607" s="68">
        <v>0.0034156552</v>
      </c>
      <c r="V607" s="68">
        <v>0.0020755571</v>
      </c>
      <c r="X607" s="69">
        <v>1.7987134E-4</v>
      </c>
      <c r="Y607" s="70"/>
      <c r="Z607" s="48"/>
    </row>
    <row r="608" ht="12.75" customHeight="1">
      <c r="A608" s="1" t="s">
        <v>1014</v>
      </c>
      <c r="B608" s="2" t="s">
        <v>932</v>
      </c>
      <c r="C608" s="60" t="str">
        <f t="shared" si="180"/>
        <v>A.100.10.102</v>
      </c>
      <c r="D608" s="51" t="s">
        <v>1012</v>
      </c>
      <c r="E608" s="62" t="s">
        <v>45</v>
      </c>
      <c r="F608" s="63" t="str">
        <f t="shared" si="181"/>
        <v>GS-22Mo4</v>
      </c>
      <c r="G608" s="64">
        <v>0.7582846587138581</v>
      </c>
      <c r="H608" s="10">
        <f t="shared" si="182"/>
        <v>0.7582846587</v>
      </c>
      <c r="I608" s="65">
        <v>0.038930454335999995</v>
      </c>
      <c r="J608" s="65">
        <v>0.14279696655979002</v>
      </c>
      <c r="K608" s="65">
        <v>0.179720657818068</v>
      </c>
      <c r="L608" s="65">
        <v>0.39683658</v>
      </c>
      <c r="N608" s="66">
        <v>2.6455772</v>
      </c>
      <c r="O608" s="10">
        <f t="shared" si="183"/>
        <v>2.6455772</v>
      </c>
      <c r="Q608" s="67">
        <v>24.14092</v>
      </c>
      <c r="S608" s="68">
        <v>0.10297316</v>
      </c>
      <c r="T608" s="68">
        <v>0.098567225</v>
      </c>
      <c r="U608" s="68">
        <v>0.0025241982</v>
      </c>
      <c r="V608" s="68">
        <v>0.0018817395</v>
      </c>
      <c r="X608" s="69">
        <v>1.8090888E-4</v>
      </c>
      <c r="Y608" s="70"/>
      <c r="Z608" s="72"/>
    </row>
    <row r="609" ht="12.75" customHeight="1">
      <c r="A609" s="1" t="s">
        <v>1015</v>
      </c>
      <c r="B609" s="2" t="s">
        <v>932</v>
      </c>
      <c r="C609" s="60" t="str">
        <f t="shared" si="180"/>
        <v>A.100.10.103</v>
      </c>
      <c r="D609" s="51" t="s">
        <v>1012</v>
      </c>
      <c r="E609" s="62" t="s">
        <v>45</v>
      </c>
      <c r="F609" s="63" t="str">
        <f t="shared" si="181"/>
        <v>GS-25CrMo4</v>
      </c>
      <c r="G609" s="64">
        <v>2.2422406122428153</v>
      </c>
      <c r="H609" s="10">
        <f t="shared" si="182"/>
        <v>2.242240612</v>
      </c>
      <c r="I609" s="65">
        <v>0.065745817193</v>
      </c>
      <c r="J609" s="65">
        <v>0.8451623883955401</v>
      </c>
      <c r="K609" s="65">
        <v>0.8572943166542751</v>
      </c>
      <c r="L609" s="65">
        <v>0.47403809</v>
      </c>
      <c r="N609" s="66">
        <v>3.1602539333333337</v>
      </c>
      <c r="O609" s="10">
        <f t="shared" si="183"/>
        <v>3.160253933</v>
      </c>
      <c r="Q609" s="67">
        <v>35.452517</v>
      </c>
      <c r="S609" s="68">
        <v>0.32987848</v>
      </c>
      <c r="T609" s="68">
        <v>0.31995717</v>
      </c>
      <c r="U609" s="68">
        <v>0.006996965</v>
      </c>
      <c r="V609" s="68">
        <v>0.0029243518</v>
      </c>
      <c r="X609" s="69">
        <v>4.1198459E-4</v>
      </c>
      <c r="Y609" s="70"/>
      <c r="Z609" s="72"/>
    </row>
    <row r="610" ht="12.75" customHeight="1">
      <c r="A610" s="1" t="s">
        <v>1016</v>
      </c>
      <c r="B610" s="2" t="s">
        <v>932</v>
      </c>
      <c r="C610" s="60" t="str">
        <f t="shared" si="180"/>
        <v>A.100.10.104</v>
      </c>
      <c r="D610" s="51" t="s">
        <v>1012</v>
      </c>
      <c r="E610" s="62" t="s">
        <v>45</v>
      </c>
      <c r="F610" s="63" t="str">
        <f t="shared" si="181"/>
        <v>GS-45.3</v>
      </c>
      <c r="G610" s="64">
        <v>0.636653229293858</v>
      </c>
      <c r="H610" s="10">
        <f t="shared" si="182"/>
        <v>0.6366532293</v>
      </c>
      <c r="I610" s="65">
        <v>0.043305829516</v>
      </c>
      <c r="J610" s="65">
        <v>0.12211665475979</v>
      </c>
      <c r="K610" s="65">
        <v>0.08592080501806798</v>
      </c>
      <c r="L610" s="65">
        <v>0.38530994</v>
      </c>
      <c r="N610" s="66">
        <v>2.5687329333333335</v>
      </c>
      <c r="O610" s="10">
        <f t="shared" si="183"/>
        <v>2.568732933</v>
      </c>
      <c r="Q610" s="67">
        <v>23.876222</v>
      </c>
      <c r="S610" s="68">
        <v>0.14100506</v>
      </c>
      <c r="T610" s="68">
        <v>0.13689422</v>
      </c>
      <c r="U610" s="68">
        <v>0.0023240255</v>
      </c>
      <c r="V610" s="68">
        <v>0.0017868196</v>
      </c>
      <c r="X610" s="69">
        <v>1.3709677E-4</v>
      </c>
      <c r="Y610" s="70"/>
      <c r="Z610" s="72"/>
    </row>
    <row r="611" ht="12.75" customHeight="1">
      <c r="A611" s="1" t="s">
        <v>1017</v>
      </c>
      <c r="B611" s="2" t="s">
        <v>932</v>
      </c>
      <c r="C611" s="60" t="str">
        <f t="shared" si="180"/>
        <v>A.100.10.105</v>
      </c>
      <c r="D611" s="51" t="s">
        <v>1012</v>
      </c>
      <c r="E611" s="62" t="s">
        <v>45</v>
      </c>
      <c r="F611" s="63" t="str">
        <f t="shared" si="181"/>
        <v>GS-70</v>
      </c>
      <c r="G611" s="64">
        <v>0.5660396261166186</v>
      </c>
      <c r="H611" s="10">
        <f t="shared" si="182"/>
        <v>0.5660396261</v>
      </c>
      <c r="I611" s="65">
        <v>0.033723097202</v>
      </c>
      <c r="J611" s="65">
        <v>0.10461197436181001</v>
      </c>
      <c r="K611" s="65">
        <v>0.0733851145528086</v>
      </c>
      <c r="L611" s="65">
        <v>0.35431944</v>
      </c>
      <c r="N611" s="66">
        <v>2.3621296</v>
      </c>
      <c r="O611" s="10">
        <f t="shared" si="183"/>
        <v>2.3621296</v>
      </c>
      <c r="Q611" s="67">
        <v>22.335271</v>
      </c>
      <c r="S611" s="68">
        <v>0.082821814</v>
      </c>
      <c r="T611" s="68">
        <v>0.079038169</v>
      </c>
      <c r="U611" s="68">
        <v>0.0021088846</v>
      </c>
      <c r="V611" s="68">
        <v>0.0016747603</v>
      </c>
      <c r="X611" s="69">
        <v>1.1695065E-4</v>
      </c>
      <c r="Y611" s="70"/>
      <c r="Z611" s="72"/>
    </row>
    <row r="612" ht="12.75" customHeight="1">
      <c r="A612" s="1" t="s">
        <v>1018</v>
      </c>
      <c r="B612" s="2" t="s">
        <v>932</v>
      </c>
      <c r="C612" s="60" t="str">
        <f t="shared" si="180"/>
        <v>A.100.10.106</v>
      </c>
      <c r="D612" s="51" t="s">
        <v>1012</v>
      </c>
      <c r="E612" s="62" t="s">
        <v>45</v>
      </c>
      <c r="F612" s="63" t="str">
        <f t="shared" si="181"/>
        <v>GS-X40CrNiSi 25 12</v>
      </c>
      <c r="G612" s="64">
        <v>5.405522362257916</v>
      </c>
      <c r="H612" s="10">
        <f t="shared" si="182"/>
        <v>5.405522362</v>
      </c>
      <c r="I612" s="65">
        <v>0.19491673151400002</v>
      </c>
      <c r="J612" s="65">
        <v>2.0000504316714998</v>
      </c>
      <c r="K612" s="65">
        <v>1.9434784990724152</v>
      </c>
      <c r="L612" s="65">
        <v>1.2670767</v>
      </c>
      <c r="N612" s="66">
        <v>8.447178000000001</v>
      </c>
      <c r="O612" s="10">
        <f t="shared" si="183"/>
        <v>8.447178</v>
      </c>
      <c r="Q612" s="67">
        <v>49.472584</v>
      </c>
      <c r="S612" s="68">
        <v>0.80769609</v>
      </c>
      <c r="T612" s="68">
        <v>0.78634411</v>
      </c>
      <c r="U612" s="68">
        <v>0.017714442</v>
      </c>
      <c r="V612" s="68">
        <v>0.0036375383</v>
      </c>
      <c r="X612" s="69">
        <v>0.0011461369</v>
      </c>
      <c r="Y612" s="70"/>
      <c r="Z612" s="48"/>
    </row>
    <row r="613" ht="12.75" customHeight="1">
      <c r="A613" s="1" t="s">
        <v>1019</v>
      </c>
      <c r="B613" s="2" t="s">
        <v>932</v>
      </c>
      <c r="C613" s="60" t="str">
        <f t="shared" si="180"/>
        <v>A.100.10.107</v>
      </c>
      <c r="D613" s="51" t="s">
        <v>1012</v>
      </c>
      <c r="E613" s="62" t="s">
        <v>45</v>
      </c>
      <c r="F613" s="63" t="str">
        <f t="shared" si="181"/>
        <v>HA</v>
      </c>
      <c r="G613" s="64">
        <v>1.8151140463000002</v>
      </c>
      <c r="H613" s="10">
        <f t="shared" si="182"/>
        <v>1.815114046</v>
      </c>
      <c r="I613" s="65">
        <v>0.0753373623</v>
      </c>
      <c r="J613" s="65">
        <v>0.39080117700000006</v>
      </c>
      <c r="K613" s="65">
        <v>0.690140627</v>
      </c>
      <c r="L613" s="65">
        <v>0.65883488</v>
      </c>
      <c r="N613" s="66">
        <v>4.392232533333334</v>
      </c>
      <c r="O613" s="10">
        <f t="shared" si="183"/>
        <v>4.392232533</v>
      </c>
      <c r="Q613" s="67">
        <v>25.225632</v>
      </c>
      <c r="S613" s="68">
        <v>0.20339725</v>
      </c>
      <c r="T613" s="68">
        <v>0.19599881</v>
      </c>
      <c r="U613" s="68">
        <v>0.0052976641</v>
      </c>
      <c r="V613" s="68">
        <v>0.0021007759</v>
      </c>
      <c r="X613" s="69">
        <v>5.415432E-4</v>
      </c>
      <c r="Y613" s="70"/>
      <c r="Z613" s="72"/>
    </row>
    <row r="614" ht="12.75" customHeight="1">
      <c r="A614" s="1" t="s">
        <v>1020</v>
      </c>
      <c r="B614" s="2" t="s">
        <v>932</v>
      </c>
      <c r="C614" s="60" t="str">
        <f t="shared" si="180"/>
        <v>A.100.10.108</v>
      </c>
      <c r="D614" s="51" t="s">
        <v>1012</v>
      </c>
      <c r="E614" s="62" t="s">
        <v>45</v>
      </c>
      <c r="F614" s="63" t="str">
        <f t="shared" si="181"/>
        <v>HT</v>
      </c>
      <c r="G614" s="64">
        <v>10.495855991851945</v>
      </c>
      <c r="H614" s="10">
        <f t="shared" si="182"/>
        <v>10.49585599</v>
      </c>
      <c r="I614" s="65">
        <v>0.260508707765</v>
      </c>
      <c r="J614" s="65">
        <v>4.5283448845424</v>
      </c>
      <c r="K614" s="65">
        <v>4.431946799544545</v>
      </c>
      <c r="L614" s="65">
        <v>1.2750556</v>
      </c>
      <c r="N614" s="66">
        <v>8.500370666666667</v>
      </c>
      <c r="O614" s="10">
        <f t="shared" si="183"/>
        <v>8.500370667</v>
      </c>
      <c r="Q614" s="67">
        <v>91.561448</v>
      </c>
      <c r="S614" s="68">
        <v>1.6090405</v>
      </c>
      <c r="T614" s="68">
        <v>1.568799</v>
      </c>
      <c r="U614" s="68">
        <v>0.032439992</v>
      </c>
      <c r="V614" s="68">
        <v>0.0078015052</v>
      </c>
      <c r="X614" s="69">
        <v>0.0018623166</v>
      </c>
      <c r="Y614" s="70"/>
      <c r="Z614" s="72"/>
    </row>
    <row r="615" ht="12.75" customHeight="1">
      <c r="B615" s="2"/>
      <c r="C615" s="60"/>
      <c r="D615" s="75" t="s">
        <v>1021</v>
      </c>
      <c r="E615" s="62"/>
      <c r="G615" s="10"/>
      <c r="H615" s="10"/>
      <c r="I615" s="10"/>
      <c r="J615" s="10"/>
      <c r="K615" s="10"/>
      <c r="L615" s="10"/>
      <c r="N615" s="10"/>
      <c r="O615" s="10"/>
      <c r="Q615" s="67"/>
      <c r="Y615" s="71"/>
      <c r="Z615" s="72"/>
    </row>
    <row r="616" ht="12.75" customHeight="1">
      <c r="A616" s="1" t="s">
        <v>1022</v>
      </c>
      <c r="B616" s="2" t="s">
        <v>932</v>
      </c>
      <c r="C616" s="60" t="str">
        <f t="shared" ref="C616:C619" si="184">MID(A616,1,12)</f>
        <v>A.100.12.101</v>
      </c>
      <c r="D616" s="51" t="s">
        <v>1021</v>
      </c>
      <c r="E616" s="62" t="s">
        <v>45</v>
      </c>
      <c r="F616" s="63" t="str">
        <f t="shared" ref="F616:F619" si="185">MID(A616, 21,85)</f>
        <v>Fe360</v>
      </c>
      <c r="G616" s="64">
        <v>0.5731279475061776</v>
      </c>
      <c r="H616" s="10">
        <f t="shared" ref="H616:H619" si="186">G616</f>
        <v>0.5731279475</v>
      </c>
      <c r="I616" s="65">
        <v>0.033654834811200005</v>
      </c>
      <c r="J616" s="65">
        <v>0.105743104601847</v>
      </c>
      <c r="K616" s="65">
        <v>0.07314847809313058</v>
      </c>
      <c r="L616" s="65">
        <v>0.36058153</v>
      </c>
      <c r="N616" s="66">
        <v>2.403876866666667</v>
      </c>
      <c r="O616" s="10">
        <f t="shared" ref="O616:O619" si="187">N616</f>
        <v>2.403876867</v>
      </c>
      <c r="Q616" s="67">
        <v>22.768841</v>
      </c>
      <c r="S616" s="68">
        <v>0.078928762</v>
      </c>
      <c r="T616" s="68">
        <v>0.075078082</v>
      </c>
      <c r="U616" s="68">
        <v>0.0021434117</v>
      </c>
      <c r="V616" s="68">
        <v>0.001707269</v>
      </c>
      <c r="X616" s="69">
        <v>1.1799005E-4</v>
      </c>
      <c r="Y616" s="70"/>
      <c r="Z616" s="72"/>
    </row>
    <row r="617" ht="12.75" customHeight="1">
      <c r="A617" s="1" t="s">
        <v>1023</v>
      </c>
      <c r="B617" s="2" t="s">
        <v>932</v>
      </c>
      <c r="C617" s="60" t="str">
        <f t="shared" si="184"/>
        <v>A.100.12.102</v>
      </c>
      <c r="D617" s="51" t="s">
        <v>1021</v>
      </c>
      <c r="E617" s="62" t="s">
        <v>45</v>
      </c>
      <c r="F617" s="63" t="str">
        <f t="shared" si="185"/>
        <v>Fe470</v>
      </c>
      <c r="G617" s="64">
        <v>0.5731279475061776</v>
      </c>
      <c r="H617" s="10">
        <f t="shared" si="186"/>
        <v>0.5731279475</v>
      </c>
      <c r="I617" s="65">
        <v>0.033654834811200005</v>
      </c>
      <c r="J617" s="65">
        <v>0.105743104601847</v>
      </c>
      <c r="K617" s="65">
        <v>0.07314847809313058</v>
      </c>
      <c r="L617" s="65">
        <v>0.36058153</v>
      </c>
      <c r="N617" s="66">
        <v>2.403876866666667</v>
      </c>
      <c r="O617" s="10">
        <f t="shared" si="187"/>
        <v>2.403876867</v>
      </c>
      <c r="Q617" s="67">
        <v>22.768841</v>
      </c>
      <c r="S617" s="68">
        <v>0.078928762</v>
      </c>
      <c r="T617" s="68">
        <v>0.075078082</v>
      </c>
      <c r="U617" s="68">
        <v>0.0021434117</v>
      </c>
      <c r="V617" s="68">
        <v>0.001707269</v>
      </c>
      <c r="X617" s="69">
        <v>1.1799005E-4</v>
      </c>
      <c r="Y617" s="70"/>
      <c r="Z617" s="48"/>
    </row>
    <row r="618" ht="12.75" customHeight="1">
      <c r="A618" s="1" t="s">
        <v>1024</v>
      </c>
      <c r="B618" s="2" t="s">
        <v>932</v>
      </c>
      <c r="C618" s="60" t="str">
        <f t="shared" si="184"/>
        <v>A.100.12.103</v>
      </c>
      <c r="D618" s="51" t="s">
        <v>1021</v>
      </c>
      <c r="E618" s="62" t="s">
        <v>45</v>
      </c>
      <c r="F618" s="63" t="str">
        <f t="shared" si="185"/>
        <v>Fe520</v>
      </c>
      <c r="G618" s="64">
        <v>0.5731279475061776</v>
      </c>
      <c r="H618" s="10">
        <f t="shared" si="186"/>
        <v>0.5731279475</v>
      </c>
      <c r="I618" s="65">
        <v>0.033654834811200005</v>
      </c>
      <c r="J618" s="65">
        <v>0.105743104601847</v>
      </c>
      <c r="K618" s="65">
        <v>0.07314847809313058</v>
      </c>
      <c r="L618" s="65">
        <v>0.36058153</v>
      </c>
      <c r="N618" s="66">
        <v>2.403876866666667</v>
      </c>
      <c r="O618" s="10">
        <f t="shared" si="187"/>
        <v>2.403876867</v>
      </c>
      <c r="Q618" s="67">
        <v>22.768841</v>
      </c>
      <c r="S618" s="68">
        <v>0.078928762</v>
      </c>
      <c r="T618" s="68">
        <v>0.075078082</v>
      </c>
      <c r="U618" s="68">
        <v>0.0021434117</v>
      </c>
      <c r="V618" s="68">
        <v>0.001707269</v>
      </c>
      <c r="X618" s="69">
        <v>1.1799005E-4</v>
      </c>
      <c r="Y618" s="70"/>
      <c r="Z618" s="72"/>
    </row>
    <row r="619" ht="12.75" customHeight="1">
      <c r="A619" s="1" t="s">
        <v>1025</v>
      </c>
      <c r="B619" s="2" t="s">
        <v>932</v>
      </c>
      <c r="C619" s="60" t="str">
        <f t="shared" si="184"/>
        <v>A.100.12.104</v>
      </c>
      <c r="D619" s="51" t="s">
        <v>1021</v>
      </c>
      <c r="E619" s="62" t="s">
        <v>45</v>
      </c>
      <c r="F619" s="63" t="str">
        <f t="shared" si="185"/>
        <v>St13</v>
      </c>
      <c r="G619" s="64">
        <v>0.5731279475061776</v>
      </c>
      <c r="H619" s="10">
        <f t="shared" si="186"/>
        <v>0.5731279475</v>
      </c>
      <c r="I619" s="65">
        <v>0.033654834811200005</v>
      </c>
      <c r="J619" s="65">
        <v>0.105743104601847</v>
      </c>
      <c r="K619" s="65">
        <v>0.07314847809313058</v>
      </c>
      <c r="L619" s="65">
        <v>0.36058153</v>
      </c>
      <c r="N619" s="66">
        <v>2.403876866666667</v>
      </c>
      <c r="O619" s="10">
        <f t="shared" si="187"/>
        <v>2.403876867</v>
      </c>
      <c r="Q619" s="67">
        <v>22.768841</v>
      </c>
      <c r="S619" s="68">
        <v>0.078928762</v>
      </c>
      <c r="T619" s="68">
        <v>0.075078082</v>
      </c>
      <c r="U619" s="68">
        <v>0.0021434117</v>
      </c>
      <c r="V619" s="68">
        <v>0.001707269</v>
      </c>
      <c r="X619" s="69">
        <v>1.1799005E-4</v>
      </c>
      <c r="Y619" s="70"/>
      <c r="Z619" s="72"/>
    </row>
    <row r="620" ht="12.75" customHeight="1">
      <c r="B620" s="2"/>
      <c r="C620" s="60"/>
      <c r="D620" s="75" t="s">
        <v>1026</v>
      </c>
      <c r="E620" s="62"/>
      <c r="G620" s="10"/>
      <c r="H620" s="10"/>
      <c r="I620" s="10"/>
      <c r="J620" s="10"/>
      <c r="K620" s="10"/>
      <c r="L620" s="10"/>
      <c r="N620" s="10"/>
      <c r="O620" s="10"/>
      <c r="Q620" s="67"/>
      <c r="Y620" s="71"/>
      <c r="Z620" s="72"/>
    </row>
    <row r="621" ht="12.75" customHeight="1">
      <c r="A621" s="1" t="s">
        <v>1027</v>
      </c>
      <c r="B621" s="2" t="s">
        <v>932</v>
      </c>
      <c r="C621" s="60" t="str">
        <f t="shared" ref="C621:C624" si="188">MID(A621,1,12)</f>
        <v>A.100.14.101</v>
      </c>
      <c r="D621" s="51" t="s">
        <v>1026</v>
      </c>
      <c r="E621" s="62" t="s">
        <v>45</v>
      </c>
      <c r="F621" s="63" t="str">
        <f t="shared" ref="F621:F624" si="189">MID(A621, 21,85)</f>
        <v>A517a</v>
      </c>
      <c r="G621" s="64">
        <v>0.828126891713858</v>
      </c>
      <c r="H621" s="10">
        <f t="shared" ref="H621:H624" si="190">G621</f>
        <v>0.8281268917</v>
      </c>
      <c r="I621" s="65">
        <v>0.042508227536000004</v>
      </c>
      <c r="J621" s="65">
        <v>0.15895434555979</v>
      </c>
      <c r="K621" s="65">
        <v>0.221209138618068</v>
      </c>
      <c r="L621" s="65">
        <v>0.40545518</v>
      </c>
      <c r="N621" s="66">
        <v>2.7030345333333337</v>
      </c>
      <c r="O621" s="10">
        <f t="shared" ref="O621:O624" si="191">N621</f>
        <v>2.703034533</v>
      </c>
      <c r="Q621" s="67">
        <v>24.122394</v>
      </c>
      <c r="S621" s="68">
        <v>0.12594782</v>
      </c>
      <c r="T621" s="68">
        <v>0.12138746</v>
      </c>
      <c r="U621" s="68">
        <v>0.0026542155</v>
      </c>
      <c r="V621" s="68">
        <v>0.0019061469</v>
      </c>
      <c r="X621" s="69">
        <v>2.0733249E-4</v>
      </c>
      <c r="Y621" s="70"/>
      <c r="Z621" s="72"/>
    </row>
    <row r="622" ht="12.75" customHeight="1">
      <c r="A622" s="1" t="s">
        <v>1028</v>
      </c>
      <c r="B622" s="2" t="s">
        <v>932</v>
      </c>
      <c r="C622" s="60" t="str">
        <f t="shared" si="188"/>
        <v>A.100.14.102</v>
      </c>
      <c r="D622" s="51" t="s">
        <v>1026</v>
      </c>
      <c r="E622" s="62" t="s">
        <v>45</v>
      </c>
      <c r="F622" s="63" t="str">
        <f t="shared" si="189"/>
        <v>A517b</v>
      </c>
      <c r="G622" s="64">
        <v>0.7805846037133239</v>
      </c>
      <c r="H622" s="10">
        <f t="shared" si="190"/>
        <v>0.7805846037</v>
      </c>
      <c r="I622" s="65">
        <v>0.04280951905000001</v>
      </c>
      <c r="J622" s="65">
        <v>0.14927212640429</v>
      </c>
      <c r="K622" s="65">
        <v>0.1877936482590339</v>
      </c>
      <c r="L622" s="65">
        <v>0.40070931</v>
      </c>
      <c r="N622" s="66">
        <v>2.6713954</v>
      </c>
      <c r="O622" s="10">
        <f t="shared" si="191"/>
        <v>2.6713954</v>
      </c>
      <c r="Q622" s="67">
        <v>24.121973</v>
      </c>
      <c r="S622" s="68">
        <v>0.12133226</v>
      </c>
      <c r="T622" s="68">
        <v>0.11688748</v>
      </c>
      <c r="U622" s="68">
        <v>0.0025737769</v>
      </c>
      <c r="V622" s="68">
        <v>0.0018710066</v>
      </c>
      <c r="X622" s="69">
        <v>1.8748599E-4</v>
      </c>
      <c r="Y622" s="70"/>
      <c r="Z622" s="72"/>
    </row>
    <row r="623" ht="12.75" customHeight="1">
      <c r="A623" s="1" t="s">
        <v>1029</v>
      </c>
      <c r="B623" s="2" t="s">
        <v>932</v>
      </c>
      <c r="C623" s="60" t="str">
        <f t="shared" si="188"/>
        <v>A.100.14.103</v>
      </c>
      <c r="D623" s="51" t="s">
        <v>1026</v>
      </c>
      <c r="E623" s="62" t="s">
        <v>45</v>
      </c>
      <c r="F623" s="63" t="str">
        <f t="shared" si="189"/>
        <v>S355J2G1W</v>
      </c>
      <c r="G623" s="64">
        <v>0.5731279475061776</v>
      </c>
      <c r="H623" s="10">
        <f t="shared" si="190"/>
        <v>0.5731279475</v>
      </c>
      <c r="I623" s="65">
        <v>0.033654834811200005</v>
      </c>
      <c r="J623" s="65">
        <v>0.105743104601847</v>
      </c>
      <c r="K623" s="65">
        <v>0.07314847809313058</v>
      </c>
      <c r="L623" s="65">
        <v>0.36058153</v>
      </c>
      <c r="N623" s="66">
        <v>2.403876866666667</v>
      </c>
      <c r="O623" s="10">
        <f t="shared" si="191"/>
        <v>2.403876867</v>
      </c>
      <c r="Q623" s="67">
        <v>22.768841</v>
      </c>
      <c r="S623" s="68">
        <v>0.078928762</v>
      </c>
      <c r="T623" s="68">
        <v>0.075078082</v>
      </c>
      <c r="U623" s="68">
        <v>0.0021434117</v>
      </c>
      <c r="V623" s="68">
        <v>0.001707269</v>
      </c>
      <c r="X623" s="69">
        <v>1.1799005E-4</v>
      </c>
      <c r="Y623" s="70"/>
      <c r="Z623" s="72"/>
    </row>
    <row r="624" ht="12.75" customHeight="1">
      <c r="A624" s="1" t="s">
        <v>1030</v>
      </c>
      <c r="B624" s="2" t="s">
        <v>932</v>
      </c>
      <c r="C624" s="60" t="str">
        <f t="shared" si="188"/>
        <v>A.100.14.104</v>
      </c>
      <c r="D624" s="51" t="s">
        <v>1026</v>
      </c>
      <c r="E624" s="62" t="s">
        <v>45</v>
      </c>
      <c r="F624" s="63" t="str">
        <f t="shared" si="189"/>
        <v>St14</v>
      </c>
      <c r="G624" s="64">
        <v>0.5731279475061776</v>
      </c>
      <c r="H624" s="10">
        <f t="shared" si="190"/>
        <v>0.5731279475</v>
      </c>
      <c r="I624" s="65">
        <v>0.033654834811200005</v>
      </c>
      <c r="J624" s="65">
        <v>0.105743104601847</v>
      </c>
      <c r="K624" s="65">
        <v>0.07314847809313058</v>
      </c>
      <c r="L624" s="65">
        <v>0.36058153</v>
      </c>
      <c r="N624" s="66">
        <v>2.403876866666667</v>
      </c>
      <c r="O624" s="10">
        <f t="shared" si="191"/>
        <v>2.403876867</v>
      </c>
      <c r="Q624" s="67">
        <v>22.768841</v>
      </c>
      <c r="S624" s="68">
        <v>0.078928762</v>
      </c>
      <c r="T624" s="68">
        <v>0.075078082</v>
      </c>
      <c r="U624" s="68">
        <v>0.0021434117</v>
      </c>
      <c r="V624" s="68">
        <v>0.001707269</v>
      </c>
      <c r="X624" s="69">
        <v>1.1799005E-4</v>
      </c>
      <c r="Y624" s="70"/>
      <c r="Z624" s="72"/>
    </row>
    <row r="625" ht="12.75" customHeight="1">
      <c r="B625" s="2"/>
      <c r="C625" s="60"/>
      <c r="D625" s="75" t="s">
        <v>1031</v>
      </c>
      <c r="E625" s="62"/>
      <c r="G625" s="10"/>
      <c r="H625" s="10"/>
      <c r="I625" s="10"/>
      <c r="J625" s="10"/>
      <c r="K625" s="10"/>
      <c r="L625" s="10"/>
      <c r="N625" s="10"/>
      <c r="O625" s="10"/>
      <c r="Q625" s="67"/>
      <c r="Y625" s="71"/>
      <c r="Z625" s="72"/>
    </row>
    <row r="626" ht="12.75" customHeight="1">
      <c r="A626" s="1" t="s">
        <v>1032</v>
      </c>
      <c r="B626" s="2" t="s">
        <v>932</v>
      </c>
      <c r="C626" s="60" t="str">
        <f t="shared" ref="C626:C642" si="192">MID(A626,1,12)</f>
        <v>A.100.16.101</v>
      </c>
      <c r="D626" s="51" t="s">
        <v>1031</v>
      </c>
      <c r="E626" s="62" t="s">
        <v>45</v>
      </c>
      <c r="F626" s="63" t="str">
        <f t="shared" ref="F626:F642" si="193">MID(A626, 21,85)</f>
        <v>14NiCr14</v>
      </c>
      <c r="G626" s="64">
        <v>1.5578038488666648</v>
      </c>
      <c r="H626" s="10">
        <f t="shared" ref="H626:H642" si="194">G626</f>
        <v>1.557803849</v>
      </c>
      <c r="I626" s="65">
        <v>0.056472131663</v>
      </c>
      <c r="J626" s="65">
        <v>0.54540005525608</v>
      </c>
      <c r="K626" s="65">
        <v>0.48830438194758496</v>
      </c>
      <c r="L626" s="65">
        <v>0.46762728</v>
      </c>
      <c r="N626" s="66">
        <v>3.1175152</v>
      </c>
      <c r="O626" s="10">
        <f t="shared" ref="O626:O642" si="195">N626</f>
        <v>3.1175152</v>
      </c>
      <c r="Q626" s="67">
        <v>30.756109</v>
      </c>
      <c r="S626" s="68">
        <v>0.22441156</v>
      </c>
      <c r="T626" s="68">
        <v>0.21680464</v>
      </c>
      <c r="U626" s="68">
        <v>0.00522668</v>
      </c>
      <c r="V626" s="68">
        <v>0.002380243</v>
      </c>
      <c r="X626" s="69">
        <v>2.8413835E-4</v>
      </c>
      <c r="Y626" s="70"/>
      <c r="Z626" s="72"/>
    </row>
    <row r="627" ht="12.75" customHeight="1">
      <c r="A627" s="1" t="s">
        <v>1033</v>
      </c>
      <c r="B627" s="2" t="s">
        <v>932</v>
      </c>
      <c r="C627" s="60" t="str">
        <f t="shared" si="192"/>
        <v>A.100.16.102</v>
      </c>
      <c r="D627" s="51" t="s">
        <v>1031</v>
      </c>
      <c r="E627" s="62" t="s">
        <v>45</v>
      </c>
      <c r="F627" s="63" t="str">
        <f t="shared" si="193"/>
        <v>15Cr3</v>
      </c>
      <c r="G627" s="64">
        <v>0.6413189200811775</v>
      </c>
      <c r="H627" s="10">
        <f t="shared" si="194"/>
        <v>0.6413189201</v>
      </c>
      <c r="I627" s="65">
        <v>0.0376678146862</v>
      </c>
      <c r="J627" s="65">
        <v>0.12173785740184698</v>
      </c>
      <c r="K627" s="65">
        <v>0.08379680799313058</v>
      </c>
      <c r="L627" s="65">
        <v>0.39811644</v>
      </c>
      <c r="N627" s="66">
        <v>2.6541096000000004</v>
      </c>
      <c r="O627" s="10">
        <f t="shared" si="195"/>
        <v>2.6541096</v>
      </c>
      <c r="Q627" s="67">
        <v>24.049535</v>
      </c>
      <c r="S627" s="68">
        <v>0.086231083</v>
      </c>
      <c r="T627" s="68">
        <v>0.08203295</v>
      </c>
      <c r="U627" s="68">
        <v>0.0024118612</v>
      </c>
      <c r="V627" s="68">
        <v>0.0017862718</v>
      </c>
      <c r="X627" s="69">
        <v>1.3492729E-4</v>
      </c>
      <c r="Y627" s="70"/>
      <c r="Z627" s="72"/>
    </row>
    <row r="628" ht="12.75" customHeight="1">
      <c r="A628" s="1" t="s">
        <v>1034</v>
      </c>
      <c r="B628" s="2" t="s">
        <v>932</v>
      </c>
      <c r="C628" s="60" t="str">
        <f t="shared" si="192"/>
        <v>A.100.16.103</v>
      </c>
      <c r="D628" s="51" t="s">
        <v>1031</v>
      </c>
      <c r="E628" s="62" t="s">
        <v>45</v>
      </c>
      <c r="F628" s="63" t="str">
        <f t="shared" si="193"/>
        <v>18NiCr8</v>
      </c>
      <c r="G628" s="64">
        <v>1.216723058034733</v>
      </c>
      <c r="H628" s="10">
        <f t="shared" si="194"/>
        <v>1.216723058</v>
      </c>
      <c r="I628" s="65">
        <v>0.051628303249</v>
      </c>
      <c r="J628" s="65">
        <v>0.37801400784719996</v>
      </c>
      <c r="K628" s="65">
        <v>0.32435583693853315</v>
      </c>
      <c r="L628" s="65">
        <v>0.46272491</v>
      </c>
      <c r="N628" s="66">
        <v>3.084832733333333</v>
      </c>
      <c r="O628" s="10">
        <f t="shared" si="195"/>
        <v>3.084832733</v>
      </c>
      <c r="Q628" s="67">
        <v>27.991823</v>
      </c>
      <c r="S628" s="68">
        <v>0.17110819</v>
      </c>
      <c r="T628" s="68">
        <v>0.16476748</v>
      </c>
      <c r="U628" s="68">
        <v>0.0042294911</v>
      </c>
      <c r="V628" s="68">
        <v>0.0021112256</v>
      </c>
      <c r="X628" s="69">
        <v>2.3484995E-4</v>
      </c>
      <c r="Y628" s="70"/>
      <c r="Z628" s="72"/>
    </row>
    <row r="629" ht="12.75" customHeight="1">
      <c r="A629" s="1" t="s">
        <v>1035</v>
      </c>
      <c r="B629" s="2" t="s">
        <v>932</v>
      </c>
      <c r="C629" s="60" t="str">
        <f t="shared" si="192"/>
        <v>A.100.16.104</v>
      </c>
      <c r="D629" s="51" t="s">
        <v>1031</v>
      </c>
      <c r="E629" s="62" t="s">
        <v>45</v>
      </c>
      <c r="F629" s="63" t="str">
        <f t="shared" si="193"/>
        <v>25CrMo4</v>
      </c>
      <c r="G629" s="64">
        <v>0.8194169101411776</v>
      </c>
      <c r="H629" s="10">
        <f t="shared" si="194"/>
        <v>0.8194169101</v>
      </c>
      <c r="I629" s="65">
        <v>0.0406546422462</v>
      </c>
      <c r="J629" s="65">
        <v>0.15826905510184702</v>
      </c>
      <c r="K629" s="65">
        <v>0.20597971279313057</v>
      </c>
      <c r="L629" s="65">
        <v>0.4145135</v>
      </c>
      <c r="N629" s="66">
        <v>2.7634233333333333</v>
      </c>
      <c r="O629" s="10">
        <f t="shared" si="195"/>
        <v>2.763423333</v>
      </c>
      <c r="Q629" s="67">
        <v>24.146957</v>
      </c>
      <c r="S629" s="68">
        <v>0.10263203</v>
      </c>
      <c r="T629" s="68">
        <v>0.098040899</v>
      </c>
      <c r="U629" s="68">
        <v>0.0027065153</v>
      </c>
      <c r="V629" s="68">
        <v>0.0018846206</v>
      </c>
      <c r="X629" s="69">
        <v>2.0200824E-4</v>
      </c>
      <c r="Y629" s="70"/>
      <c r="Z629" s="72"/>
    </row>
    <row r="630" ht="12.75" customHeight="1">
      <c r="A630" s="1" t="s">
        <v>1036</v>
      </c>
      <c r="B630" s="2" t="s">
        <v>932</v>
      </c>
      <c r="C630" s="60" t="str">
        <f t="shared" si="192"/>
        <v>A.100.16.105</v>
      </c>
      <c r="D630" s="51" t="s">
        <v>1031</v>
      </c>
      <c r="E630" s="62" t="s">
        <v>45</v>
      </c>
      <c r="F630" s="63" t="str">
        <f t="shared" si="193"/>
        <v>30CrNiMo8</v>
      </c>
      <c r="G630" s="64">
        <v>1.463397346783733</v>
      </c>
      <c r="H630" s="10">
        <f t="shared" si="194"/>
        <v>1.463397347</v>
      </c>
      <c r="I630" s="65">
        <v>0.054026411198</v>
      </c>
      <c r="J630" s="65">
        <v>0.42596112504719996</v>
      </c>
      <c r="K630" s="65">
        <v>0.512879060538533</v>
      </c>
      <c r="L630" s="65">
        <v>0.47053075</v>
      </c>
      <c r="N630" s="66">
        <v>3.136871666666667</v>
      </c>
      <c r="O630" s="10">
        <f t="shared" si="195"/>
        <v>3.136871667</v>
      </c>
      <c r="Q630" s="67">
        <v>28.066272</v>
      </c>
      <c r="S630" s="68">
        <v>0.19296832</v>
      </c>
      <c r="T630" s="68">
        <v>0.18614298</v>
      </c>
      <c r="U630" s="68">
        <v>0.004546054</v>
      </c>
      <c r="V630" s="68">
        <v>0.0022792901</v>
      </c>
      <c r="X630" s="69">
        <v>3.3132439E-4</v>
      </c>
      <c r="Y630" s="70"/>
      <c r="Z630" s="72"/>
    </row>
    <row r="631" ht="12.75" customHeight="1">
      <c r="A631" s="1" t="s">
        <v>1037</v>
      </c>
      <c r="B631" s="2" t="s">
        <v>932</v>
      </c>
      <c r="C631" s="60" t="str">
        <f t="shared" si="192"/>
        <v>A.100.16.106</v>
      </c>
      <c r="D631" s="51" t="s">
        <v>1031</v>
      </c>
      <c r="E631" s="62" t="s">
        <v>45</v>
      </c>
      <c r="F631" s="63" t="str">
        <f t="shared" si="193"/>
        <v>34Cr4</v>
      </c>
      <c r="G631" s="64">
        <v>0.6721988334306923</v>
      </c>
      <c r="H631" s="10">
        <f t="shared" si="194"/>
        <v>0.6721988334</v>
      </c>
      <c r="I631" s="65">
        <v>0.038453949214000006</v>
      </c>
      <c r="J631" s="65">
        <v>0.12694328203959</v>
      </c>
      <c r="K631" s="65">
        <v>0.09475071217710224</v>
      </c>
      <c r="L631" s="65">
        <v>0.41205089</v>
      </c>
      <c r="N631" s="66">
        <v>2.7470059333333334</v>
      </c>
      <c r="O631" s="10">
        <f t="shared" si="195"/>
        <v>2.747005933</v>
      </c>
      <c r="Q631" s="67">
        <v>24.32952</v>
      </c>
      <c r="S631" s="68">
        <v>0.084308563</v>
      </c>
      <c r="T631" s="68">
        <v>0.079992419</v>
      </c>
      <c r="U631" s="68">
        <v>0.0025162486</v>
      </c>
      <c r="V631" s="68">
        <v>0.0017998961</v>
      </c>
      <c r="X631" s="69">
        <v>1.4137584E-4</v>
      </c>
      <c r="Y631" s="70"/>
      <c r="Z631" s="72"/>
    </row>
    <row r="632" ht="12.75" customHeight="1">
      <c r="A632" s="1" t="s">
        <v>1038</v>
      </c>
      <c r="B632" s="2" t="s">
        <v>932</v>
      </c>
      <c r="C632" s="60" t="str">
        <f t="shared" si="192"/>
        <v>A.100.16.107</v>
      </c>
      <c r="D632" s="51" t="s">
        <v>1031</v>
      </c>
      <c r="E632" s="62" t="s">
        <v>45</v>
      </c>
      <c r="F632" s="63" t="str">
        <f t="shared" si="193"/>
        <v>34CrAl6</v>
      </c>
      <c r="G632" s="64">
        <v>0.7060230401619634</v>
      </c>
      <c r="H632" s="10">
        <f t="shared" si="194"/>
        <v>0.7060230402</v>
      </c>
      <c r="I632" s="65">
        <v>0.041277653176</v>
      </c>
      <c r="J632" s="65">
        <v>0.13655554416911</v>
      </c>
      <c r="K632" s="65">
        <v>0.0984666028168533</v>
      </c>
      <c r="L632" s="65">
        <v>0.42972324</v>
      </c>
      <c r="N632" s="66">
        <v>2.8648216</v>
      </c>
      <c r="O632" s="10">
        <f t="shared" si="195"/>
        <v>2.8648216</v>
      </c>
      <c r="Q632" s="67">
        <v>24.658851</v>
      </c>
      <c r="S632" s="68">
        <v>0.093147523</v>
      </c>
      <c r="T632" s="68">
        <v>0.088714618</v>
      </c>
      <c r="U632" s="68">
        <v>0.0026626597</v>
      </c>
      <c r="V632" s="68">
        <v>0.0017702453</v>
      </c>
      <c r="X632" s="69">
        <v>1.5171511E-4</v>
      </c>
      <c r="Y632" s="70"/>
      <c r="Z632" s="72"/>
    </row>
    <row r="633" ht="12.75" customHeight="1">
      <c r="A633" s="1" t="s">
        <v>1039</v>
      </c>
      <c r="B633" s="2" t="s">
        <v>932</v>
      </c>
      <c r="C633" s="60" t="str">
        <f t="shared" si="192"/>
        <v>A.100.16.108</v>
      </c>
      <c r="D633" s="51" t="s">
        <v>1031</v>
      </c>
      <c r="E633" s="62" t="s">
        <v>45</v>
      </c>
      <c r="F633" s="63" t="str">
        <f t="shared" si="193"/>
        <v>35NiCr18</v>
      </c>
      <c r="G633" s="64">
        <v>1.7931665553680958</v>
      </c>
      <c r="H633" s="10">
        <f t="shared" si="194"/>
        <v>1.793166555</v>
      </c>
      <c r="I633" s="65">
        <v>0.060197353319</v>
      </c>
      <c r="J633" s="65">
        <v>0.6591788275288101</v>
      </c>
      <c r="K633" s="65">
        <v>0.5990553845202858</v>
      </c>
      <c r="L633" s="65">
        <v>0.47473499</v>
      </c>
      <c r="N633" s="66">
        <v>3.1648999333333334</v>
      </c>
      <c r="O633" s="10">
        <f t="shared" si="195"/>
        <v>3.164899933</v>
      </c>
      <c r="Q633" s="67">
        <v>32.61593</v>
      </c>
      <c r="S633" s="68">
        <v>0.26085993</v>
      </c>
      <c r="T633" s="68">
        <v>0.25237883</v>
      </c>
      <c r="U633" s="68">
        <v>0.00592374</v>
      </c>
      <c r="V633" s="68">
        <v>0.0025573575</v>
      </c>
      <c r="X633" s="69">
        <v>3.1925876E-4</v>
      </c>
      <c r="Y633" s="70"/>
      <c r="Z633" s="72"/>
    </row>
    <row r="634" ht="12.75" customHeight="1">
      <c r="A634" s="1" t="s">
        <v>1040</v>
      </c>
      <c r="B634" s="2" t="s">
        <v>932</v>
      </c>
      <c r="C634" s="60" t="str">
        <f t="shared" si="192"/>
        <v>A.100.16.109</v>
      </c>
      <c r="D634" s="51" t="s">
        <v>1031</v>
      </c>
      <c r="E634" s="62" t="s">
        <v>45</v>
      </c>
      <c r="F634" s="63" t="str">
        <f t="shared" si="193"/>
        <v>36NiCr6</v>
      </c>
      <c r="G634" s="64">
        <v>1.0033354596230124</v>
      </c>
      <c r="H634" s="10">
        <f t="shared" si="194"/>
        <v>1.00333546</v>
      </c>
      <c r="I634" s="65">
        <v>0.04381365181</v>
      </c>
      <c r="J634" s="65">
        <v>0.29486762331083</v>
      </c>
      <c r="K634" s="65">
        <v>0.2515567645021825</v>
      </c>
      <c r="L634" s="65">
        <v>0.41309742</v>
      </c>
      <c r="N634" s="66">
        <v>2.7539828</v>
      </c>
      <c r="O634" s="10">
        <f t="shared" si="195"/>
        <v>2.7539828</v>
      </c>
      <c r="Q634" s="67">
        <v>26.858351</v>
      </c>
      <c r="S634" s="68">
        <v>0.14193052</v>
      </c>
      <c r="T634" s="68">
        <v>0.13638734</v>
      </c>
      <c r="U634" s="68">
        <v>0.0034937521</v>
      </c>
      <c r="V634" s="68">
        <v>0.0020494342</v>
      </c>
      <c r="X634" s="69">
        <v>1.9015206E-4</v>
      </c>
      <c r="Y634" s="70"/>
      <c r="Z634" s="72"/>
    </row>
    <row r="635" ht="12.75" customHeight="1">
      <c r="A635" s="1" t="s">
        <v>1041</v>
      </c>
      <c r="B635" s="2" t="s">
        <v>932</v>
      </c>
      <c r="C635" s="60" t="str">
        <f t="shared" si="192"/>
        <v>A.100.16.110</v>
      </c>
      <c r="D635" s="51" t="s">
        <v>1031</v>
      </c>
      <c r="E635" s="62" t="s">
        <v>45</v>
      </c>
      <c r="F635" s="63" t="str">
        <f t="shared" si="193"/>
        <v>37MnSi5</v>
      </c>
      <c r="G635" s="64">
        <v>0.6373268980432643</v>
      </c>
      <c r="H635" s="10">
        <f t="shared" si="194"/>
        <v>0.637326898</v>
      </c>
      <c r="I635" s="65">
        <v>0.040582861978000005</v>
      </c>
      <c r="J635" s="65">
        <v>0.11789473207945</v>
      </c>
      <c r="K635" s="65">
        <v>0.09192643398581424</v>
      </c>
      <c r="L635" s="65">
        <v>0.38692287</v>
      </c>
      <c r="N635" s="66">
        <v>2.5794858</v>
      </c>
      <c r="O635" s="10">
        <f t="shared" si="195"/>
        <v>2.5794858</v>
      </c>
      <c r="Q635" s="67">
        <v>24.179355</v>
      </c>
      <c r="S635" s="68">
        <v>0.12160186</v>
      </c>
      <c r="T635" s="68">
        <v>0.11747029</v>
      </c>
      <c r="U635" s="68">
        <v>0.0023173457</v>
      </c>
      <c r="V635" s="68">
        <v>0.0018142292</v>
      </c>
      <c r="X635" s="69">
        <v>1.3363947E-4</v>
      </c>
      <c r="Y635" s="70"/>
      <c r="Z635" s="48"/>
    </row>
    <row r="636" ht="12.75" customHeight="1">
      <c r="A636" s="1" t="s">
        <v>1042</v>
      </c>
      <c r="B636" s="2" t="s">
        <v>932</v>
      </c>
      <c r="C636" s="60" t="str">
        <f t="shared" si="192"/>
        <v>A.100.16.111</v>
      </c>
      <c r="D636" s="51" t="s">
        <v>1031</v>
      </c>
      <c r="E636" s="62" t="s">
        <v>45</v>
      </c>
      <c r="F636" s="63" t="str">
        <f t="shared" si="193"/>
        <v>42CrMo4</v>
      </c>
      <c r="G636" s="64">
        <v>0.8215649845411775</v>
      </c>
      <c r="H636" s="10">
        <f t="shared" si="194"/>
        <v>0.8215649845</v>
      </c>
      <c r="I636" s="65">
        <v>0.0413113057462</v>
      </c>
      <c r="J636" s="65">
        <v>0.15915458910184702</v>
      </c>
      <c r="K636" s="65">
        <v>0.20640283969313059</v>
      </c>
      <c r="L636" s="65">
        <v>0.41469625</v>
      </c>
      <c r="N636" s="66">
        <v>2.764641666666667</v>
      </c>
      <c r="O636" s="10">
        <f t="shared" si="195"/>
        <v>2.764641667</v>
      </c>
      <c r="Q636" s="67">
        <v>24.118159</v>
      </c>
      <c r="S636" s="68">
        <v>0.10752735</v>
      </c>
      <c r="T636" s="68">
        <v>0.10293467</v>
      </c>
      <c r="U636" s="68">
        <v>0.0027106334</v>
      </c>
      <c r="V636" s="68">
        <v>0.0018820476</v>
      </c>
      <c r="X636" s="69">
        <v>2.0301669E-4</v>
      </c>
      <c r="Y636" s="70"/>
      <c r="Z636" s="72"/>
    </row>
    <row r="637" ht="12.75" customHeight="1">
      <c r="A637" s="1" t="s">
        <v>1043</v>
      </c>
      <c r="B637" s="2" t="s">
        <v>932</v>
      </c>
      <c r="C637" s="60" t="str">
        <f t="shared" si="192"/>
        <v>A.100.16.112</v>
      </c>
      <c r="D637" s="51" t="s">
        <v>1031</v>
      </c>
      <c r="E637" s="62" t="s">
        <v>45</v>
      </c>
      <c r="F637" s="63" t="str">
        <f t="shared" si="193"/>
        <v>50 CrV4</v>
      </c>
      <c r="G637" s="64">
        <v>0.8528231241314905</v>
      </c>
      <c r="H637" s="10">
        <f t="shared" si="194"/>
        <v>0.8528231241</v>
      </c>
      <c r="I637" s="65">
        <v>0.044858146200000004</v>
      </c>
      <c r="J637" s="65">
        <v>0.16268079883836</v>
      </c>
      <c r="K637" s="65">
        <v>0.22982041909313058</v>
      </c>
      <c r="L637" s="65">
        <v>0.41546376</v>
      </c>
      <c r="N637" s="66">
        <v>2.7697584</v>
      </c>
      <c r="O637" s="10">
        <f t="shared" si="195"/>
        <v>2.7697584</v>
      </c>
      <c r="Q637" s="67">
        <v>24.405818</v>
      </c>
      <c r="S637" s="68">
        <v>0.10890016</v>
      </c>
      <c r="T637" s="68">
        <v>0.10426627</v>
      </c>
      <c r="U637" s="68">
        <v>0.0027354113</v>
      </c>
      <c r="V637" s="68">
        <v>0.0018984812</v>
      </c>
      <c r="X637" s="69">
        <v>2.0671779E-4</v>
      </c>
      <c r="Y637" s="70"/>
      <c r="Z637" s="72"/>
    </row>
    <row r="638" ht="12.75" customHeight="1">
      <c r="A638" s="1" t="s">
        <v>1044</v>
      </c>
      <c r="B638" s="2" t="s">
        <v>932</v>
      </c>
      <c r="C638" s="60" t="str">
        <f t="shared" si="192"/>
        <v>A.100.16.113</v>
      </c>
      <c r="D638" s="51" t="s">
        <v>1031</v>
      </c>
      <c r="E638" s="62" t="s">
        <v>45</v>
      </c>
      <c r="F638" s="63" t="str">
        <f t="shared" si="193"/>
        <v>C15</v>
      </c>
      <c r="G638" s="64">
        <v>0.6024382576081776</v>
      </c>
      <c r="H638" s="10">
        <f t="shared" si="194"/>
        <v>0.6024382576</v>
      </c>
      <c r="I638" s="65">
        <v>0.0352497988132</v>
      </c>
      <c r="J638" s="65">
        <v>0.11107095070184698</v>
      </c>
      <c r="K638" s="65">
        <v>0.07671847809313058</v>
      </c>
      <c r="L638" s="65">
        <v>0.37939903</v>
      </c>
      <c r="N638" s="66">
        <v>2.529326866666667</v>
      </c>
      <c r="O638" s="10">
        <f t="shared" si="195"/>
        <v>2.529326867</v>
      </c>
      <c r="Q638" s="67">
        <v>23.966839</v>
      </c>
      <c r="S638" s="68">
        <v>0.081781229</v>
      </c>
      <c r="T638" s="68">
        <v>0.077729526</v>
      </c>
      <c r="U638" s="68">
        <v>0.0022545576</v>
      </c>
      <c r="V638" s="68">
        <v>0.0017971454</v>
      </c>
      <c r="X638" s="69">
        <v>1.2390261E-4</v>
      </c>
      <c r="Y638" s="70"/>
      <c r="Z638" s="72"/>
    </row>
    <row r="639" ht="12.75" customHeight="1">
      <c r="A639" s="1" t="s">
        <v>1045</v>
      </c>
      <c r="B639" s="2" t="s">
        <v>932</v>
      </c>
      <c r="C639" s="60" t="str">
        <f t="shared" si="192"/>
        <v>A.100.16.114</v>
      </c>
      <c r="D639" s="51" t="s">
        <v>1031</v>
      </c>
      <c r="E639" s="62" t="s">
        <v>45</v>
      </c>
      <c r="F639" s="63" t="str">
        <f t="shared" si="193"/>
        <v>C35</v>
      </c>
      <c r="G639" s="64">
        <v>0.7869637938501082</v>
      </c>
      <c r="H639" s="10">
        <f t="shared" si="194"/>
        <v>0.7869637939</v>
      </c>
      <c r="I639" s="65">
        <v>0.039125026497000004</v>
      </c>
      <c r="J639" s="65">
        <v>0.176446347490897</v>
      </c>
      <c r="K639" s="65">
        <v>0.17337675986221113</v>
      </c>
      <c r="L639" s="65">
        <v>0.39801566</v>
      </c>
      <c r="N639" s="66">
        <v>2.6534377333333334</v>
      </c>
      <c r="O639" s="10">
        <f t="shared" si="195"/>
        <v>2.653437733</v>
      </c>
      <c r="Q639" s="67">
        <v>24.790448</v>
      </c>
      <c r="S639" s="68">
        <v>0.10511165</v>
      </c>
      <c r="T639" s="68">
        <v>0.10048099</v>
      </c>
      <c r="U639" s="68">
        <v>0.002728685</v>
      </c>
      <c r="V639" s="68">
        <v>0.0019019775</v>
      </c>
      <c r="X639" s="69">
        <v>1.7021069E-4</v>
      </c>
      <c r="Y639" s="70"/>
      <c r="Z639" s="72"/>
    </row>
    <row r="640" ht="12.75" customHeight="1">
      <c r="A640" s="1" t="s">
        <v>1046</v>
      </c>
      <c r="B640" s="2" t="s">
        <v>932</v>
      </c>
      <c r="C640" s="60" t="str">
        <f t="shared" si="192"/>
        <v>A.100.16.115</v>
      </c>
      <c r="D640" s="51" t="s">
        <v>1031</v>
      </c>
      <c r="E640" s="62" t="s">
        <v>45</v>
      </c>
      <c r="F640" s="63" t="str">
        <f t="shared" si="193"/>
        <v>C45</v>
      </c>
      <c r="G640" s="64">
        <v>0.7894049534301082</v>
      </c>
      <c r="H640" s="10">
        <f t="shared" si="194"/>
        <v>0.7894049534</v>
      </c>
      <c r="I640" s="65">
        <v>0.039797639876999996</v>
      </c>
      <c r="J640" s="65">
        <v>0.177385146790897</v>
      </c>
      <c r="K640" s="65">
        <v>0.17383557676221115</v>
      </c>
      <c r="L640" s="65">
        <v>0.39838659</v>
      </c>
      <c r="N640" s="66">
        <v>2.6559106</v>
      </c>
      <c r="O640" s="10">
        <f t="shared" si="195"/>
        <v>2.6559106</v>
      </c>
      <c r="Q640" s="67">
        <v>24.77363</v>
      </c>
      <c r="S640" s="68">
        <v>0.1100355</v>
      </c>
      <c r="T640" s="68">
        <v>0.10540128</v>
      </c>
      <c r="U640" s="68">
        <v>0.0027339146</v>
      </c>
      <c r="V640" s="68">
        <v>0.0019003033</v>
      </c>
      <c r="X640" s="69">
        <v>1.7127826E-4</v>
      </c>
      <c r="Y640" s="70"/>
      <c r="Z640" s="48"/>
    </row>
    <row r="641" ht="12.75" customHeight="1">
      <c r="A641" s="1" t="s">
        <v>1047</v>
      </c>
      <c r="B641" s="2" t="s">
        <v>932</v>
      </c>
      <c r="C641" s="60" t="str">
        <f t="shared" si="192"/>
        <v>A.100.16.116</v>
      </c>
      <c r="D641" s="51" t="s">
        <v>1031</v>
      </c>
      <c r="E641" s="62" t="s">
        <v>45</v>
      </c>
      <c r="F641" s="63" t="str">
        <f t="shared" si="193"/>
        <v>C55</v>
      </c>
      <c r="G641" s="64">
        <v>0.6048794242181776</v>
      </c>
      <c r="H641" s="10">
        <f t="shared" si="194"/>
        <v>0.6048794242</v>
      </c>
      <c r="I641" s="65">
        <v>0.0359224121932</v>
      </c>
      <c r="J641" s="65">
        <v>0.112009760001847</v>
      </c>
      <c r="K641" s="65">
        <v>0.07717730202313057</v>
      </c>
      <c r="L641" s="65">
        <v>0.37976995</v>
      </c>
      <c r="N641" s="66">
        <v>2.531799666666667</v>
      </c>
      <c r="O641" s="10">
        <f t="shared" si="195"/>
        <v>2.531799667</v>
      </c>
      <c r="Q641" s="67">
        <v>23.950021</v>
      </c>
      <c r="S641" s="68">
        <v>0.08670507</v>
      </c>
      <c r="T641" s="68">
        <v>0.082649812</v>
      </c>
      <c r="U641" s="68">
        <v>0.0022597872</v>
      </c>
      <c r="V641" s="68">
        <v>0.0017954712</v>
      </c>
      <c r="X641" s="69">
        <v>1.2497018E-4</v>
      </c>
      <c r="Y641" s="70"/>
      <c r="Z641" s="72"/>
    </row>
    <row r="642" ht="12.75" customHeight="1">
      <c r="A642" s="1" t="s">
        <v>1048</v>
      </c>
      <c r="B642" s="2" t="s">
        <v>932</v>
      </c>
      <c r="C642" s="60" t="str">
        <f t="shared" si="192"/>
        <v>A.100.16.117</v>
      </c>
      <c r="D642" s="51" t="s">
        <v>1031</v>
      </c>
      <c r="E642" s="62" t="s">
        <v>45</v>
      </c>
      <c r="F642" s="63" t="str">
        <f t="shared" si="193"/>
        <v>C60</v>
      </c>
      <c r="G642" s="64">
        <v>0.6048794242181776</v>
      </c>
      <c r="H642" s="10">
        <f t="shared" si="194"/>
        <v>0.6048794242</v>
      </c>
      <c r="I642" s="65">
        <v>0.0359224121932</v>
      </c>
      <c r="J642" s="65">
        <v>0.112009760001847</v>
      </c>
      <c r="K642" s="65">
        <v>0.07717730202313057</v>
      </c>
      <c r="L642" s="65">
        <v>0.37976995</v>
      </c>
      <c r="N642" s="66">
        <v>2.531799666666667</v>
      </c>
      <c r="O642" s="10">
        <f t="shared" si="195"/>
        <v>2.531799667</v>
      </c>
      <c r="Q642" s="67">
        <v>23.950021</v>
      </c>
      <c r="S642" s="68">
        <v>0.08670507</v>
      </c>
      <c r="T642" s="68">
        <v>0.082649812</v>
      </c>
      <c r="U642" s="68">
        <v>0.0022597872</v>
      </c>
      <c r="V642" s="68">
        <v>0.0017954712</v>
      </c>
      <c r="X642" s="69">
        <v>1.2497018E-4</v>
      </c>
      <c r="Y642" s="70"/>
      <c r="Z642" s="72"/>
    </row>
    <row r="643" ht="12.75" customHeight="1">
      <c r="B643" s="2"/>
      <c r="C643" s="60"/>
      <c r="D643" s="75" t="s">
        <v>1049</v>
      </c>
      <c r="E643" s="62"/>
      <c r="G643" s="10"/>
      <c r="H643" s="10"/>
      <c r="I643" s="10"/>
      <c r="J643" s="10"/>
      <c r="K643" s="10"/>
      <c r="L643" s="10"/>
      <c r="N643" s="10"/>
      <c r="O643" s="10"/>
      <c r="Q643" s="67"/>
      <c r="Y643" s="71"/>
      <c r="Z643" s="72"/>
    </row>
    <row r="644" ht="12.75" customHeight="1">
      <c r="A644" s="1" t="s">
        <v>1050</v>
      </c>
      <c r="B644" s="2" t="s">
        <v>932</v>
      </c>
      <c r="C644" s="60" t="str">
        <f t="shared" ref="C644:C647" si="196">MID(A644,1,12)</f>
        <v>A.100.18.101</v>
      </c>
      <c r="D644" s="51" t="s">
        <v>1049</v>
      </c>
      <c r="E644" s="62" t="s">
        <v>45</v>
      </c>
      <c r="F644" s="63" t="str">
        <f t="shared" ref="F644:F647" si="197">MID(A644, 21,85)</f>
        <v>13CrMo4 5 (1.7335)</v>
      </c>
      <c r="G644" s="64">
        <v>0.9613268267641091</v>
      </c>
      <c r="H644" s="10">
        <f t="shared" ref="H644:H647" si="198">G644</f>
        <v>0.9613268268</v>
      </c>
      <c r="I644" s="65">
        <v>0.041410383365</v>
      </c>
      <c r="J644" s="65">
        <v>0.18496721764991397</v>
      </c>
      <c r="K644" s="65">
        <v>0.3214047557491951</v>
      </c>
      <c r="L644" s="65">
        <v>0.41354447</v>
      </c>
      <c r="N644" s="66">
        <v>2.7569631333333335</v>
      </c>
      <c r="O644" s="10">
        <f t="shared" ref="O644:O647" si="199">N644</f>
        <v>2.756963133</v>
      </c>
      <c r="Q644" s="67">
        <v>24.161304</v>
      </c>
      <c r="S644" s="68">
        <v>0.11491708</v>
      </c>
      <c r="T644" s="68">
        <v>0.11006911</v>
      </c>
      <c r="U644" s="68">
        <v>0.0028555591</v>
      </c>
      <c r="V644" s="68">
        <v>0.0019924148</v>
      </c>
      <c r="X644" s="69">
        <v>2.5888932E-4</v>
      </c>
      <c r="Y644" s="70"/>
      <c r="Z644" s="72"/>
    </row>
    <row r="645" ht="12.75" customHeight="1">
      <c r="A645" s="1" t="s">
        <v>1051</v>
      </c>
      <c r="B645" s="2" t="s">
        <v>932</v>
      </c>
      <c r="C645" s="60" t="str">
        <f t="shared" si="196"/>
        <v>A.100.18.102</v>
      </c>
      <c r="D645" s="51" t="s">
        <v>1049</v>
      </c>
      <c r="E645" s="62" t="s">
        <v>45</v>
      </c>
      <c r="F645" s="63" t="str">
        <f t="shared" si="197"/>
        <v>21MoV53</v>
      </c>
      <c r="G645" s="64">
        <v>1.056355461676895</v>
      </c>
      <c r="H645" s="10">
        <f t="shared" si="198"/>
        <v>1.056355462</v>
      </c>
      <c r="I645" s="65">
        <v>0.0544870296</v>
      </c>
      <c r="J645" s="65">
        <v>0.19410459672769997</v>
      </c>
      <c r="K645" s="65">
        <v>0.40074836534919506</v>
      </c>
      <c r="L645" s="65">
        <v>0.40701547</v>
      </c>
      <c r="N645" s="66">
        <v>2.713436466666667</v>
      </c>
      <c r="O645" s="10">
        <f t="shared" si="199"/>
        <v>2.713436467</v>
      </c>
      <c r="Q645" s="67">
        <v>25.099895</v>
      </c>
      <c r="S645" s="68">
        <v>0.13199754</v>
      </c>
      <c r="T645" s="68">
        <v>0.12707411</v>
      </c>
      <c r="U645" s="68">
        <v>0.002869997</v>
      </c>
      <c r="V645" s="68">
        <v>0.00205343</v>
      </c>
      <c r="X645" s="69">
        <v>2.6883334E-4</v>
      </c>
      <c r="Y645" s="70"/>
      <c r="Z645" s="72"/>
    </row>
    <row r="646" ht="12.75" customHeight="1">
      <c r="A646" s="1" t="s">
        <v>1052</v>
      </c>
      <c r="B646" s="2" t="s">
        <v>932</v>
      </c>
      <c r="C646" s="60" t="str">
        <f t="shared" si="196"/>
        <v>A.100.18.103</v>
      </c>
      <c r="D646" s="51" t="s">
        <v>1049</v>
      </c>
      <c r="E646" s="62" t="s">
        <v>45</v>
      </c>
      <c r="F646" s="63" t="str">
        <f t="shared" si="197"/>
        <v>22Mo4</v>
      </c>
      <c r="G646" s="64">
        <v>0.8236079486969301</v>
      </c>
      <c r="H646" s="10">
        <f t="shared" si="198"/>
        <v>0.8236079487</v>
      </c>
      <c r="I646" s="65">
        <v>0.038691975418000006</v>
      </c>
      <c r="J646" s="65">
        <v>0.15488229877989598</v>
      </c>
      <c r="K646" s="65">
        <v>0.24292998449903405</v>
      </c>
      <c r="L646" s="65">
        <v>0.38710369</v>
      </c>
      <c r="N646" s="66">
        <v>2.580691266666667</v>
      </c>
      <c r="O646" s="10">
        <f t="shared" si="199"/>
        <v>2.580691267</v>
      </c>
      <c r="Q646" s="67">
        <v>24.008455</v>
      </c>
      <c r="S646" s="68">
        <v>0.11076905</v>
      </c>
      <c r="T646" s="68">
        <v>0.10628469</v>
      </c>
      <c r="U646" s="68">
        <v>0.0025426195</v>
      </c>
      <c r="V646" s="68">
        <v>0.001941741</v>
      </c>
      <c r="X646" s="69">
        <v>2.1048773E-4</v>
      </c>
      <c r="Y646" s="70"/>
      <c r="Z646" s="72"/>
    </row>
    <row r="647" ht="12.75" customHeight="1">
      <c r="A647" s="1" t="s">
        <v>1053</v>
      </c>
      <c r="B647" s="2" t="s">
        <v>932</v>
      </c>
      <c r="C647" s="60" t="str">
        <f t="shared" si="196"/>
        <v>A.100.18.104</v>
      </c>
      <c r="D647" s="51" t="s">
        <v>1049</v>
      </c>
      <c r="E647" s="62" t="s">
        <v>45</v>
      </c>
      <c r="F647" s="63" t="str">
        <f t="shared" si="197"/>
        <v>28NiCrMo4</v>
      </c>
      <c r="G647" s="64">
        <v>1.0382951538842615</v>
      </c>
      <c r="H647" s="10">
        <f t="shared" si="198"/>
        <v>1.038295154</v>
      </c>
      <c r="I647" s="65">
        <v>0.041216542498</v>
      </c>
      <c r="J647" s="65">
        <v>0.27473245914346</v>
      </c>
      <c r="K647" s="65">
        <v>0.3237309222428015</v>
      </c>
      <c r="L647" s="65">
        <v>0.39861523</v>
      </c>
      <c r="N647" s="66">
        <v>2.6574348666666667</v>
      </c>
      <c r="O647" s="10">
        <f t="shared" si="199"/>
        <v>2.657434867</v>
      </c>
      <c r="Q647" s="67">
        <v>26.191504</v>
      </c>
      <c r="S647" s="68">
        <v>0.13400181</v>
      </c>
      <c r="T647" s="68">
        <v>0.12859465</v>
      </c>
      <c r="U647" s="68">
        <v>0.0033040532</v>
      </c>
      <c r="V647" s="68">
        <v>0.0021031021</v>
      </c>
      <c r="X647" s="69">
        <v>2.2739784E-4</v>
      </c>
      <c r="Y647" s="70"/>
      <c r="Z647" s="48"/>
    </row>
    <row r="648" ht="12.75" customHeight="1">
      <c r="B648" s="2"/>
      <c r="C648" s="60"/>
      <c r="D648" s="75" t="s">
        <v>1054</v>
      </c>
      <c r="E648" s="62"/>
      <c r="G648" s="10"/>
      <c r="H648" s="10"/>
      <c r="I648" s="10"/>
      <c r="J648" s="10"/>
      <c r="K648" s="10"/>
      <c r="L648" s="10"/>
      <c r="N648" s="10"/>
      <c r="O648" s="10"/>
      <c r="Q648" s="67"/>
      <c r="Y648" s="71"/>
      <c r="Z648" s="72"/>
    </row>
    <row r="649" ht="12.75" customHeight="1">
      <c r="A649" s="1" t="s">
        <v>1055</v>
      </c>
      <c r="B649" s="2" t="s">
        <v>932</v>
      </c>
      <c r="C649" s="60" t="str">
        <f t="shared" ref="C649:C654" si="200">MID(A649,1,12)</f>
        <v>A.100.20.101</v>
      </c>
      <c r="D649" s="51" t="s">
        <v>1054</v>
      </c>
      <c r="E649" s="62" t="s">
        <v>45</v>
      </c>
      <c r="F649" s="63" t="str">
        <f t="shared" ref="F649:F654" si="201">MID(A649, 21,85)</f>
        <v>15NiMn6 (1.6228)</v>
      </c>
      <c r="G649" s="64">
        <v>0.9654041728008018</v>
      </c>
      <c r="H649" s="10">
        <f t="shared" ref="H649:H654" si="202">G649</f>
        <v>0.9654041728</v>
      </c>
      <c r="I649" s="65">
        <v>0.041713792650999997</v>
      </c>
      <c r="J649" s="65">
        <v>0.28141875398518995</v>
      </c>
      <c r="K649" s="65">
        <v>0.2407260061646118</v>
      </c>
      <c r="L649" s="65">
        <v>0.40154562</v>
      </c>
      <c r="N649" s="66">
        <v>2.6769708</v>
      </c>
      <c r="O649" s="10">
        <f t="shared" ref="O649:O654" si="203">N649</f>
        <v>2.6769708</v>
      </c>
      <c r="Q649" s="67">
        <v>26.941744</v>
      </c>
      <c r="S649" s="68">
        <v>0.13471691</v>
      </c>
      <c r="T649" s="68">
        <v>0.12929489</v>
      </c>
      <c r="U649" s="68">
        <v>0.0033546838</v>
      </c>
      <c r="V649" s="68">
        <v>0.0020673306</v>
      </c>
      <c r="X649" s="69">
        <v>1.803714E-4</v>
      </c>
      <c r="Y649" s="70"/>
      <c r="Z649" s="72"/>
    </row>
    <row r="650" ht="12.75" customHeight="1">
      <c r="A650" s="1" t="s">
        <v>1056</v>
      </c>
      <c r="B650" s="2" t="s">
        <v>932</v>
      </c>
      <c r="C650" s="60" t="str">
        <f t="shared" si="200"/>
        <v>A.100.20.102</v>
      </c>
      <c r="D650" s="51" t="s">
        <v>1054</v>
      </c>
      <c r="E650" s="62" t="s">
        <v>45</v>
      </c>
      <c r="F650" s="63" t="str">
        <f t="shared" si="201"/>
        <v>A514(A)</v>
      </c>
      <c r="G650" s="64">
        <v>0.7975031116</v>
      </c>
      <c r="H650" s="10">
        <f t="shared" si="202"/>
        <v>0.7975031116</v>
      </c>
      <c r="I650" s="65">
        <v>0.042482287199999996</v>
      </c>
      <c r="J650" s="65">
        <v>0.155380183</v>
      </c>
      <c r="K650" s="65">
        <v>0.19618050139999998</v>
      </c>
      <c r="L650" s="65">
        <v>0.40346014</v>
      </c>
      <c r="N650" s="66">
        <v>2.689734266666667</v>
      </c>
      <c r="O650" s="10">
        <f t="shared" si="203"/>
        <v>2.689734267</v>
      </c>
      <c r="Q650" s="67">
        <v>23.919142</v>
      </c>
      <c r="S650" s="68">
        <v>0.12385367</v>
      </c>
      <c r="T650" s="68">
        <v>0.11936047</v>
      </c>
      <c r="U650" s="68">
        <v>0.002622455</v>
      </c>
      <c r="V650" s="68">
        <v>0.0018707502</v>
      </c>
      <c r="X650" s="69">
        <v>1.9783624E-4</v>
      </c>
      <c r="Y650" s="70"/>
      <c r="Z650" s="72"/>
    </row>
    <row r="651" ht="12.75" customHeight="1">
      <c r="A651" s="1" t="s">
        <v>1057</v>
      </c>
      <c r="B651" s="2" t="s">
        <v>932</v>
      </c>
      <c r="C651" s="60" t="str">
        <f t="shared" si="200"/>
        <v>A.100.20.103</v>
      </c>
      <c r="D651" s="51" t="s">
        <v>1054</v>
      </c>
      <c r="E651" s="62" t="s">
        <v>45</v>
      </c>
      <c r="F651" s="63" t="str">
        <f t="shared" si="201"/>
        <v>ASt35 (1.0346)</v>
      </c>
      <c r="G651" s="64">
        <v>0.601190034797753</v>
      </c>
      <c r="H651" s="10">
        <f t="shared" si="202"/>
        <v>0.6011900348</v>
      </c>
      <c r="I651" s="65">
        <v>0.034573469609</v>
      </c>
      <c r="J651" s="65">
        <v>0.11007880560988001</v>
      </c>
      <c r="K651" s="65">
        <v>0.07715575957887298</v>
      </c>
      <c r="L651" s="65">
        <v>0.379382</v>
      </c>
      <c r="N651" s="66">
        <v>2.5292133333333333</v>
      </c>
      <c r="O651" s="10">
        <f t="shared" si="203"/>
        <v>2.529213333</v>
      </c>
      <c r="Q651" s="67">
        <v>24.010612</v>
      </c>
      <c r="S651" s="68">
        <v>0.076890778</v>
      </c>
      <c r="T651" s="68">
        <v>0.072838636</v>
      </c>
      <c r="U651" s="68">
        <v>0.0022509552</v>
      </c>
      <c r="V651" s="68">
        <v>0.0018011867</v>
      </c>
      <c r="X651" s="69">
        <v>1.2292795E-4</v>
      </c>
      <c r="Y651" s="70"/>
      <c r="Z651" s="72"/>
    </row>
    <row r="652" ht="12.75" customHeight="1">
      <c r="A652" s="1" t="s">
        <v>1058</v>
      </c>
      <c r="B652" s="2" t="s">
        <v>932</v>
      </c>
      <c r="C652" s="60" t="str">
        <f t="shared" si="200"/>
        <v>A.100.20.104</v>
      </c>
      <c r="D652" s="51" t="s">
        <v>1054</v>
      </c>
      <c r="E652" s="62" t="s">
        <v>45</v>
      </c>
      <c r="F652" s="63" t="str">
        <f t="shared" si="201"/>
        <v>X12CrNi 18 9</v>
      </c>
      <c r="G652" s="64">
        <v>3.9525708440498715</v>
      </c>
      <c r="H652" s="10">
        <f t="shared" si="202"/>
        <v>3.952570844</v>
      </c>
      <c r="I652" s="65">
        <v>0.152488581945</v>
      </c>
      <c r="J652" s="65">
        <v>1.47360577485378</v>
      </c>
      <c r="K652" s="65">
        <v>1.3041535872510914</v>
      </c>
      <c r="L652" s="65">
        <v>1.0223229</v>
      </c>
      <c r="N652" s="66">
        <v>6.815486000000001</v>
      </c>
      <c r="O652" s="10">
        <f t="shared" si="203"/>
        <v>6.815486</v>
      </c>
      <c r="Q652" s="67">
        <v>43.21801</v>
      </c>
      <c r="S652" s="68">
        <v>0.61952824</v>
      </c>
      <c r="T652" s="68">
        <v>0.6030587</v>
      </c>
      <c r="U652" s="68">
        <v>0.013413103</v>
      </c>
      <c r="V652" s="68">
        <v>0.0030564366</v>
      </c>
      <c r="X652" s="69">
        <v>7.9267657E-4</v>
      </c>
      <c r="Y652" s="70"/>
      <c r="Z652" s="48"/>
    </row>
    <row r="653" ht="12.75" customHeight="1">
      <c r="A653" s="1" t="s">
        <v>1059</v>
      </c>
      <c r="B653" s="2" t="s">
        <v>932</v>
      </c>
      <c r="C653" s="60" t="str">
        <f t="shared" si="200"/>
        <v>A.100.20.105</v>
      </c>
      <c r="D653" s="51" t="s">
        <v>1054</v>
      </c>
      <c r="E653" s="62" t="s">
        <v>45</v>
      </c>
      <c r="F653" s="63" t="str">
        <f t="shared" si="201"/>
        <v>X12Ni5 (1.5680)</v>
      </c>
      <c r="G653" s="64">
        <v>0.95120414150766</v>
      </c>
      <c r="H653" s="10">
        <f t="shared" si="202"/>
        <v>0.9512041415</v>
      </c>
      <c r="I653" s="65">
        <v>0.040581501561999994</v>
      </c>
      <c r="J653" s="65">
        <v>0.28172170692414</v>
      </c>
      <c r="K653" s="65">
        <v>0.24230862302151993</v>
      </c>
      <c r="L653" s="65">
        <v>0.38659231</v>
      </c>
      <c r="N653" s="66">
        <v>2.5772820666666667</v>
      </c>
      <c r="O653" s="10">
        <f t="shared" si="203"/>
        <v>2.577282067</v>
      </c>
      <c r="Q653" s="67">
        <v>26.032401</v>
      </c>
      <c r="S653" s="68">
        <v>0.13388488</v>
      </c>
      <c r="T653" s="68">
        <v>0.12859134</v>
      </c>
      <c r="U653" s="68">
        <v>0.0032931403</v>
      </c>
      <c r="V653" s="68">
        <v>0.002000403</v>
      </c>
      <c r="X653" s="69">
        <v>1.7705178E-4</v>
      </c>
      <c r="Y653" s="70"/>
      <c r="Z653" s="72"/>
    </row>
    <row r="654" ht="12.75" customHeight="1">
      <c r="A654" s="1" t="s">
        <v>1060</v>
      </c>
      <c r="B654" s="2" t="s">
        <v>932</v>
      </c>
      <c r="C654" s="60" t="str">
        <f t="shared" si="200"/>
        <v>A.100.20.106</v>
      </c>
      <c r="D654" s="51" t="s">
        <v>1054</v>
      </c>
      <c r="E654" s="62" t="s">
        <v>45</v>
      </c>
      <c r="F654" s="63" t="str">
        <f t="shared" si="201"/>
        <v>X8Ni9</v>
      </c>
      <c r="G654" s="64">
        <v>2.832462003330499</v>
      </c>
      <c r="H654" s="10">
        <f t="shared" si="202"/>
        <v>2.832462003</v>
      </c>
      <c r="I654" s="65">
        <v>0.075682174345</v>
      </c>
      <c r="J654" s="65">
        <v>1.16449555941312</v>
      </c>
      <c r="K654" s="65">
        <v>1.0967548995723793</v>
      </c>
      <c r="L654" s="65">
        <v>0.49552937</v>
      </c>
      <c r="N654" s="66">
        <v>3.3035291333333334</v>
      </c>
      <c r="O654" s="10">
        <f t="shared" si="203"/>
        <v>3.303529133</v>
      </c>
      <c r="Q654" s="67">
        <v>40.953159</v>
      </c>
      <c r="S654" s="68">
        <v>0.42453919</v>
      </c>
      <c r="T654" s="68">
        <v>0.41221024</v>
      </c>
      <c r="U654" s="68">
        <v>0.008965255</v>
      </c>
      <c r="V654" s="68">
        <v>0.0033637001</v>
      </c>
      <c r="X654" s="69">
        <v>4.7101935E-4</v>
      </c>
      <c r="Y654" s="70"/>
      <c r="Z654" s="72"/>
    </row>
    <row r="655" ht="12.75" customHeight="1">
      <c r="B655" s="2"/>
      <c r="C655" s="60"/>
      <c r="D655" s="75" t="s">
        <v>1061</v>
      </c>
      <c r="E655" s="62"/>
      <c r="G655" s="10"/>
      <c r="H655" s="10"/>
      <c r="I655" s="10"/>
      <c r="J655" s="10"/>
      <c r="K655" s="10"/>
      <c r="L655" s="10"/>
      <c r="N655" s="10"/>
      <c r="O655" s="10"/>
      <c r="Q655" s="67"/>
      <c r="Y655" s="71"/>
      <c r="Z655" s="72"/>
    </row>
    <row r="656" ht="12.75" customHeight="1">
      <c r="A656" s="1" t="s">
        <v>1062</v>
      </c>
      <c r="B656" s="2" t="s">
        <v>932</v>
      </c>
      <c r="C656" s="60" t="str">
        <f t="shared" ref="C656:C659" si="204">MID(A656,1,12)</f>
        <v>A.100.22.101</v>
      </c>
      <c r="D656" s="51" t="s">
        <v>1061</v>
      </c>
      <c r="E656" s="62" t="s">
        <v>45</v>
      </c>
      <c r="F656" s="63" t="str">
        <f t="shared" ref="F656:F659" si="205">MID(A656, 21,85)</f>
        <v>38Si6</v>
      </c>
      <c r="G656" s="64">
        <v>0.6244416806115498</v>
      </c>
      <c r="H656" s="10">
        <f t="shared" ref="H656:H659" si="206">G656</f>
        <v>0.6244416806</v>
      </c>
      <c r="I656" s="65">
        <v>0.036201586546999995</v>
      </c>
      <c r="J656" s="65">
        <v>0.11165913209937998</v>
      </c>
      <c r="K656" s="65">
        <v>0.09118434196516975</v>
      </c>
      <c r="L656" s="65">
        <v>0.38539662</v>
      </c>
      <c r="N656" s="66">
        <v>2.5693108000000002</v>
      </c>
      <c r="O656" s="10">
        <f t="shared" ref="O656:O659" si="207">N656</f>
        <v>2.5693108</v>
      </c>
      <c r="Q656" s="67">
        <v>24.356058</v>
      </c>
      <c r="S656" s="68">
        <v>0.08968037</v>
      </c>
      <c r="T656" s="68">
        <v>0.08556192</v>
      </c>
      <c r="U656" s="68">
        <v>0.0022874213</v>
      </c>
      <c r="V656" s="68">
        <v>0.0018310295</v>
      </c>
      <c r="X656" s="69">
        <v>1.2693252E-4</v>
      </c>
      <c r="Y656" s="70"/>
      <c r="Z656" s="73"/>
    </row>
    <row r="657" ht="12.75" customHeight="1">
      <c r="A657" s="1" t="s">
        <v>1063</v>
      </c>
      <c r="B657" s="2" t="s">
        <v>932</v>
      </c>
      <c r="C657" s="60" t="str">
        <f t="shared" si="204"/>
        <v>A.100.22.102</v>
      </c>
      <c r="D657" s="51" t="s">
        <v>1061</v>
      </c>
      <c r="E657" s="62" t="s">
        <v>45</v>
      </c>
      <c r="F657" s="63" t="str">
        <f t="shared" si="205"/>
        <v>50CrV4</v>
      </c>
      <c r="G657" s="64">
        <v>0.730323694823342</v>
      </c>
      <c r="H657" s="10">
        <f t="shared" si="206"/>
        <v>0.7303236948</v>
      </c>
      <c r="I657" s="65">
        <v>0.0480881909</v>
      </c>
      <c r="J657" s="65">
        <v>0.13934968584463003</v>
      </c>
      <c r="K657" s="65">
        <v>0.127792548078712</v>
      </c>
      <c r="L657" s="65">
        <v>0.41509327</v>
      </c>
      <c r="N657" s="66">
        <v>2.767288466666667</v>
      </c>
      <c r="O657" s="10">
        <f t="shared" si="207"/>
        <v>2.767288467</v>
      </c>
      <c r="Q657" s="67">
        <v>24.483201</v>
      </c>
      <c r="S657" s="68">
        <v>0.1161728</v>
      </c>
      <c r="T657" s="68">
        <v>0.11178459</v>
      </c>
      <c r="U657" s="68">
        <v>0.0025911059</v>
      </c>
      <c r="V657" s="68">
        <v>0.0017971036</v>
      </c>
      <c r="X657" s="69">
        <v>1.5393562E-4</v>
      </c>
      <c r="Y657" s="70"/>
      <c r="Z657" s="72"/>
    </row>
    <row r="658" ht="12.75" customHeight="1">
      <c r="A658" s="1" t="s">
        <v>1064</v>
      </c>
      <c r="B658" s="2" t="s">
        <v>932</v>
      </c>
      <c r="C658" s="60" t="str">
        <f t="shared" si="204"/>
        <v>A.100.22.103</v>
      </c>
      <c r="D658" s="51" t="s">
        <v>1061</v>
      </c>
      <c r="E658" s="62" t="s">
        <v>45</v>
      </c>
      <c r="F658" s="63" t="str">
        <f t="shared" si="205"/>
        <v>55Si7</v>
      </c>
      <c r="G658" s="64">
        <v>0.6327813941834166</v>
      </c>
      <c r="H658" s="10">
        <f t="shared" si="206"/>
        <v>0.6327813942</v>
      </c>
      <c r="I658" s="65">
        <v>0.037876152499000004</v>
      </c>
      <c r="J658" s="65">
        <v>0.11390615158973</v>
      </c>
      <c r="K658" s="65">
        <v>0.09401160009468659</v>
      </c>
      <c r="L658" s="65">
        <v>0.38698749</v>
      </c>
      <c r="N658" s="66">
        <v>2.5799166000000002</v>
      </c>
      <c r="O658" s="10">
        <f t="shared" si="207"/>
        <v>2.5799166</v>
      </c>
      <c r="Q658" s="67">
        <v>24.364557</v>
      </c>
      <c r="S658" s="68">
        <v>0.10205258</v>
      </c>
      <c r="T658" s="68">
        <v>0.097917752</v>
      </c>
      <c r="U658" s="68">
        <v>0.0023035465</v>
      </c>
      <c r="V658" s="68">
        <v>0.0018312824</v>
      </c>
      <c r="X658" s="69">
        <v>1.2977567E-4</v>
      </c>
      <c r="Y658" s="70"/>
      <c r="Z658" s="72"/>
    </row>
    <row r="659" ht="12.75" customHeight="1">
      <c r="A659" s="1" t="s">
        <v>1065</v>
      </c>
      <c r="B659" s="2" t="s">
        <v>932</v>
      </c>
      <c r="C659" s="60" t="str">
        <f t="shared" si="204"/>
        <v>A.100.22.104</v>
      </c>
      <c r="D659" s="51" t="s">
        <v>1061</v>
      </c>
      <c r="E659" s="62" t="s">
        <v>45</v>
      </c>
      <c r="F659" s="63" t="str">
        <f t="shared" si="205"/>
        <v>67SiCr5</v>
      </c>
      <c r="G659" s="64">
        <v>0.6354999050032643</v>
      </c>
      <c r="H659" s="10">
        <f t="shared" si="206"/>
        <v>0.635499905</v>
      </c>
      <c r="I659" s="65">
        <v>0.033698902668000005</v>
      </c>
      <c r="J659" s="65">
        <v>0.11389552327945</v>
      </c>
      <c r="K659" s="65">
        <v>0.09140658905581422</v>
      </c>
      <c r="L659" s="65">
        <v>0.39649889</v>
      </c>
      <c r="N659" s="66">
        <v>2.643325933333333</v>
      </c>
      <c r="O659" s="10">
        <f t="shared" si="207"/>
        <v>2.643325933</v>
      </c>
      <c r="Q659" s="67">
        <v>24.461595</v>
      </c>
      <c r="S659" s="68">
        <v>0.06101489</v>
      </c>
      <c r="T659" s="68">
        <v>0.056816897</v>
      </c>
      <c r="U659" s="68">
        <v>0.0023703634</v>
      </c>
      <c r="V659" s="68">
        <v>0.0018276295</v>
      </c>
      <c r="X659" s="69">
        <v>1.2824153E-4</v>
      </c>
      <c r="Y659" s="70"/>
      <c r="Z659" s="72"/>
    </row>
    <row r="660" ht="12.75" customHeight="1">
      <c r="B660" s="2"/>
      <c r="C660" s="60"/>
      <c r="D660" s="75" t="s">
        <v>1066</v>
      </c>
      <c r="E660" s="62"/>
      <c r="G660" s="10"/>
      <c r="H660" s="10"/>
      <c r="I660" s="10"/>
      <c r="J660" s="10"/>
      <c r="K660" s="10"/>
      <c r="L660" s="10"/>
      <c r="N660" s="10"/>
      <c r="O660" s="10"/>
      <c r="Q660" s="67"/>
      <c r="Y660" s="71"/>
      <c r="Z660" s="72"/>
    </row>
    <row r="661" ht="12.75" customHeight="1">
      <c r="A661" s="1" t="s">
        <v>1067</v>
      </c>
      <c r="B661" s="2" t="s">
        <v>1068</v>
      </c>
      <c r="C661" s="60" t="str">
        <f t="shared" ref="C661:C717" si="208">MID(A661,1,12)</f>
        <v>A.100.24.099</v>
      </c>
      <c r="D661" s="51" t="s">
        <v>1069</v>
      </c>
      <c r="E661" s="62" t="s">
        <v>45</v>
      </c>
      <c r="F661" s="63" t="str">
        <f t="shared" ref="F661:F717" si="209">MID(A661, 21,85)</f>
        <v>Aluminium (primary) Global average</v>
      </c>
      <c r="G661" s="64">
        <v>3.246088208504405</v>
      </c>
      <c r="H661" s="10">
        <f t="shared" ref="H661:H717" si="210">G661</f>
        <v>3.246088209</v>
      </c>
      <c r="I661" s="65">
        <v>0.12370334421</v>
      </c>
      <c r="J661" s="65">
        <v>0.31189645490499995</v>
      </c>
      <c r="K661" s="65">
        <v>1.047839709389405</v>
      </c>
      <c r="L661" s="65">
        <v>1.7626487</v>
      </c>
      <c r="N661" s="66">
        <v>11.750991333333333</v>
      </c>
      <c r="O661" s="10">
        <f t="shared" ref="O661:O717" si="211">N661</f>
        <v>11.75099133</v>
      </c>
      <c r="Q661" s="67">
        <v>118.10114</v>
      </c>
      <c r="S661" s="68">
        <v>0.27170531</v>
      </c>
      <c r="T661" s="68">
        <v>0.25868729</v>
      </c>
      <c r="U661" s="68">
        <v>0.010966209</v>
      </c>
      <c r="V661" s="68">
        <v>0.0020518083</v>
      </c>
      <c r="X661" s="69">
        <v>5.7538E-4</v>
      </c>
      <c r="Y661" s="70"/>
      <c r="Z661" s="72"/>
    </row>
    <row r="662" ht="12.75" customHeight="1">
      <c r="A662" s="1" t="s">
        <v>1070</v>
      </c>
      <c r="B662" s="2" t="s">
        <v>1068</v>
      </c>
      <c r="C662" s="60" t="str">
        <f t="shared" si="208"/>
        <v>A.100.24.100</v>
      </c>
      <c r="D662" s="51" t="s">
        <v>1069</v>
      </c>
      <c r="E662" s="62" t="s">
        <v>45</v>
      </c>
      <c r="F662" s="63" t="str">
        <f t="shared" si="209"/>
        <v>Aluminium trade mix Global (64% prim 36% sec)</v>
      </c>
      <c r="G662" s="64">
        <v>2.12622543315179</v>
      </c>
      <c r="H662" s="10">
        <f t="shared" si="210"/>
        <v>2.126225433</v>
      </c>
      <c r="I662" s="65">
        <v>0.081656757206</v>
      </c>
      <c r="J662" s="65">
        <v>0.20307406342099998</v>
      </c>
      <c r="K662" s="65">
        <v>0.67290201252479</v>
      </c>
      <c r="L662" s="65">
        <v>1.1685926</v>
      </c>
      <c r="N662" s="66">
        <v>7.7906173333333335</v>
      </c>
      <c r="O662" s="10">
        <f t="shared" si="211"/>
        <v>7.790617333</v>
      </c>
      <c r="Q662" s="67">
        <v>79.645888</v>
      </c>
      <c r="S662" s="68">
        <v>0.17898278</v>
      </c>
      <c r="T662" s="68">
        <v>0.17015273</v>
      </c>
      <c r="U662" s="68">
        <v>0.0072333247</v>
      </c>
      <c r="V662" s="68">
        <v>0.0015967296</v>
      </c>
      <c r="X662" s="69">
        <v>3.8168656E-4</v>
      </c>
      <c r="Y662" s="70"/>
      <c r="Z662" s="72"/>
    </row>
    <row r="663" ht="12.75" customHeight="1">
      <c r="A663" s="1" t="s">
        <v>1071</v>
      </c>
      <c r="B663" s="2" t="s">
        <v>1068</v>
      </c>
      <c r="C663" s="60" t="str">
        <f t="shared" si="208"/>
        <v>A.100.24.101</v>
      </c>
      <c r="D663" s="51" t="s">
        <v>1069</v>
      </c>
      <c r="E663" s="62" t="s">
        <v>45</v>
      </c>
      <c r="F663" s="63" t="str">
        <f t="shared" si="209"/>
        <v>Aluminium (primary) European production, bauxite from Africa</v>
      </c>
      <c r="G663" s="64">
        <v>1.913337371577283</v>
      </c>
      <c r="H663" s="10">
        <f t="shared" si="210"/>
        <v>1.913337372</v>
      </c>
      <c r="I663" s="65">
        <v>0.018046328689</v>
      </c>
      <c r="J663" s="65">
        <v>0.05767263932</v>
      </c>
      <c r="K663" s="65">
        <v>1.115852543568283</v>
      </c>
      <c r="L663" s="65">
        <v>0.72176586</v>
      </c>
      <c r="N663" s="66">
        <v>4.8117724</v>
      </c>
      <c r="O663" s="10">
        <f t="shared" si="211"/>
        <v>4.8117724</v>
      </c>
      <c r="Q663" s="67">
        <v>71.688302</v>
      </c>
      <c r="S663" s="68">
        <v>0.094290181</v>
      </c>
      <c r="T663" s="68">
        <v>0.089672223</v>
      </c>
      <c r="U663" s="68">
        <v>0.0040061996</v>
      </c>
      <c r="V663" s="68">
        <v>6.1175857E-4</v>
      </c>
      <c r="X663" s="69">
        <v>1.8681311E-4</v>
      </c>
      <c r="Y663" s="70"/>
      <c r="Z663" s="72"/>
    </row>
    <row r="664" ht="12.75" customHeight="1">
      <c r="A664" s="1" t="s">
        <v>1072</v>
      </c>
      <c r="B664" s="2" t="s">
        <v>1068</v>
      </c>
      <c r="C664" s="60" t="str">
        <f t="shared" si="208"/>
        <v>A.100.24.102</v>
      </c>
      <c r="D664" s="51" t="s">
        <v>1069</v>
      </c>
      <c r="E664" s="62" t="s">
        <v>45</v>
      </c>
      <c r="F664" s="63" t="str">
        <f t="shared" si="209"/>
        <v>Aluminium (secondary)</v>
      </c>
      <c r="G664" s="64">
        <v>0.13535816768158382</v>
      </c>
      <c r="H664" s="10">
        <f t="shared" si="210"/>
        <v>0.1353581677</v>
      </c>
      <c r="I664" s="65">
        <v>0.0069072697179999995</v>
      </c>
      <c r="J664" s="65">
        <v>0.009612017357</v>
      </c>
      <c r="K664" s="65">
        <v>0.006346130606583803</v>
      </c>
      <c r="L664" s="65">
        <v>0.11249275</v>
      </c>
      <c r="N664" s="66">
        <v>0.7499516666666667</v>
      </c>
      <c r="O664" s="10">
        <f t="shared" si="211"/>
        <v>0.7499516667</v>
      </c>
      <c r="Q664" s="67">
        <v>11.280997</v>
      </c>
      <c r="S664" s="68">
        <v>0.014142734</v>
      </c>
      <c r="T664" s="68">
        <v>0.012757948</v>
      </c>
      <c r="U664" s="68">
        <v>5.9708539E-4</v>
      </c>
      <c r="V664" s="68">
        <v>7.8770063E-4</v>
      </c>
      <c r="X664" s="69">
        <v>3.7342671E-5</v>
      </c>
      <c r="Y664" s="70"/>
      <c r="Z664" s="72"/>
    </row>
    <row r="665" ht="12.75" customHeight="1">
      <c r="A665" s="1" t="s">
        <v>1073</v>
      </c>
      <c r="B665" s="2" t="s">
        <v>1068</v>
      </c>
      <c r="C665" s="60" t="str">
        <f t="shared" si="208"/>
        <v>A.100.24.103</v>
      </c>
      <c r="D665" s="51" t="s">
        <v>1069</v>
      </c>
      <c r="E665" s="62" t="s">
        <v>45</v>
      </c>
      <c r="F665" s="63" t="str">
        <f t="shared" si="209"/>
        <v>Aluminium trade mix Europe (79% prim 21% sec)</v>
      </c>
      <c r="G665" s="64">
        <v>1.53996170639203</v>
      </c>
      <c r="H665" s="10">
        <f t="shared" si="210"/>
        <v>1.539961706</v>
      </c>
      <c r="I665" s="65">
        <v>0.015707126402999996</v>
      </c>
      <c r="J665" s="65">
        <v>0.047579908556</v>
      </c>
      <c r="K665" s="65">
        <v>0.8828561614330299</v>
      </c>
      <c r="L665" s="65">
        <v>0.59381851</v>
      </c>
      <c r="N665" s="66">
        <v>3.9587900666666664</v>
      </c>
      <c r="O665" s="10">
        <f t="shared" si="211"/>
        <v>3.958790067</v>
      </c>
      <c r="Q665" s="67">
        <v>59.002768</v>
      </c>
      <c r="S665" s="68">
        <v>0.077459217</v>
      </c>
      <c r="T665" s="68">
        <v>0.073520225</v>
      </c>
      <c r="U665" s="68">
        <v>0.0032902856</v>
      </c>
      <c r="V665" s="68">
        <v>6.487064E-4</v>
      </c>
      <c r="X665" s="69">
        <v>1.5542432E-4</v>
      </c>
      <c r="Y665" s="70"/>
      <c r="Z665" s="72"/>
    </row>
    <row r="666" ht="12.75" customHeight="1">
      <c r="A666" s="1" t="s">
        <v>1074</v>
      </c>
      <c r="B666" s="2" t="s">
        <v>1068</v>
      </c>
      <c r="C666" s="60" t="str">
        <f t="shared" si="208"/>
        <v>A.100.24.104</v>
      </c>
      <c r="D666" s="51" t="s">
        <v>1069</v>
      </c>
      <c r="E666" s="62" t="s">
        <v>45</v>
      </c>
      <c r="F666" s="63" t="str">
        <f t="shared" si="209"/>
        <v>Antimony - CRM (EoL-RIR = 18%)</v>
      </c>
      <c r="G666" s="64">
        <v>10.206799695904</v>
      </c>
      <c r="H666" s="10">
        <f t="shared" si="210"/>
        <v>10.2067997</v>
      </c>
      <c r="I666" s="65">
        <v>0.19958573861999995</v>
      </c>
      <c r="J666" s="65">
        <v>0.757517434584</v>
      </c>
      <c r="K666" s="65">
        <v>7.4503660227</v>
      </c>
      <c r="L666" s="65">
        <v>1.7993305</v>
      </c>
      <c r="N666" s="66">
        <v>11.995536666666666</v>
      </c>
      <c r="O666" s="10">
        <f t="shared" si="211"/>
        <v>11.99553667</v>
      </c>
      <c r="Q666" s="67">
        <v>142.93184</v>
      </c>
      <c r="S666" s="68">
        <v>0.39433212</v>
      </c>
      <c r="T666" s="68">
        <v>0.37083161</v>
      </c>
      <c r="U666" s="68">
        <v>0.012575305</v>
      </c>
      <c r="V666" s="68">
        <v>0.010925209</v>
      </c>
      <c r="X666" s="69">
        <v>0.9738268</v>
      </c>
      <c r="Y666" s="70"/>
      <c r="Z666" s="72"/>
    </row>
    <row r="667" ht="12.75" customHeight="1">
      <c r="A667" s="1" t="s">
        <v>1075</v>
      </c>
      <c r="B667" s="2" t="s">
        <v>1068</v>
      </c>
      <c r="C667" s="60" t="str">
        <f t="shared" si="208"/>
        <v>A.100.24.105</v>
      </c>
      <c r="D667" s="51" t="s">
        <v>1069</v>
      </c>
      <c r="E667" s="62" t="s">
        <v>45</v>
      </c>
      <c r="F667" s="63" t="str">
        <f t="shared" si="209"/>
        <v>Cadmium (EoL-RIR = 0%)</v>
      </c>
      <c r="G667" s="64">
        <v>20.3604043891</v>
      </c>
      <c r="H667" s="10">
        <f t="shared" si="210"/>
        <v>20.36040439</v>
      </c>
      <c r="I667" s="65">
        <v>0.0</v>
      </c>
      <c r="J667" s="65">
        <v>0.3377043891</v>
      </c>
      <c r="K667" s="65">
        <v>19.45</v>
      </c>
      <c r="L667" s="65">
        <v>0.5727</v>
      </c>
      <c r="N667" s="66">
        <v>3.818</v>
      </c>
      <c r="O667" s="10">
        <f t="shared" si="211"/>
        <v>3.818</v>
      </c>
      <c r="Q667" s="67">
        <v>78.28485</v>
      </c>
      <c r="S667" s="68">
        <v>0.17017943</v>
      </c>
      <c r="T667" s="68">
        <v>0.15927905</v>
      </c>
      <c r="U667" s="68">
        <v>0.0047824815</v>
      </c>
      <c r="V667" s="68">
        <v>0.0061178983</v>
      </c>
      <c r="X667" s="69">
        <v>0.18660251</v>
      </c>
      <c r="Y667" s="70"/>
      <c r="Z667" s="72"/>
    </row>
    <row r="668" ht="12.75" customHeight="1">
      <c r="A668" s="1" t="s">
        <v>1076</v>
      </c>
      <c r="B668" s="2" t="s">
        <v>1068</v>
      </c>
      <c r="C668" s="60" t="str">
        <f t="shared" si="208"/>
        <v>A.100.24.106</v>
      </c>
      <c r="D668" s="51" t="s">
        <v>1069</v>
      </c>
      <c r="E668" s="62" t="s">
        <v>45</v>
      </c>
      <c r="F668" s="63" t="str">
        <f t="shared" si="209"/>
        <v>Chromium, CRM (EoL-RIR = 21%)</v>
      </c>
      <c r="G668" s="64">
        <v>6.567847587</v>
      </c>
      <c r="H668" s="10">
        <f t="shared" si="210"/>
        <v>6.567847587</v>
      </c>
      <c r="I668" s="65">
        <v>0.403901787</v>
      </c>
      <c r="J668" s="65">
        <v>1.74761959</v>
      </c>
      <c r="K668" s="65">
        <v>1.16037381</v>
      </c>
      <c r="L668" s="65">
        <v>3.2559524</v>
      </c>
      <c r="N668" s="66">
        <v>21.706349333333335</v>
      </c>
      <c r="O668" s="10">
        <f t="shared" si="211"/>
        <v>21.70634933</v>
      </c>
      <c r="Q668" s="67">
        <v>36.68254</v>
      </c>
      <c r="S668" s="68">
        <v>0.74164223</v>
      </c>
      <c r="T668" s="68">
        <v>0.71509408</v>
      </c>
      <c r="U668" s="68">
        <v>0.026423481</v>
      </c>
      <c r="V668" s="68">
        <v>1.2466667E-4</v>
      </c>
      <c r="X668" s="69">
        <v>0.0018143564</v>
      </c>
      <c r="Y668" s="70"/>
      <c r="Z668" s="72"/>
    </row>
    <row r="669" ht="12.75" customHeight="1">
      <c r="A669" s="1" t="s">
        <v>1077</v>
      </c>
      <c r="B669" s="2" t="s">
        <v>1068</v>
      </c>
      <c r="C669" s="60" t="str">
        <f t="shared" si="208"/>
        <v>A.100.24.107</v>
      </c>
      <c r="D669" s="51" t="s">
        <v>1069</v>
      </c>
      <c r="E669" s="62" t="s">
        <v>45</v>
      </c>
      <c r="F669" s="63" t="str">
        <f t="shared" si="209"/>
        <v>Cobalt - CRM (EoL-RIR = 22%)</v>
      </c>
      <c r="G669" s="64">
        <v>55.32474573</v>
      </c>
      <c r="H669" s="10">
        <f t="shared" si="210"/>
        <v>55.32474573</v>
      </c>
      <c r="I669" s="65">
        <v>2.29663433</v>
      </c>
      <c r="J669" s="65">
        <v>7.9597911</v>
      </c>
      <c r="K669" s="65">
        <v>39.4878516</v>
      </c>
      <c r="L669" s="65">
        <v>5.5804687</v>
      </c>
      <c r="N669" s="66">
        <v>37.20312466666667</v>
      </c>
      <c r="O669" s="10">
        <f t="shared" si="211"/>
        <v>37.20312467</v>
      </c>
      <c r="Q669" s="67">
        <v>194.53125</v>
      </c>
      <c r="S669" s="68">
        <v>4.0882415</v>
      </c>
      <c r="T669" s="68">
        <v>4.009758</v>
      </c>
      <c r="U669" s="68">
        <v>0.07000474</v>
      </c>
      <c r="V669" s="68">
        <v>0.00847875</v>
      </c>
      <c r="X669" s="69">
        <v>0.0051706132</v>
      </c>
      <c r="Y669" s="70"/>
      <c r="Z669" s="72"/>
    </row>
    <row r="670" ht="12.75" customHeight="1">
      <c r="A670" s="1" t="s">
        <v>1078</v>
      </c>
      <c r="B670" s="2" t="s">
        <v>1068</v>
      </c>
      <c r="C670" s="60" t="str">
        <f t="shared" si="208"/>
        <v>A.100.24.108</v>
      </c>
      <c r="D670" s="51" t="s">
        <v>1069</v>
      </c>
      <c r="E670" s="62" t="s">
        <v>45</v>
      </c>
      <c r="F670" s="63" t="str">
        <f t="shared" si="209"/>
        <v>Copper rod tube plate (primary)</v>
      </c>
      <c r="G670" s="64">
        <v>5.220493753000001</v>
      </c>
      <c r="H670" s="10">
        <f t="shared" si="210"/>
        <v>5.220493753</v>
      </c>
      <c r="I670" s="65">
        <v>0.1469972263</v>
      </c>
      <c r="J670" s="65">
        <v>0.30518816470000004</v>
      </c>
      <c r="K670" s="65">
        <v>4.250716172000001</v>
      </c>
      <c r="L670" s="65">
        <v>0.51759219</v>
      </c>
      <c r="N670" s="66">
        <v>3.4506146</v>
      </c>
      <c r="O670" s="10">
        <f t="shared" si="211"/>
        <v>3.4506146</v>
      </c>
      <c r="Q670" s="67">
        <v>57.44649</v>
      </c>
      <c r="S670" s="68">
        <v>0.1668365</v>
      </c>
      <c r="T670" s="68">
        <v>0.15871875</v>
      </c>
      <c r="U670" s="68">
        <v>0.0045492777</v>
      </c>
      <c r="V670" s="68">
        <v>0.0035684711</v>
      </c>
      <c r="X670" s="69">
        <v>0.0019378883</v>
      </c>
      <c r="Y670" s="70"/>
      <c r="Z670" s="72"/>
    </row>
    <row r="671" ht="12.75" customHeight="1">
      <c r="A671" s="1" t="s">
        <v>1079</v>
      </c>
      <c r="B671" s="2" t="s">
        <v>1068</v>
      </c>
      <c r="C671" s="60" t="str">
        <f t="shared" si="208"/>
        <v>A.100.24.109</v>
      </c>
      <c r="D671" s="51" t="s">
        <v>1069</v>
      </c>
      <c r="E671" s="62" t="s">
        <v>45</v>
      </c>
      <c r="F671" s="63" t="str">
        <f t="shared" si="209"/>
        <v>Copper (secondary)</v>
      </c>
      <c r="G671" s="64">
        <v>0.0949685099219838</v>
      </c>
      <c r="H671" s="10">
        <f t="shared" si="210"/>
        <v>0.09496850992</v>
      </c>
      <c r="I671" s="65">
        <v>0.004650984470400001</v>
      </c>
      <c r="J671" s="65">
        <v>0.007859027914999999</v>
      </c>
      <c r="K671" s="65">
        <v>0.016960448536583805</v>
      </c>
      <c r="L671" s="65">
        <v>0.065498049</v>
      </c>
      <c r="N671" s="66">
        <v>0.43665366000000005</v>
      </c>
      <c r="O671" s="10">
        <f t="shared" si="211"/>
        <v>0.43665366</v>
      </c>
      <c r="Q671" s="67">
        <v>8.1885305</v>
      </c>
      <c r="S671" s="68">
        <v>0.0085031457</v>
      </c>
      <c r="T671" s="68">
        <v>0.0079348396</v>
      </c>
      <c r="U671" s="68">
        <v>3.5816951E-4</v>
      </c>
      <c r="V671" s="68">
        <v>2.1013662E-4</v>
      </c>
      <c r="X671" s="69">
        <v>2.2671711E-5</v>
      </c>
      <c r="Y671" s="70"/>
      <c r="Z671" s="72"/>
    </row>
    <row r="672" ht="12.75" customHeight="1">
      <c r="A672" s="1" t="s">
        <v>1080</v>
      </c>
      <c r="B672" s="2" t="s">
        <v>1068</v>
      </c>
      <c r="C672" s="60" t="str">
        <f t="shared" si="208"/>
        <v>A.100.24.110</v>
      </c>
      <c r="D672" s="51" t="s">
        <v>1069</v>
      </c>
      <c r="E672" s="62" t="s">
        <v>45</v>
      </c>
      <c r="F672" s="63" t="str">
        <f t="shared" si="209"/>
        <v>Copper wire - plate - tube - trade mix ( 68% prim 32% sec)</v>
      </c>
      <c r="G672" s="64">
        <v>3.580325656339401</v>
      </c>
      <c r="H672" s="10">
        <f t="shared" si="210"/>
        <v>3.580325656</v>
      </c>
      <c r="I672" s="65">
        <v>0.10144643014</v>
      </c>
      <c r="J672" s="65">
        <v>0.2100428431189</v>
      </c>
      <c r="K672" s="65">
        <v>2.895914323080501</v>
      </c>
      <c r="L672" s="65">
        <v>0.37292206</v>
      </c>
      <c r="N672" s="66">
        <v>2.4861470666666667</v>
      </c>
      <c r="O672" s="10">
        <f t="shared" si="211"/>
        <v>2.486147067</v>
      </c>
      <c r="Q672" s="67">
        <v>41.683943</v>
      </c>
      <c r="S672" s="68">
        <v>0.11616983</v>
      </c>
      <c r="T672" s="68">
        <v>0.1104679</v>
      </c>
      <c r="U672" s="68">
        <v>0.0032081231</v>
      </c>
      <c r="V672" s="68">
        <v>0.0024938041</v>
      </c>
      <c r="X672" s="69">
        <v>0.001325019</v>
      </c>
      <c r="Y672" s="70"/>
      <c r="Z672" s="72"/>
    </row>
    <row r="673" ht="12.75" customHeight="1">
      <c r="A673" s="1" t="s">
        <v>1081</v>
      </c>
      <c r="B673" s="2" t="s">
        <v>1068</v>
      </c>
      <c r="C673" s="60" t="str">
        <f t="shared" si="208"/>
        <v>A.100.24.111</v>
      </c>
      <c r="D673" s="51" t="s">
        <v>1069</v>
      </c>
      <c r="E673" s="62" t="s">
        <v>45</v>
      </c>
      <c r="F673" s="63" t="str">
        <f t="shared" si="209"/>
        <v>Gallium, CRM (EoL-RIR = 0%)</v>
      </c>
      <c r="G673" s="64">
        <v>203.41016602</v>
      </c>
      <c r="H673" s="10">
        <f t="shared" si="210"/>
        <v>203.410166</v>
      </c>
      <c r="I673" s="65">
        <v>17.35792592</v>
      </c>
      <c r="J673" s="65">
        <v>27.2271761</v>
      </c>
      <c r="K673" s="65">
        <v>133.322814</v>
      </c>
      <c r="L673" s="65">
        <v>25.50225</v>
      </c>
      <c r="N673" s="66">
        <v>170.01500000000001</v>
      </c>
      <c r="O673" s="10">
        <f t="shared" si="211"/>
        <v>170.015</v>
      </c>
      <c r="Q673" s="67">
        <v>139.48</v>
      </c>
      <c r="S673" s="68">
        <v>23.008751</v>
      </c>
      <c r="T673" s="68">
        <v>22.674643</v>
      </c>
      <c r="U673" s="68">
        <v>0.19559208</v>
      </c>
      <c r="V673" s="68">
        <v>0.138516</v>
      </c>
      <c r="X673" s="69">
        <v>0.022044692</v>
      </c>
      <c r="Y673" s="70"/>
      <c r="Z673" s="72"/>
    </row>
    <row r="674" ht="12.75" customHeight="1">
      <c r="A674" s="1" t="s">
        <v>1082</v>
      </c>
      <c r="B674" s="2" t="s">
        <v>1068</v>
      </c>
      <c r="C674" s="60" t="str">
        <f t="shared" si="208"/>
        <v>A.100.24.112</v>
      </c>
      <c r="D674" s="51" t="s">
        <v>1069</v>
      </c>
      <c r="E674" s="62" t="s">
        <v>45</v>
      </c>
      <c r="F674" s="63" t="str">
        <f t="shared" si="209"/>
        <v>Gold (primary)</v>
      </c>
      <c r="G674" s="64">
        <v>57803.14017</v>
      </c>
      <c r="H674" s="10">
        <f t="shared" si="210"/>
        <v>57803.14017</v>
      </c>
      <c r="I674" s="65">
        <v>2926.41757</v>
      </c>
      <c r="J674" s="65">
        <v>19780.5946</v>
      </c>
      <c r="K674" s="65">
        <v>27927.583</v>
      </c>
      <c r="L674" s="65">
        <v>7168.545</v>
      </c>
      <c r="N674" s="66">
        <v>47790.3</v>
      </c>
      <c r="O674" s="10">
        <f t="shared" si="211"/>
        <v>47790.3</v>
      </c>
      <c r="Q674" s="67">
        <v>92660.0</v>
      </c>
      <c r="S674" s="68">
        <v>9009.4459</v>
      </c>
      <c r="T674" s="68">
        <v>8866.3404</v>
      </c>
      <c r="U674" s="68">
        <v>136.94371</v>
      </c>
      <c r="V674" s="68">
        <v>6.16182</v>
      </c>
      <c r="X674" s="69">
        <v>70.959976</v>
      </c>
      <c r="Y674" s="70"/>
      <c r="Z674" s="72"/>
    </row>
    <row r="675" ht="12.75" customHeight="1">
      <c r="A675" s="1" t="s">
        <v>1083</v>
      </c>
      <c r="B675" s="2" t="s">
        <v>1068</v>
      </c>
      <c r="C675" s="60" t="str">
        <f t="shared" si="208"/>
        <v>A.100.24.113</v>
      </c>
      <c r="D675" s="51" t="s">
        <v>1069</v>
      </c>
      <c r="E675" s="62" t="s">
        <v>45</v>
      </c>
      <c r="F675" s="63" t="str">
        <f t="shared" si="209"/>
        <v>Gold (secondary)</v>
      </c>
      <c r="G675" s="64">
        <v>152.1917587525</v>
      </c>
      <c r="H675" s="10">
        <f t="shared" si="210"/>
        <v>152.1917588</v>
      </c>
      <c r="I675" s="65">
        <v>9.223321276</v>
      </c>
      <c r="J675" s="65">
        <v>29.720146242500004</v>
      </c>
      <c r="K675" s="65">
        <v>0.6545512339999999</v>
      </c>
      <c r="L675" s="65">
        <v>112.59374</v>
      </c>
      <c r="N675" s="66">
        <v>750.6249333333334</v>
      </c>
      <c r="O675" s="10">
        <f t="shared" si="211"/>
        <v>750.6249333</v>
      </c>
      <c r="Q675" s="67">
        <v>9903.7414</v>
      </c>
      <c r="S675" s="68">
        <v>19.914632</v>
      </c>
      <c r="T675" s="68">
        <v>18.514402</v>
      </c>
      <c r="U675" s="68">
        <v>0.70036241</v>
      </c>
      <c r="V675" s="68">
        <v>0.69986747</v>
      </c>
      <c r="X675" s="69">
        <v>0.042249516</v>
      </c>
      <c r="Y675" s="70"/>
      <c r="Z675" s="72"/>
    </row>
    <row r="676" ht="12.75" customHeight="1">
      <c r="A676" s="1" t="s">
        <v>1084</v>
      </c>
      <c r="B676" s="2" t="s">
        <v>1068</v>
      </c>
      <c r="C676" s="60" t="str">
        <f t="shared" si="208"/>
        <v>A.100.24.114</v>
      </c>
      <c r="D676" s="51" t="s">
        <v>1069</v>
      </c>
      <c r="E676" s="62" t="s">
        <v>45</v>
      </c>
      <c r="F676" s="63" t="str">
        <f t="shared" si="209"/>
        <v>Gold trade mix (76% prim 24% sec)</v>
      </c>
      <c r="G676" s="64">
        <v>43966.9121430362</v>
      </c>
      <c r="H676" s="10">
        <f t="shared" si="210"/>
        <v>43966.91214</v>
      </c>
      <c r="I676" s="65">
        <v>2226.29092733</v>
      </c>
      <c r="J676" s="65">
        <v>15040.3847957062</v>
      </c>
      <c r="K676" s="65">
        <v>21225.11972</v>
      </c>
      <c r="L676" s="65">
        <v>5475.1167</v>
      </c>
      <c r="N676" s="66">
        <v>36500.778</v>
      </c>
      <c r="O676" s="10">
        <f t="shared" si="211"/>
        <v>36500.778</v>
      </c>
      <c r="Q676" s="67">
        <v>72798.498</v>
      </c>
      <c r="S676" s="68">
        <v>6851.9584</v>
      </c>
      <c r="T676" s="68">
        <v>6742.8621</v>
      </c>
      <c r="U676" s="68">
        <v>104.24531</v>
      </c>
      <c r="V676" s="68">
        <v>4.8509514</v>
      </c>
      <c r="X676" s="69">
        <v>53.939722</v>
      </c>
      <c r="Y676" s="70"/>
      <c r="Z676" s="72"/>
    </row>
    <row r="677" ht="12.75" customHeight="1">
      <c r="A677" s="1" t="s">
        <v>1085</v>
      </c>
      <c r="B677" s="2" t="s">
        <v>1068</v>
      </c>
      <c r="C677" s="60" t="str">
        <f t="shared" si="208"/>
        <v>A.100.24.115</v>
      </c>
      <c r="D677" s="51" t="s">
        <v>1069</v>
      </c>
      <c r="E677" s="62" t="s">
        <v>45</v>
      </c>
      <c r="F677" s="63" t="str">
        <f t="shared" si="209"/>
        <v>Indium - CRM (EoL-RIR= 0%)</v>
      </c>
      <c r="G677" s="64">
        <v>769.41587623</v>
      </c>
      <c r="H677" s="10">
        <f t="shared" si="210"/>
        <v>769.4158762</v>
      </c>
      <c r="I677" s="65">
        <v>8.84408163</v>
      </c>
      <c r="J677" s="65">
        <v>22.916709599999997</v>
      </c>
      <c r="K677" s="65">
        <v>720.0270849999999</v>
      </c>
      <c r="L677" s="65">
        <v>17.628</v>
      </c>
      <c r="N677" s="66">
        <v>117.52000000000001</v>
      </c>
      <c r="O677" s="10">
        <f t="shared" si="211"/>
        <v>117.52</v>
      </c>
      <c r="Q677" s="67">
        <v>389.7</v>
      </c>
      <c r="S677" s="68">
        <v>21.925673</v>
      </c>
      <c r="T677" s="68">
        <v>21.539879</v>
      </c>
      <c r="U677" s="68">
        <v>0.21657606</v>
      </c>
      <c r="V677" s="68">
        <v>0.169218</v>
      </c>
      <c r="X677" s="69">
        <v>0.023347259</v>
      </c>
      <c r="Y677" s="70"/>
      <c r="Z677" s="72"/>
    </row>
    <row r="678" ht="12.75" customHeight="1">
      <c r="A678" s="1" t="s">
        <v>1086</v>
      </c>
      <c r="B678" s="2" t="s">
        <v>1068</v>
      </c>
      <c r="C678" s="60" t="str">
        <f t="shared" si="208"/>
        <v>A.100.24.116</v>
      </c>
      <c r="D678" s="51" t="s">
        <v>1069</v>
      </c>
      <c r="E678" s="62" t="s">
        <v>45</v>
      </c>
      <c r="F678" s="63" t="str">
        <f t="shared" si="209"/>
        <v>Lead (primary)</v>
      </c>
      <c r="G678" s="64">
        <v>2.388008457256</v>
      </c>
      <c r="H678" s="10">
        <f t="shared" si="210"/>
        <v>2.388008457</v>
      </c>
      <c r="I678" s="65">
        <v>0.07553628788</v>
      </c>
      <c r="J678" s="65">
        <v>0.367023767376</v>
      </c>
      <c r="K678" s="65">
        <v>1.661648402</v>
      </c>
      <c r="L678" s="65">
        <v>0.2838</v>
      </c>
      <c r="N678" s="66">
        <v>1.8920000000000001</v>
      </c>
      <c r="O678" s="10">
        <f t="shared" si="211"/>
        <v>1.892</v>
      </c>
      <c r="Q678" s="67">
        <v>30.966238</v>
      </c>
      <c r="S678" s="68">
        <v>0.14042966</v>
      </c>
      <c r="T678" s="68">
        <v>0.13423978</v>
      </c>
      <c r="U678" s="68">
        <v>0.0033912766</v>
      </c>
      <c r="V678" s="68">
        <v>0.0027985991</v>
      </c>
      <c r="X678" s="69">
        <v>2.2168936E-4</v>
      </c>
      <c r="Y678" s="70"/>
      <c r="Z678" s="72"/>
    </row>
    <row r="679" ht="12.75" customHeight="1">
      <c r="A679" s="1" t="s">
        <v>1087</v>
      </c>
      <c r="B679" s="2" t="s">
        <v>1068</v>
      </c>
      <c r="C679" s="60" t="str">
        <f t="shared" si="208"/>
        <v>A.100.24.117</v>
      </c>
      <c r="D679" s="51" t="s">
        <v>1069</v>
      </c>
      <c r="E679" s="62" t="s">
        <v>45</v>
      </c>
      <c r="F679" s="63" t="str">
        <f t="shared" si="209"/>
        <v>Lead (secondary)</v>
      </c>
      <c r="G679" s="64">
        <v>0.1066733841082419</v>
      </c>
      <c r="H679" s="10">
        <f t="shared" si="210"/>
        <v>0.1066733841</v>
      </c>
      <c r="I679" s="65">
        <v>0.00502451857</v>
      </c>
      <c r="J679" s="65">
        <v>0.00705725306</v>
      </c>
      <c r="K679" s="65">
        <v>0.003515445478241902</v>
      </c>
      <c r="L679" s="65">
        <v>0.091076167</v>
      </c>
      <c r="N679" s="66">
        <v>0.6071744466666666</v>
      </c>
      <c r="O679" s="10">
        <f t="shared" si="211"/>
        <v>0.6071744467</v>
      </c>
      <c r="Q679" s="67">
        <v>9.080945</v>
      </c>
      <c r="S679" s="68">
        <v>0.011381505</v>
      </c>
      <c r="T679" s="68">
        <v>0.010264588</v>
      </c>
      <c r="U679" s="68">
        <v>4.8121418E-4</v>
      </c>
      <c r="V679" s="68">
        <v>6.3570323E-4</v>
      </c>
      <c r="X679" s="69">
        <v>3.0021936E-5</v>
      </c>
      <c r="Y679" s="70"/>
      <c r="Z679" s="72"/>
    </row>
    <row r="680" ht="12.75" customHeight="1">
      <c r="A680" s="1" t="s">
        <v>1088</v>
      </c>
      <c r="B680" s="2" t="s">
        <v>1068</v>
      </c>
      <c r="C680" s="60" t="str">
        <f t="shared" si="208"/>
        <v>A.100.24.118</v>
      </c>
      <c r="D680" s="51" t="s">
        <v>1069</v>
      </c>
      <c r="E680" s="62" t="s">
        <v>45</v>
      </c>
      <c r="F680" s="63" t="str">
        <f t="shared" si="209"/>
        <v>Lead trade mix ( 20% prim 80% sec)</v>
      </c>
      <c r="G680" s="64">
        <v>0.5629403917436334</v>
      </c>
      <c r="H680" s="10">
        <f t="shared" si="210"/>
        <v>0.5629403917</v>
      </c>
      <c r="I680" s="65">
        <v>0.01912687231</v>
      </c>
      <c r="J680" s="65">
        <v>0.07905055578299999</v>
      </c>
      <c r="K680" s="65">
        <v>0.33514203365063344</v>
      </c>
      <c r="L680" s="65">
        <v>0.12962093</v>
      </c>
      <c r="N680" s="66">
        <v>0.8641395333333334</v>
      </c>
      <c r="O680" s="10">
        <f t="shared" si="211"/>
        <v>0.8641395333</v>
      </c>
      <c r="Q680" s="67">
        <v>13.458004</v>
      </c>
      <c r="S680" s="68">
        <v>0.037191135</v>
      </c>
      <c r="T680" s="68">
        <v>0.035059626</v>
      </c>
      <c r="U680" s="68">
        <v>0.0010632267</v>
      </c>
      <c r="V680" s="68">
        <v>0.0010682824</v>
      </c>
      <c r="X680" s="69">
        <v>6.8355421E-5</v>
      </c>
      <c r="Y680" s="70"/>
      <c r="Z680" s="72"/>
    </row>
    <row r="681" ht="12.75" customHeight="1">
      <c r="A681" s="1" t="s">
        <v>1089</v>
      </c>
      <c r="B681" s="2" t="s">
        <v>1068</v>
      </c>
      <c r="C681" s="60" t="str">
        <f t="shared" si="208"/>
        <v>A.100.24.119</v>
      </c>
      <c r="D681" s="51" t="s">
        <v>1069</v>
      </c>
      <c r="E681" s="62" t="s">
        <v>45</v>
      </c>
      <c r="F681" s="63" t="str">
        <f t="shared" si="209"/>
        <v>Lithium (EoL-RIR = 0%)</v>
      </c>
      <c r="G681" s="64">
        <v>29.107715323</v>
      </c>
      <c r="H681" s="10">
        <f t="shared" si="210"/>
        <v>29.10771532</v>
      </c>
      <c r="I681" s="65">
        <v>1.8046874230000003</v>
      </c>
      <c r="J681" s="65">
        <v>11.4505114</v>
      </c>
      <c r="K681" s="65">
        <v>3.9590164999999997</v>
      </c>
      <c r="L681" s="65">
        <v>11.8935</v>
      </c>
      <c r="N681" s="66">
        <v>79.29</v>
      </c>
      <c r="O681" s="10">
        <f t="shared" si="211"/>
        <v>79.29</v>
      </c>
      <c r="Q681" s="67">
        <v>95.53</v>
      </c>
      <c r="S681" s="68">
        <v>3.8535036</v>
      </c>
      <c r="T681" s="68">
        <v>3.7251923</v>
      </c>
      <c r="U681" s="68">
        <v>0.12031445</v>
      </c>
      <c r="V681" s="68">
        <v>0.0079968</v>
      </c>
      <c r="X681" s="69">
        <v>0.0066552544</v>
      </c>
      <c r="Y681" s="70"/>
      <c r="Z681" s="72"/>
    </row>
    <row r="682" ht="12.75" customHeight="1">
      <c r="A682" s="1" t="s">
        <v>1090</v>
      </c>
      <c r="B682" s="2" t="s">
        <v>1068</v>
      </c>
      <c r="C682" s="60" t="str">
        <f t="shared" si="208"/>
        <v>A.100.24.120</v>
      </c>
      <c r="D682" s="51" t="s">
        <v>1069</v>
      </c>
      <c r="E682" s="62" t="s">
        <v>45</v>
      </c>
      <c r="F682" s="63" t="str">
        <f t="shared" si="209"/>
        <v>Magnesium - CRM (primary)</v>
      </c>
      <c r="G682" s="64">
        <v>4.57671816691</v>
      </c>
      <c r="H682" s="10">
        <f t="shared" si="210"/>
        <v>4.576718167</v>
      </c>
      <c r="I682" s="65">
        <v>0.1791358675</v>
      </c>
      <c r="J682" s="65">
        <v>0.25672084740999995</v>
      </c>
      <c r="K682" s="65">
        <v>0.16904335199999998</v>
      </c>
      <c r="L682" s="65">
        <v>3.9718181</v>
      </c>
      <c r="N682" s="66">
        <v>26.478787333333337</v>
      </c>
      <c r="O682" s="10">
        <f t="shared" si="211"/>
        <v>26.47878733</v>
      </c>
      <c r="Q682" s="67">
        <v>392.3316</v>
      </c>
      <c r="S682" s="68">
        <v>0.49281362</v>
      </c>
      <c r="T682" s="68">
        <v>0.44309632</v>
      </c>
      <c r="U682" s="68">
        <v>0.020830959</v>
      </c>
      <c r="V682" s="68">
        <v>0.028886339</v>
      </c>
      <c r="X682" s="69">
        <v>0.0012943691</v>
      </c>
      <c r="Y682" s="70"/>
      <c r="Z682" s="73"/>
    </row>
    <row r="683" ht="12.75" customHeight="1">
      <c r="A683" s="1" t="s">
        <v>1091</v>
      </c>
      <c r="B683" s="2" t="s">
        <v>1068</v>
      </c>
      <c r="C683" s="60" t="str">
        <f t="shared" si="208"/>
        <v>A.100.24.121</v>
      </c>
      <c r="D683" s="51" t="s">
        <v>1069</v>
      </c>
      <c r="E683" s="62" t="s">
        <v>45</v>
      </c>
      <c r="F683" s="63" t="str">
        <f t="shared" si="209"/>
        <v>Magnesium - CRM (secondary)</v>
      </c>
      <c r="G683" s="64">
        <v>0.08751829070324191</v>
      </c>
      <c r="H683" s="10">
        <f t="shared" si="210"/>
        <v>0.0875182907</v>
      </c>
      <c r="I683" s="65">
        <v>0.004252856376</v>
      </c>
      <c r="J683" s="65">
        <v>0.005951378618999999</v>
      </c>
      <c r="K683" s="65">
        <v>0.003347258708241902</v>
      </c>
      <c r="L683" s="65">
        <v>0.073966797</v>
      </c>
      <c r="N683" s="66">
        <v>0.49311198</v>
      </c>
      <c r="O683" s="10">
        <f t="shared" si="211"/>
        <v>0.49311198</v>
      </c>
      <c r="Q683" s="67">
        <v>7.3909012</v>
      </c>
      <c r="S683" s="68">
        <v>0.0092642442</v>
      </c>
      <c r="T683" s="68">
        <v>0.0083558651</v>
      </c>
      <c r="U683" s="68">
        <v>3.9148082E-4</v>
      </c>
      <c r="V683" s="68">
        <v>5.1689829E-4</v>
      </c>
      <c r="X683" s="69">
        <v>2.4446202E-5</v>
      </c>
      <c r="Y683" s="70"/>
      <c r="Z683" s="72"/>
    </row>
    <row r="684" ht="12.75" customHeight="1">
      <c r="A684" s="1" t="s">
        <v>1092</v>
      </c>
      <c r="B684" s="2" t="s">
        <v>1068</v>
      </c>
      <c r="C684" s="60" t="str">
        <f t="shared" si="208"/>
        <v>A.100.24.122</v>
      </c>
      <c r="D684" s="51" t="s">
        <v>1069</v>
      </c>
      <c r="E684" s="62" t="s">
        <v>45</v>
      </c>
      <c r="F684" s="63" t="str">
        <f t="shared" si="209"/>
        <v>Magnesium - CRM trade mix (93% prim 7% sec)</v>
      </c>
      <c r="G684" s="64">
        <v>4.26247417162468</v>
      </c>
      <c r="H684" s="10">
        <f t="shared" si="210"/>
        <v>4.262474172</v>
      </c>
      <c r="I684" s="65">
        <v>0.16689405989999997</v>
      </c>
      <c r="J684" s="65">
        <v>0.239166985544</v>
      </c>
      <c r="K684" s="65">
        <v>0.15744462618067995</v>
      </c>
      <c r="L684" s="65">
        <v>3.6989685</v>
      </c>
      <c r="N684" s="66">
        <v>24.65979</v>
      </c>
      <c r="O684" s="10">
        <f t="shared" si="211"/>
        <v>24.65979</v>
      </c>
      <c r="Q684" s="67">
        <v>365.38575</v>
      </c>
      <c r="S684" s="68">
        <v>0.45896516</v>
      </c>
      <c r="T684" s="68">
        <v>0.41266449</v>
      </c>
      <c r="U684" s="68">
        <v>0.019400195</v>
      </c>
      <c r="V684" s="68">
        <v>0.026900478</v>
      </c>
      <c r="X684" s="69">
        <v>0.0012054745</v>
      </c>
      <c r="Y684" s="70"/>
      <c r="Z684" s="72"/>
    </row>
    <row r="685" ht="12.75" customHeight="1">
      <c r="A685" s="1" t="s">
        <v>1093</v>
      </c>
      <c r="B685" s="2" t="s">
        <v>1068</v>
      </c>
      <c r="C685" s="60" t="str">
        <f t="shared" si="208"/>
        <v>A.100.24.123</v>
      </c>
      <c r="D685" s="51" t="s">
        <v>1069</v>
      </c>
      <c r="E685" s="62" t="s">
        <v>45</v>
      </c>
      <c r="F685" s="63" t="str">
        <f t="shared" si="209"/>
        <v>Manganese (EoL_RIR= 9%)</v>
      </c>
      <c r="G685" s="64">
        <v>3.027375753</v>
      </c>
      <c r="H685" s="10">
        <f t="shared" si="210"/>
        <v>3.027375753</v>
      </c>
      <c r="I685" s="65">
        <v>0.7045124899999999</v>
      </c>
      <c r="J685" s="65">
        <v>1.04536633</v>
      </c>
      <c r="K685" s="65">
        <v>0.530224203</v>
      </c>
      <c r="L685" s="65">
        <v>0.74727273</v>
      </c>
      <c r="N685" s="66">
        <v>4.9818182</v>
      </c>
      <c r="O685" s="10">
        <f t="shared" si="211"/>
        <v>4.9818182</v>
      </c>
      <c r="Q685" s="67">
        <v>7.1424762</v>
      </c>
      <c r="S685" s="68">
        <v>4.9808906</v>
      </c>
      <c r="T685" s="68">
        <v>4.9733148</v>
      </c>
      <c r="U685" s="68">
        <v>0.0074525386</v>
      </c>
      <c r="V685" s="68">
        <v>1.2332727E-4</v>
      </c>
      <c r="X685" s="69">
        <v>0.0011858256</v>
      </c>
      <c r="Y685" s="70"/>
      <c r="Z685" s="73"/>
    </row>
    <row r="686" ht="12.75" customHeight="1">
      <c r="A686" s="1" t="s">
        <v>1094</v>
      </c>
      <c r="B686" s="2" t="s">
        <v>1068</v>
      </c>
      <c r="C686" s="60" t="str">
        <f t="shared" si="208"/>
        <v>A.100.24.124</v>
      </c>
      <c r="D686" s="51" t="s">
        <v>1069</v>
      </c>
      <c r="E686" s="62" t="s">
        <v>45</v>
      </c>
      <c r="F686" s="63" t="str">
        <f t="shared" si="209"/>
        <v>Mercury (virgin)</v>
      </c>
      <c r="G686" s="64">
        <v>3598.9589538841</v>
      </c>
      <c r="H686" s="10">
        <f t="shared" si="210"/>
        <v>3598.958954</v>
      </c>
      <c r="I686" s="65">
        <v>3555.4521699141</v>
      </c>
      <c r="J686" s="65">
        <v>1.25623587</v>
      </c>
      <c r="K686" s="65">
        <v>40.5178246</v>
      </c>
      <c r="L686" s="65">
        <v>1.7327235</v>
      </c>
      <c r="N686" s="66">
        <v>11.551490000000001</v>
      </c>
      <c r="O686" s="10">
        <f t="shared" si="211"/>
        <v>11.55149</v>
      </c>
      <c r="Q686" s="67">
        <v>0.972</v>
      </c>
      <c r="S686" s="68">
        <v>15.458612</v>
      </c>
      <c r="T686" s="68">
        <v>14.856756</v>
      </c>
      <c r="U686" s="68">
        <v>0.58707669</v>
      </c>
      <c r="V686" s="68">
        <v>0.0147798</v>
      </c>
      <c r="X686" s="69">
        <v>2.6350562</v>
      </c>
      <c r="Y686" s="70"/>
      <c r="Z686" s="72"/>
    </row>
    <row r="687" ht="12.75" customHeight="1">
      <c r="A687" s="1" t="s">
        <v>1095</v>
      </c>
      <c r="B687" s="2" t="s">
        <v>1068</v>
      </c>
      <c r="C687" s="60" t="str">
        <f t="shared" si="208"/>
        <v>A.100.24.125</v>
      </c>
      <c r="D687" s="51" t="s">
        <v>1069</v>
      </c>
      <c r="E687" s="62" t="s">
        <v>45</v>
      </c>
      <c r="F687" s="63" t="str">
        <f t="shared" si="209"/>
        <v>Molybdenum (EoL-RIR = 9%)</v>
      </c>
      <c r="G687" s="64">
        <v>62.25477769204</v>
      </c>
      <c r="H687" s="10">
        <f t="shared" si="210"/>
        <v>62.25477769</v>
      </c>
      <c r="I687" s="65">
        <v>0.6314261920400001</v>
      </c>
      <c r="J687" s="65">
        <v>12.093337000000002</v>
      </c>
      <c r="K687" s="65">
        <v>47.2022054</v>
      </c>
      <c r="L687" s="65">
        <v>2.3278091</v>
      </c>
      <c r="N687" s="66">
        <v>15.518727333333334</v>
      </c>
      <c r="O687" s="10">
        <f t="shared" si="211"/>
        <v>15.51872733</v>
      </c>
      <c r="Q687" s="67">
        <v>42.572344</v>
      </c>
      <c r="S687" s="68">
        <v>5.5220817</v>
      </c>
      <c r="T687" s="68">
        <v>5.3969044</v>
      </c>
      <c r="U687" s="68">
        <v>0.081363624</v>
      </c>
      <c r="V687" s="68">
        <v>0.043813636</v>
      </c>
      <c r="X687" s="69">
        <v>0.02423686</v>
      </c>
      <c r="Y687" s="70"/>
      <c r="Z687" s="72"/>
    </row>
    <row r="688" ht="12.75" customHeight="1">
      <c r="A688" s="1" t="s">
        <v>1096</v>
      </c>
      <c r="B688" s="2" t="s">
        <v>1068</v>
      </c>
      <c r="C688" s="60" t="str">
        <f t="shared" si="208"/>
        <v>A.100.24.126</v>
      </c>
      <c r="D688" s="51" t="s">
        <v>1069</v>
      </c>
      <c r="E688" s="62" t="s">
        <v>45</v>
      </c>
      <c r="F688" s="63" t="str">
        <f t="shared" si="209"/>
        <v>Nickel (primary)</v>
      </c>
      <c r="G688" s="64">
        <v>30.123200646564538</v>
      </c>
      <c r="H688" s="10">
        <f t="shared" si="210"/>
        <v>30.12320065</v>
      </c>
      <c r="I688" s="65">
        <v>0.5691531224218</v>
      </c>
      <c r="J688" s="65">
        <v>14.061451282742741</v>
      </c>
      <c r="K688" s="65">
        <v>13.528270041399999</v>
      </c>
      <c r="L688" s="65">
        <v>1.9643262</v>
      </c>
      <c r="N688" s="66">
        <v>13.095508</v>
      </c>
      <c r="O688" s="10">
        <f t="shared" si="211"/>
        <v>13.095508</v>
      </c>
      <c r="Q688" s="67">
        <v>251.41445</v>
      </c>
      <c r="S688" s="68">
        <v>4.5680681</v>
      </c>
      <c r="T688" s="68">
        <v>4.4540398</v>
      </c>
      <c r="U688" s="68">
        <v>0.091309812</v>
      </c>
      <c r="V688" s="68">
        <v>0.022718512</v>
      </c>
      <c r="X688" s="69">
        <v>0.0047204991</v>
      </c>
      <c r="Y688" s="70"/>
      <c r="Z688" s="73"/>
    </row>
    <row r="689" ht="12.75" customHeight="1">
      <c r="A689" s="1" t="s">
        <v>1097</v>
      </c>
      <c r="B689" s="2" t="s">
        <v>1068</v>
      </c>
      <c r="C689" s="60" t="str">
        <f t="shared" si="208"/>
        <v>A.100.24.127</v>
      </c>
      <c r="D689" s="51" t="s">
        <v>1069</v>
      </c>
      <c r="E689" s="62" t="s">
        <v>45</v>
      </c>
      <c r="F689" s="63" t="str">
        <f t="shared" si="209"/>
        <v>Nickel (secondary)</v>
      </c>
      <c r="G689" s="64">
        <v>0.0957276162792419</v>
      </c>
      <c r="H689" s="10">
        <f t="shared" si="210"/>
        <v>0.09572761628</v>
      </c>
      <c r="I689" s="65">
        <v>0.004583568747</v>
      </c>
      <c r="J689" s="65">
        <v>0.006425324763999999</v>
      </c>
      <c r="K689" s="65">
        <v>0.0034193387682419016</v>
      </c>
      <c r="L689" s="65">
        <v>0.081299384</v>
      </c>
      <c r="N689" s="66">
        <v>0.5419958933333334</v>
      </c>
      <c r="O689" s="10">
        <f t="shared" si="211"/>
        <v>0.5419958933</v>
      </c>
      <c r="Q689" s="67">
        <v>8.1152057</v>
      </c>
      <c r="S689" s="68">
        <v>0.010171642</v>
      </c>
      <c r="T689" s="68">
        <v>0.009173889</v>
      </c>
      <c r="U689" s="68">
        <v>4.2993797E-4</v>
      </c>
      <c r="V689" s="68">
        <v>5.6781469E-4</v>
      </c>
      <c r="X689" s="69">
        <v>2.6835802E-5</v>
      </c>
      <c r="Y689" s="70"/>
      <c r="Z689" s="72"/>
    </row>
    <row r="690" ht="12.75" customHeight="1">
      <c r="A690" s="1" t="s">
        <v>1098</v>
      </c>
      <c r="B690" s="2" t="s">
        <v>1068</v>
      </c>
      <c r="C690" s="60" t="str">
        <f t="shared" si="208"/>
        <v>A.100.24.128</v>
      </c>
      <c r="D690" s="51" t="s">
        <v>1069</v>
      </c>
      <c r="E690" s="62" t="s">
        <v>45</v>
      </c>
      <c r="F690" s="63" t="str">
        <f t="shared" si="209"/>
        <v>Nickel trade mix (84% prim 16% sec)</v>
      </c>
      <c r="G690" s="64">
        <v>25.31880488187242</v>
      </c>
      <c r="H690" s="10">
        <f t="shared" si="210"/>
        <v>25.31880488</v>
      </c>
      <c r="I690" s="65">
        <v>0.47882199403079995</v>
      </c>
      <c r="J690" s="65">
        <v>11.812646839771501</v>
      </c>
      <c r="K690" s="65">
        <v>11.36429414807012</v>
      </c>
      <c r="L690" s="65">
        <v>1.6630419</v>
      </c>
      <c r="N690" s="66">
        <v>11.086946000000001</v>
      </c>
      <c r="O690" s="10">
        <f t="shared" si="211"/>
        <v>11.086946</v>
      </c>
      <c r="Q690" s="67">
        <v>212.48657</v>
      </c>
      <c r="S690" s="68">
        <v>3.8388047</v>
      </c>
      <c r="T690" s="68">
        <v>3.7428613</v>
      </c>
      <c r="U690" s="68">
        <v>0.076769032</v>
      </c>
      <c r="V690" s="68">
        <v>0.0191744</v>
      </c>
      <c r="X690" s="69">
        <v>0.0039695129</v>
      </c>
      <c r="Y690" s="70"/>
      <c r="Z690" s="72"/>
    </row>
    <row r="691" ht="12.75" customHeight="1">
      <c r="A691" s="1" t="s">
        <v>1099</v>
      </c>
      <c r="B691" s="2" t="s">
        <v>1068</v>
      </c>
      <c r="C691" s="60" t="str">
        <f t="shared" si="208"/>
        <v>A.100.24.129</v>
      </c>
      <c r="D691" s="51" t="s">
        <v>1069</v>
      </c>
      <c r="E691" s="62" t="s">
        <v>45</v>
      </c>
      <c r="F691" s="63" t="str">
        <f t="shared" si="209"/>
        <v>Palladium - CRM (primary)</v>
      </c>
      <c r="G691" s="64">
        <v>29749.958230976074</v>
      </c>
      <c r="H691" s="10">
        <f t="shared" si="210"/>
        <v>29749.95823</v>
      </c>
      <c r="I691" s="65">
        <v>682.6341593491001</v>
      </c>
      <c r="J691" s="65">
        <v>16204.56407162697</v>
      </c>
      <c r="K691" s="65">
        <v>9307.76</v>
      </c>
      <c r="L691" s="65">
        <v>3555.0</v>
      </c>
      <c r="N691" s="66">
        <v>23700.0</v>
      </c>
      <c r="O691" s="10">
        <f t="shared" si="211"/>
        <v>23700</v>
      </c>
      <c r="Q691" s="67">
        <v>363300.0</v>
      </c>
      <c r="S691" s="68">
        <v>5399.3669</v>
      </c>
      <c r="T691" s="68">
        <v>5254.7901</v>
      </c>
      <c r="U691" s="68">
        <v>111.58278</v>
      </c>
      <c r="V691" s="68">
        <v>32.99394</v>
      </c>
      <c r="X691" s="69">
        <v>6.3560565</v>
      </c>
      <c r="Y691" s="70"/>
      <c r="Z691" s="72"/>
    </row>
    <row r="692" ht="12.75" customHeight="1">
      <c r="A692" s="1" t="s">
        <v>1100</v>
      </c>
      <c r="B692" s="2" t="s">
        <v>1068</v>
      </c>
      <c r="C692" s="60" t="str">
        <f t="shared" si="208"/>
        <v>A.100.24.130</v>
      </c>
      <c r="D692" s="51" t="s">
        <v>1069</v>
      </c>
      <c r="E692" s="62" t="s">
        <v>45</v>
      </c>
      <c r="F692" s="63" t="str">
        <f t="shared" si="209"/>
        <v>Palladium - CRM (secondary)</v>
      </c>
      <c r="G692" s="64">
        <v>63.163329007520005</v>
      </c>
      <c r="H692" s="10">
        <f t="shared" si="210"/>
        <v>63.16332901</v>
      </c>
      <c r="I692" s="65">
        <v>3.8279055200000003</v>
      </c>
      <c r="J692" s="65">
        <v>12.334592599519999</v>
      </c>
      <c r="K692" s="65">
        <v>0.271654888</v>
      </c>
      <c r="L692" s="65">
        <v>46.729176</v>
      </c>
      <c r="N692" s="66">
        <v>311.52784</v>
      </c>
      <c r="O692" s="10">
        <f t="shared" si="211"/>
        <v>311.52784</v>
      </c>
      <c r="Q692" s="67">
        <v>4110.2966</v>
      </c>
      <c r="S692" s="68">
        <v>8.2650626</v>
      </c>
      <c r="T692" s="68">
        <v>7.6839327</v>
      </c>
      <c r="U692" s="68">
        <v>0.29066765</v>
      </c>
      <c r="V692" s="68">
        <v>0.29046224</v>
      </c>
      <c r="X692" s="69">
        <v>0.01753459</v>
      </c>
      <c r="Y692" s="70"/>
      <c r="Z692" s="73"/>
    </row>
    <row r="693" ht="12.75" customHeight="1">
      <c r="A693" s="1" t="s">
        <v>1101</v>
      </c>
      <c r="B693" s="2" t="s">
        <v>1068</v>
      </c>
      <c r="C693" s="60" t="str">
        <f t="shared" si="208"/>
        <v>A.100.24.131</v>
      </c>
      <c r="D693" s="51" t="s">
        <v>1069</v>
      </c>
      <c r="E693" s="62" t="s">
        <v>45</v>
      </c>
      <c r="F693" s="63" t="str">
        <f t="shared" si="209"/>
        <v>Palladium - CRM trade mix (67% prim 33% sec)</v>
      </c>
      <c r="G693" s="64">
        <v>19953.31609250704</v>
      </c>
      <c r="H693" s="10">
        <f t="shared" si="210"/>
        <v>19953.31609</v>
      </c>
      <c r="I693" s="65">
        <v>458.6280907919</v>
      </c>
      <c r="J693" s="65">
        <v>10861.12858305914</v>
      </c>
      <c r="K693" s="65">
        <v>6236.288818656</v>
      </c>
      <c r="L693" s="65">
        <v>2397.2706</v>
      </c>
      <c r="N693" s="66">
        <v>15981.804</v>
      </c>
      <c r="O693" s="10">
        <f t="shared" si="211"/>
        <v>15981.804</v>
      </c>
      <c r="Q693" s="67">
        <v>244767.4</v>
      </c>
      <c r="S693" s="68">
        <v>3620.3033</v>
      </c>
      <c r="T693" s="68">
        <v>3523.2451</v>
      </c>
      <c r="U693" s="68">
        <v>74.856383</v>
      </c>
      <c r="V693" s="68">
        <v>22.201792</v>
      </c>
      <c r="X693" s="69">
        <v>4.2643443</v>
      </c>
      <c r="Y693" s="70"/>
      <c r="Z693" s="72"/>
    </row>
    <row r="694" ht="12.75" customHeight="1">
      <c r="A694" s="1" t="s">
        <v>1102</v>
      </c>
      <c r="B694" s="2" t="s">
        <v>1068</v>
      </c>
      <c r="C694" s="60" t="str">
        <f t="shared" si="208"/>
        <v>A.100.24.132</v>
      </c>
      <c r="D694" s="51" t="s">
        <v>1069</v>
      </c>
      <c r="E694" s="62" t="s">
        <v>45</v>
      </c>
      <c r="F694" s="63" t="str">
        <f t="shared" si="209"/>
        <v>Platinum - CRM (primary)</v>
      </c>
      <c r="G694" s="64">
        <v>23667.792252713538</v>
      </c>
      <c r="H694" s="10">
        <f t="shared" si="210"/>
        <v>23667.79225</v>
      </c>
      <c r="I694" s="65">
        <v>393.0317887162</v>
      </c>
      <c r="J694" s="65">
        <v>8972.00046399734</v>
      </c>
      <c r="K694" s="65">
        <v>9307.76</v>
      </c>
      <c r="L694" s="65">
        <v>4995.0</v>
      </c>
      <c r="N694" s="66">
        <v>33300.0</v>
      </c>
      <c r="O694" s="10">
        <f t="shared" si="211"/>
        <v>33300</v>
      </c>
      <c r="Q694" s="67">
        <v>465150.0</v>
      </c>
      <c r="S694" s="68">
        <v>3323.6416</v>
      </c>
      <c r="T694" s="68">
        <v>3199.273</v>
      </c>
      <c r="U694" s="68">
        <v>76.662658</v>
      </c>
      <c r="V694" s="68">
        <v>47.70591</v>
      </c>
      <c r="X694" s="69">
        <v>6.6452906</v>
      </c>
      <c r="Y694" s="70"/>
      <c r="Z694" s="72"/>
    </row>
    <row r="695" ht="12.75" customHeight="1">
      <c r="A695" s="1" t="s">
        <v>1103</v>
      </c>
      <c r="B695" s="2" t="s">
        <v>1068</v>
      </c>
      <c r="C695" s="60" t="str">
        <f t="shared" si="208"/>
        <v>A.100.24.133</v>
      </c>
      <c r="D695" s="51" t="s">
        <v>1069</v>
      </c>
      <c r="E695" s="62" t="s">
        <v>45</v>
      </c>
      <c r="F695" s="63" t="str">
        <f t="shared" si="209"/>
        <v>Platinum - CRM (secondary)</v>
      </c>
      <c r="G695" s="64">
        <v>223.0396487126</v>
      </c>
      <c r="H695" s="10">
        <f t="shared" si="210"/>
        <v>223.0396487</v>
      </c>
      <c r="I695" s="65">
        <v>13.516936051000002</v>
      </c>
      <c r="J695" s="65">
        <v>43.5553865416</v>
      </c>
      <c r="K695" s="65">
        <v>0.95925612</v>
      </c>
      <c r="L695" s="65">
        <v>165.00807</v>
      </c>
      <c r="N695" s="66">
        <v>1100.0538000000001</v>
      </c>
      <c r="O695" s="10">
        <f t="shared" si="211"/>
        <v>1100.0538</v>
      </c>
      <c r="Q695" s="67">
        <v>14514.104</v>
      </c>
      <c r="S695" s="68">
        <v>29.185236</v>
      </c>
      <c r="T695" s="68">
        <v>27.133175</v>
      </c>
      <c r="U695" s="68">
        <v>1.0263932</v>
      </c>
      <c r="V695" s="68">
        <v>1.0256678</v>
      </c>
      <c r="X695" s="69">
        <v>0.061917395</v>
      </c>
      <c r="Y695" s="70"/>
      <c r="Z695" s="73"/>
    </row>
    <row r="696" ht="12.75" customHeight="1">
      <c r="A696" s="1" t="s">
        <v>1104</v>
      </c>
      <c r="B696" s="2" t="s">
        <v>1068</v>
      </c>
      <c r="C696" s="60" t="str">
        <f t="shared" si="208"/>
        <v>A.100.24.134</v>
      </c>
      <c r="D696" s="51" t="s">
        <v>1069</v>
      </c>
      <c r="E696" s="62" t="s">
        <v>45</v>
      </c>
      <c r="F696" s="63" t="str">
        <f t="shared" si="209"/>
        <v>Platinum - CRM trade mix (75% prim 25% sec)</v>
      </c>
      <c r="G696" s="64">
        <v>17806.6040208204</v>
      </c>
      <c r="H696" s="10">
        <f t="shared" si="210"/>
        <v>17806.60402</v>
      </c>
      <c r="I696" s="65">
        <v>298.153072305</v>
      </c>
      <c r="J696" s="65">
        <v>6739.889176875399</v>
      </c>
      <c r="K696" s="65">
        <v>6981.05977164</v>
      </c>
      <c r="L696" s="65">
        <v>3787.502</v>
      </c>
      <c r="N696" s="66">
        <v>25250.013333333332</v>
      </c>
      <c r="O696" s="10">
        <f t="shared" si="211"/>
        <v>25250.01333</v>
      </c>
      <c r="Q696" s="67">
        <v>352491.03</v>
      </c>
      <c r="S696" s="68">
        <v>2500.0275</v>
      </c>
      <c r="T696" s="68">
        <v>2406.2381</v>
      </c>
      <c r="U696" s="68">
        <v>57.753592</v>
      </c>
      <c r="V696" s="68">
        <v>36.035849</v>
      </c>
      <c r="X696" s="69">
        <v>4.9994473</v>
      </c>
      <c r="Y696" s="70"/>
      <c r="Z696" s="72"/>
    </row>
    <row r="697" ht="12.75" customHeight="1">
      <c r="A697" s="1" t="s">
        <v>1105</v>
      </c>
      <c r="B697" s="2" t="s">
        <v>1068</v>
      </c>
      <c r="C697" s="60" t="str">
        <f t="shared" si="208"/>
        <v>A.100.24.135</v>
      </c>
      <c r="D697" s="51" t="s">
        <v>1069</v>
      </c>
      <c r="E697" s="62" t="s">
        <v>45</v>
      </c>
      <c r="F697" s="63" t="str">
        <f t="shared" si="209"/>
        <v>Rhodium - CRM (primary)</v>
      </c>
      <c r="G697" s="64">
        <v>19366.907570901843</v>
      </c>
      <c r="H697" s="10">
        <f t="shared" si="210"/>
        <v>19366.90757</v>
      </c>
      <c r="I697" s="65">
        <v>206.85883616639998</v>
      </c>
      <c r="J697" s="65">
        <v>4617.288734735444</v>
      </c>
      <c r="K697" s="65">
        <v>9307.76</v>
      </c>
      <c r="L697" s="65">
        <v>5235.0</v>
      </c>
      <c r="N697" s="66">
        <v>34900.0</v>
      </c>
      <c r="O697" s="10">
        <f t="shared" si="211"/>
        <v>34900</v>
      </c>
      <c r="Q697" s="67">
        <v>481950.0</v>
      </c>
      <c r="S697" s="68">
        <v>2003.9557</v>
      </c>
      <c r="T697" s="68">
        <v>1906.4206</v>
      </c>
      <c r="U697" s="68">
        <v>52.628133</v>
      </c>
      <c r="V697" s="68">
        <v>44.90703</v>
      </c>
      <c r="X697" s="69">
        <v>2.8423241</v>
      </c>
      <c r="Y697" s="70"/>
      <c r="Z697" s="72"/>
    </row>
    <row r="698" ht="12.75" customHeight="1">
      <c r="A698" s="1" t="s">
        <v>1106</v>
      </c>
      <c r="B698" s="2" t="s">
        <v>1068</v>
      </c>
      <c r="C698" s="60" t="str">
        <f t="shared" si="208"/>
        <v>A.100.24.136</v>
      </c>
      <c r="D698" s="51" t="s">
        <v>1069</v>
      </c>
      <c r="E698" s="62" t="s">
        <v>45</v>
      </c>
      <c r="F698" s="63" t="str">
        <f t="shared" si="209"/>
        <v>Rhodium - CRM (secondary)</v>
      </c>
      <c r="G698" s="64">
        <v>629.7590089887</v>
      </c>
      <c r="H698" s="10">
        <f t="shared" si="210"/>
        <v>629.759009</v>
      </c>
      <c r="I698" s="65">
        <v>38.16546735</v>
      </c>
      <c r="J698" s="65">
        <v>122.97991375869998</v>
      </c>
      <c r="K698" s="65">
        <v>2.7084878800000003</v>
      </c>
      <c r="L698" s="65">
        <v>465.90514</v>
      </c>
      <c r="N698" s="66">
        <v>3106.034266666667</v>
      </c>
      <c r="O698" s="10">
        <f t="shared" si="211"/>
        <v>3106.034267</v>
      </c>
      <c r="Q698" s="67">
        <v>40980.999</v>
      </c>
      <c r="S698" s="68">
        <v>82.405372</v>
      </c>
      <c r="T698" s="68">
        <v>76.611318</v>
      </c>
      <c r="U698" s="68">
        <v>2.8980513</v>
      </c>
      <c r="V698" s="68">
        <v>2.8960033</v>
      </c>
      <c r="X698" s="69">
        <v>0.17482558</v>
      </c>
      <c r="Y698" s="70"/>
      <c r="Z698" s="72"/>
    </row>
    <row r="699" ht="12.75" customHeight="1">
      <c r="A699" s="1" t="s">
        <v>1107</v>
      </c>
      <c r="B699" s="2" t="s">
        <v>1068</v>
      </c>
      <c r="C699" s="60" t="str">
        <f t="shared" si="208"/>
        <v>A.100.24.137</v>
      </c>
      <c r="D699" s="51" t="s">
        <v>1069</v>
      </c>
      <c r="E699" s="62" t="s">
        <v>45</v>
      </c>
      <c r="F699" s="63" t="str">
        <f t="shared" si="209"/>
        <v>Rhodium - CRM trade mix (64% prim 36% sec)</v>
      </c>
      <c r="G699" s="64">
        <v>12621.5341726011</v>
      </c>
      <c r="H699" s="10">
        <f t="shared" si="210"/>
        <v>12621.53417</v>
      </c>
      <c r="I699" s="65">
        <v>146.129228214</v>
      </c>
      <c r="J699" s="65">
        <v>2999.3375956971004</v>
      </c>
      <c r="K699" s="65">
        <v>5957.94144869</v>
      </c>
      <c r="L699" s="65">
        <v>3518.1259</v>
      </c>
      <c r="N699" s="66">
        <v>23454.17266666667</v>
      </c>
      <c r="O699" s="10">
        <f t="shared" si="211"/>
        <v>23454.17267</v>
      </c>
      <c r="Q699" s="67">
        <v>323201.16</v>
      </c>
      <c r="S699" s="68">
        <v>1312.1976</v>
      </c>
      <c r="T699" s="68">
        <v>1247.6892</v>
      </c>
      <c r="U699" s="68">
        <v>34.725304</v>
      </c>
      <c r="V699" s="68">
        <v>29.78306</v>
      </c>
      <c r="X699" s="69">
        <v>1.8820247</v>
      </c>
      <c r="Y699" s="70"/>
      <c r="Z699" s="72"/>
    </row>
    <row r="700" ht="12.75" customHeight="1">
      <c r="A700" s="1" t="s">
        <v>1108</v>
      </c>
      <c r="B700" s="2" t="s">
        <v>1068</v>
      </c>
      <c r="C700" s="60" t="str">
        <f t="shared" si="208"/>
        <v>A.100.24.138</v>
      </c>
      <c r="D700" s="51" t="s">
        <v>1069</v>
      </c>
      <c r="E700" s="62" t="s">
        <v>45</v>
      </c>
      <c r="F700" s="63" t="str">
        <f t="shared" si="209"/>
        <v>Silicon (metallurgical) for steel</v>
      </c>
      <c r="G700" s="64">
        <v>2.0773995617830487</v>
      </c>
      <c r="H700" s="10">
        <f t="shared" si="210"/>
        <v>2.077399562</v>
      </c>
      <c r="I700" s="65">
        <v>0.02725440875</v>
      </c>
      <c r="J700" s="65">
        <v>0.039887656355</v>
      </c>
      <c r="K700" s="65">
        <v>1.1915323266780486</v>
      </c>
      <c r="L700" s="65">
        <v>0.81872517</v>
      </c>
      <c r="N700" s="66">
        <v>5.4581678</v>
      </c>
      <c r="O700" s="10">
        <f t="shared" si="211"/>
        <v>5.4581678</v>
      </c>
      <c r="Q700" s="67">
        <v>57.654745</v>
      </c>
      <c r="S700" s="68">
        <v>0.098787534</v>
      </c>
      <c r="T700" s="68">
        <v>0.089774023</v>
      </c>
      <c r="U700" s="68">
        <v>0.0042570078</v>
      </c>
      <c r="V700" s="68">
        <v>0.0047565026</v>
      </c>
      <c r="X700" s="69">
        <v>2.3439347E-4</v>
      </c>
      <c r="Y700" s="70"/>
      <c r="Z700" s="72"/>
    </row>
    <row r="701" ht="12.75" customHeight="1">
      <c r="A701" s="1" t="s">
        <v>1109</v>
      </c>
      <c r="B701" s="2" t="s">
        <v>1068</v>
      </c>
      <c r="C701" s="60" t="str">
        <f t="shared" si="208"/>
        <v>A.100.24.139</v>
      </c>
      <c r="D701" s="51" t="s">
        <v>1069</v>
      </c>
      <c r="E701" s="62" t="s">
        <v>45</v>
      </c>
      <c r="F701" s="63" t="str">
        <f t="shared" si="209"/>
        <v>Silver (primary)</v>
      </c>
      <c r="G701" s="64">
        <v>951.7440793000001</v>
      </c>
      <c r="H701" s="10">
        <f t="shared" si="210"/>
        <v>951.7440793</v>
      </c>
      <c r="I701" s="65">
        <v>32.6049703</v>
      </c>
      <c r="J701" s="65">
        <v>195.030931</v>
      </c>
      <c r="K701" s="65">
        <v>656.700143</v>
      </c>
      <c r="L701" s="65">
        <v>67.408035</v>
      </c>
      <c r="N701" s="66">
        <v>449.3869</v>
      </c>
      <c r="O701" s="10">
        <f t="shared" si="211"/>
        <v>449.3869</v>
      </c>
      <c r="Q701" s="67">
        <v>801.26</v>
      </c>
      <c r="S701" s="68">
        <v>100.184</v>
      </c>
      <c r="T701" s="68">
        <v>98.590653</v>
      </c>
      <c r="U701" s="68">
        <v>1.3405961</v>
      </c>
      <c r="V701" s="68">
        <v>0.252756</v>
      </c>
      <c r="X701" s="69">
        <v>1.4847883</v>
      </c>
      <c r="Y701" s="70"/>
      <c r="Z701" s="73"/>
    </row>
    <row r="702" ht="12.75" customHeight="1">
      <c r="A702" s="1" t="s">
        <v>1110</v>
      </c>
      <c r="B702" s="2" t="s">
        <v>1068</v>
      </c>
      <c r="C702" s="60" t="str">
        <f t="shared" si="208"/>
        <v>A.100.24.140</v>
      </c>
      <c r="D702" s="51" t="s">
        <v>1069</v>
      </c>
      <c r="E702" s="62" t="s">
        <v>45</v>
      </c>
      <c r="F702" s="63" t="str">
        <f t="shared" si="209"/>
        <v>Silver (secondary)</v>
      </c>
      <c r="G702" s="64">
        <v>3.3086788974059997</v>
      </c>
      <c r="H702" s="10">
        <f t="shared" si="210"/>
        <v>3.308678897</v>
      </c>
      <c r="I702" s="65">
        <v>0.2391587735</v>
      </c>
      <c r="J702" s="65">
        <v>0.9077148515960002</v>
      </c>
      <c r="K702" s="65">
        <v>0.0057109723099999996</v>
      </c>
      <c r="L702" s="65">
        <v>2.1560943</v>
      </c>
      <c r="N702" s="66">
        <v>14.373962</v>
      </c>
      <c r="O702" s="10">
        <f t="shared" si="211"/>
        <v>14.373962</v>
      </c>
      <c r="Q702" s="67">
        <v>171.27177</v>
      </c>
      <c r="S702" s="68">
        <v>0.47159259</v>
      </c>
      <c r="T702" s="68">
        <v>0.44435856</v>
      </c>
      <c r="U702" s="68">
        <v>0.015068684</v>
      </c>
      <c r="V702" s="68">
        <v>0.012165346</v>
      </c>
      <c r="X702" s="69">
        <v>8.9288291E-4</v>
      </c>
      <c r="Y702" s="70"/>
      <c r="Z702" s="73"/>
    </row>
    <row r="703" ht="12.75" customHeight="1">
      <c r="A703" s="1" t="s">
        <v>1111</v>
      </c>
      <c r="B703" s="2" t="s">
        <v>1068</v>
      </c>
      <c r="C703" s="60" t="str">
        <f t="shared" si="208"/>
        <v>A.100.24.141</v>
      </c>
      <c r="D703" s="51" t="s">
        <v>1069</v>
      </c>
      <c r="E703" s="62" t="s">
        <v>45</v>
      </c>
      <c r="F703" s="63" t="str">
        <f t="shared" si="209"/>
        <v>Silver trade mix (81% prim 19% sec)</v>
      </c>
      <c r="G703" s="64">
        <v>771.5413529626933</v>
      </c>
      <c r="H703" s="10">
        <f t="shared" si="210"/>
        <v>771.541353</v>
      </c>
      <c r="I703" s="65">
        <v>26.455465731</v>
      </c>
      <c r="J703" s="65">
        <v>158.1475190316933</v>
      </c>
      <c r="K703" s="65">
        <v>531.9282022</v>
      </c>
      <c r="L703" s="65">
        <v>55.010166</v>
      </c>
      <c r="N703" s="66">
        <v>366.73444</v>
      </c>
      <c r="O703" s="10">
        <f t="shared" si="211"/>
        <v>366.73444</v>
      </c>
      <c r="Q703" s="67">
        <v>681.56224</v>
      </c>
      <c r="S703" s="68">
        <v>81.238646</v>
      </c>
      <c r="T703" s="68">
        <v>79.942857</v>
      </c>
      <c r="U703" s="68">
        <v>1.0887459</v>
      </c>
      <c r="V703" s="68">
        <v>0.20704378</v>
      </c>
      <c r="X703" s="69">
        <v>1.2028482</v>
      </c>
      <c r="Y703" s="70"/>
      <c r="Z703" s="72"/>
    </row>
    <row r="704" ht="12.75" customHeight="1">
      <c r="A704" s="1" t="s">
        <v>1112</v>
      </c>
      <c r="B704" s="2" t="s">
        <v>1068</v>
      </c>
      <c r="C704" s="60" t="str">
        <f t="shared" si="208"/>
        <v>A.100.24.142</v>
      </c>
      <c r="D704" s="51" t="s">
        <v>1069</v>
      </c>
      <c r="E704" s="62" t="s">
        <v>45</v>
      </c>
      <c r="F704" s="63" t="str">
        <f t="shared" si="209"/>
        <v>Tantalum (EoL-RIR = 13%)</v>
      </c>
      <c r="G704" s="64">
        <v>646.11710958</v>
      </c>
      <c r="H704" s="10">
        <f t="shared" si="210"/>
        <v>646.1171096</v>
      </c>
      <c r="I704" s="65">
        <v>10.1539008</v>
      </c>
      <c r="J704" s="65">
        <v>26.8932863</v>
      </c>
      <c r="K704" s="65">
        <v>587.39491448</v>
      </c>
      <c r="L704" s="65">
        <v>21.675008</v>
      </c>
      <c r="N704" s="66">
        <v>144.50005333333334</v>
      </c>
      <c r="O704" s="10">
        <f t="shared" si="211"/>
        <v>144.5000533</v>
      </c>
      <c r="Q704" s="67">
        <v>109.92602</v>
      </c>
      <c r="S704" s="68">
        <v>38.710352</v>
      </c>
      <c r="T704" s="68">
        <v>38.378263</v>
      </c>
      <c r="U704" s="68">
        <v>0.25627692</v>
      </c>
      <c r="V704" s="68">
        <v>0.07581201</v>
      </c>
      <c r="X704" s="69">
        <v>0.018687913</v>
      </c>
      <c r="Y704" s="70"/>
      <c r="Z704" s="72"/>
    </row>
    <row r="705" ht="12.75" customHeight="1">
      <c r="A705" s="1" t="s">
        <v>1113</v>
      </c>
      <c r="B705" s="2" t="s">
        <v>1068</v>
      </c>
      <c r="C705" s="60" t="str">
        <f t="shared" si="208"/>
        <v>A.100.24.143</v>
      </c>
      <c r="D705" s="51" t="s">
        <v>1069</v>
      </c>
      <c r="E705" s="62" t="s">
        <v>45</v>
      </c>
      <c r="F705" s="63" t="str">
        <f t="shared" si="209"/>
        <v>Tellurium (EoL-RIR = 1%)</v>
      </c>
      <c r="G705" s="64">
        <v>125.182675281823</v>
      </c>
      <c r="H705" s="10">
        <f t="shared" si="210"/>
        <v>125.1826753</v>
      </c>
      <c r="I705" s="65">
        <v>0.7410361582</v>
      </c>
      <c r="J705" s="65">
        <v>2.8125647566230003</v>
      </c>
      <c r="K705" s="65">
        <v>114.948391767</v>
      </c>
      <c r="L705" s="65">
        <v>6.6806826</v>
      </c>
      <c r="N705" s="66">
        <v>44.537884</v>
      </c>
      <c r="O705" s="10">
        <f t="shared" si="211"/>
        <v>44.537884</v>
      </c>
      <c r="Q705" s="67">
        <v>530.68752</v>
      </c>
      <c r="S705" s="68">
        <v>1.4917744</v>
      </c>
      <c r="T705" s="68">
        <v>1.37685</v>
      </c>
      <c r="U705" s="68">
        <v>0.046690487</v>
      </c>
      <c r="V705" s="68">
        <v>0.068233869</v>
      </c>
      <c r="X705" s="69">
        <v>47.822645</v>
      </c>
      <c r="Y705" s="70"/>
      <c r="Z705" s="72"/>
    </row>
    <row r="706" ht="12.75" customHeight="1">
      <c r="A706" s="1" t="s">
        <v>1114</v>
      </c>
      <c r="B706" s="2" t="s">
        <v>1068</v>
      </c>
      <c r="C706" s="60" t="str">
        <f t="shared" si="208"/>
        <v>A.100.24.144</v>
      </c>
      <c r="D706" s="51" t="s">
        <v>1069</v>
      </c>
      <c r="E706" s="62" t="s">
        <v>45</v>
      </c>
      <c r="F706" s="63" t="str">
        <f t="shared" si="209"/>
        <v>Tin (virgin)</v>
      </c>
      <c r="G706" s="64">
        <v>27.112488175</v>
      </c>
      <c r="H706" s="10">
        <f t="shared" si="210"/>
        <v>27.11248818</v>
      </c>
      <c r="I706" s="65">
        <v>1.767420065</v>
      </c>
      <c r="J706" s="65">
        <v>3.20970139</v>
      </c>
      <c r="K706" s="65">
        <v>20.613345719999998</v>
      </c>
      <c r="L706" s="65">
        <v>1.522021</v>
      </c>
      <c r="N706" s="66">
        <v>10.146806666666668</v>
      </c>
      <c r="O706" s="10">
        <f t="shared" si="211"/>
        <v>10.14680667</v>
      </c>
      <c r="Q706" s="67">
        <v>15.32245</v>
      </c>
      <c r="S706" s="68">
        <v>2.6132559</v>
      </c>
      <c r="T706" s="68">
        <v>2.5791152</v>
      </c>
      <c r="U706" s="68">
        <v>0.025858265</v>
      </c>
      <c r="V706" s="68">
        <v>0.0082824</v>
      </c>
      <c r="X706" s="69">
        <v>0.021642628</v>
      </c>
      <c r="Y706" s="70"/>
      <c r="Z706" s="72"/>
    </row>
    <row r="707" ht="12.75" customHeight="1">
      <c r="A707" s="1" t="s">
        <v>1115</v>
      </c>
      <c r="B707" s="2" t="s">
        <v>1068</v>
      </c>
      <c r="C707" s="60" t="str">
        <f t="shared" si="208"/>
        <v>A.100.24.145</v>
      </c>
      <c r="D707" s="51" t="s">
        <v>1069</v>
      </c>
      <c r="E707" s="62" t="s">
        <v>45</v>
      </c>
      <c r="F707" s="63" t="str">
        <f t="shared" si="209"/>
        <v>Titanium (primary)</v>
      </c>
      <c r="G707" s="64">
        <v>20.61035958392</v>
      </c>
      <c r="H707" s="10">
        <f t="shared" si="210"/>
        <v>20.61035958</v>
      </c>
      <c r="I707" s="65">
        <v>0.23913495653</v>
      </c>
      <c r="J707" s="65">
        <v>0.6021715973899999</v>
      </c>
      <c r="K707" s="65">
        <v>15.60615473</v>
      </c>
      <c r="L707" s="65">
        <v>4.1628983</v>
      </c>
      <c r="N707" s="66">
        <v>27.752655333333337</v>
      </c>
      <c r="O707" s="10">
        <f t="shared" si="211"/>
        <v>27.75265533</v>
      </c>
      <c r="Q707" s="67">
        <v>436.63344</v>
      </c>
      <c r="S707" s="68">
        <v>0.60302223</v>
      </c>
      <c r="T707" s="68">
        <v>0.5658836</v>
      </c>
      <c r="U707" s="68">
        <v>0.02446724</v>
      </c>
      <c r="V707" s="68">
        <v>0.012671388</v>
      </c>
      <c r="X707" s="69">
        <v>0.0014591067</v>
      </c>
      <c r="Y707" s="70"/>
      <c r="Z707" s="72"/>
    </row>
    <row r="708" ht="12.75" customHeight="1">
      <c r="A708" s="1" t="s">
        <v>1116</v>
      </c>
      <c r="B708" s="2" t="s">
        <v>1068</v>
      </c>
      <c r="C708" s="60" t="str">
        <f t="shared" si="208"/>
        <v>A.100.24.146</v>
      </c>
      <c r="D708" s="51" t="s">
        <v>1069</v>
      </c>
      <c r="E708" s="62" t="s">
        <v>45</v>
      </c>
      <c r="F708" s="63" t="str">
        <f t="shared" si="209"/>
        <v>Titanium (secondary)</v>
      </c>
      <c r="G708" s="64">
        <v>3.543372097004442</v>
      </c>
      <c r="H708" s="10">
        <f t="shared" si="210"/>
        <v>3.543372097</v>
      </c>
      <c r="I708" s="65">
        <v>0.1130971321862</v>
      </c>
      <c r="J708" s="65">
        <v>0.23340968837999998</v>
      </c>
      <c r="K708" s="65">
        <v>0.563226076438242</v>
      </c>
      <c r="L708" s="65">
        <v>2.6336392</v>
      </c>
      <c r="N708" s="66">
        <v>17.55759466666667</v>
      </c>
      <c r="O708" s="10">
        <f t="shared" si="211"/>
        <v>17.55759467</v>
      </c>
      <c r="Q708" s="67">
        <v>335.04142</v>
      </c>
      <c r="S708" s="68">
        <v>0.33451391</v>
      </c>
      <c r="T708" s="68">
        <v>0.31417085</v>
      </c>
      <c r="U708" s="68">
        <v>0.014180984</v>
      </c>
      <c r="V708" s="68">
        <v>0.006162072</v>
      </c>
      <c r="X708" s="69">
        <v>8.8970337E-4</v>
      </c>
      <c r="Y708" s="70"/>
      <c r="Z708" s="48"/>
    </row>
    <row r="709" ht="12.75" customHeight="1">
      <c r="A709" s="1" t="s">
        <v>1117</v>
      </c>
      <c r="B709" s="2" t="s">
        <v>1068</v>
      </c>
      <c r="C709" s="60" t="str">
        <f t="shared" si="208"/>
        <v>A.100.24.147</v>
      </c>
      <c r="D709" s="51" t="s">
        <v>1069</v>
      </c>
      <c r="E709" s="62" t="s">
        <v>45</v>
      </c>
      <c r="F709" s="63" t="str">
        <f t="shared" si="209"/>
        <v>Titanium trade mix (99% prim, 1% sec)</v>
      </c>
      <c r="G709" s="64">
        <v>20.43968938727658</v>
      </c>
      <c r="H709" s="10">
        <f t="shared" si="210"/>
        <v>20.43968939</v>
      </c>
      <c r="I709" s="65">
        <v>0.23787457832000003</v>
      </c>
      <c r="J709" s="65">
        <v>0.5984839785022</v>
      </c>
      <c r="K709" s="65">
        <v>15.45572513045438</v>
      </c>
      <c r="L709" s="65">
        <v>4.1476057</v>
      </c>
      <c r="N709" s="66">
        <v>27.650704666666666</v>
      </c>
      <c r="O709" s="10">
        <f t="shared" si="211"/>
        <v>27.65070467</v>
      </c>
      <c r="Q709" s="67">
        <v>435.61752</v>
      </c>
      <c r="S709" s="68">
        <v>0.60033714</v>
      </c>
      <c r="T709" s="68">
        <v>0.56336647</v>
      </c>
      <c r="U709" s="68">
        <v>0.024364377</v>
      </c>
      <c r="V709" s="68">
        <v>0.012606295</v>
      </c>
      <c r="X709" s="69">
        <v>0.0014534127</v>
      </c>
      <c r="Y709" s="70"/>
      <c r="Z709" s="48"/>
    </row>
    <row r="710" ht="12.75" customHeight="1">
      <c r="A710" s="1" t="s">
        <v>1118</v>
      </c>
      <c r="B710" s="2" t="s">
        <v>1068</v>
      </c>
      <c r="C710" s="60" t="str">
        <f t="shared" si="208"/>
        <v>A.100.24.148</v>
      </c>
      <c r="D710" s="51" t="s">
        <v>1069</v>
      </c>
      <c r="E710" s="62" t="s">
        <v>45</v>
      </c>
      <c r="F710" s="63" t="str">
        <f t="shared" si="209"/>
        <v>Tungsten - CRM (EoL-RIR=42%)</v>
      </c>
      <c r="G710" s="64">
        <v>25.469167282527</v>
      </c>
      <c r="H710" s="10">
        <f t="shared" si="210"/>
        <v>25.46916728</v>
      </c>
      <c r="I710" s="65">
        <v>1.702697944527</v>
      </c>
      <c r="J710" s="65">
        <v>3.312755165</v>
      </c>
      <c r="K710" s="65">
        <v>20.201301782999998</v>
      </c>
      <c r="L710" s="65">
        <v>0.25241239</v>
      </c>
      <c r="N710" s="66">
        <v>1.6827492666666666</v>
      </c>
      <c r="O710" s="10">
        <f t="shared" si="211"/>
        <v>1.682749267</v>
      </c>
      <c r="Q710" s="67">
        <v>32.951961</v>
      </c>
      <c r="S710" s="68">
        <v>1.3106287</v>
      </c>
      <c r="T710" s="68">
        <v>1.2777181</v>
      </c>
      <c r="U710" s="68">
        <v>0.023987072</v>
      </c>
      <c r="V710" s="68">
        <v>0.0089234785</v>
      </c>
      <c r="X710" s="69">
        <v>0.0054104058</v>
      </c>
      <c r="Y710" s="70"/>
      <c r="Z710" s="48"/>
    </row>
    <row r="711" ht="12.75" customHeight="1">
      <c r="A711" s="1" t="s">
        <v>1119</v>
      </c>
      <c r="B711" s="2" t="s">
        <v>1068</v>
      </c>
      <c r="C711" s="60" t="str">
        <f t="shared" si="208"/>
        <v>A.100.24.149</v>
      </c>
      <c r="D711" s="51" t="s">
        <v>1069</v>
      </c>
      <c r="E711" s="62" t="s">
        <v>45</v>
      </c>
      <c r="F711" s="63" t="str">
        <f t="shared" si="209"/>
        <v>Vanadium (primary)</v>
      </c>
      <c r="G711" s="64">
        <v>34.89098358287001</v>
      </c>
      <c r="H711" s="10">
        <f t="shared" si="210"/>
        <v>34.89098358</v>
      </c>
      <c r="I711" s="65">
        <v>3.7866579875000004</v>
      </c>
      <c r="J711" s="65">
        <v>4.44446685537</v>
      </c>
      <c r="K711" s="65">
        <v>24.240170040000002</v>
      </c>
      <c r="L711" s="65">
        <v>2.4196887</v>
      </c>
      <c r="N711" s="66">
        <v>16.131258000000003</v>
      </c>
      <c r="O711" s="10">
        <f t="shared" si="211"/>
        <v>16.131258</v>
      </c>
      <c r="Q711" s="67">
        <v>309.09044</v>
      </c>
      <c r="S711" s="68">
        <v>1.7612453</v>
      </c>
      <c r="T711" s="68">
        <v>1.7062094</v>
      </c>
      <c r="U711" s="68">
        <v>0.038373339</v>
      </c>
      <c r="V711" s="68">
        <v>0.016662566</v>
      </c>
      <c r="X711" s="69">
        <v>0.0046548345</v>
      </c>
      <c r="Y711" s="70"/>
      <c r="Z711" s="48"/>
    </row>
    <row r="712" ht="12.75" customHeight="1">
      <c r="A712" s="1" t="s">
        <v>1120</v>
      </c>
      <c r="B712" s="2" t="s">
        <v>1068</v>
      </c>
      <c r="C712" s="60" t="str">
        <f t="shared" si="208"/>
        <v>A.100.24.150</v>
      </c>
      <c r="D712" s="51" t="s">
        <v>1069</v>
      </c>
      <c r="E712" s="62" t="s">
        <v>45</v>
      </c>
      <c r="F712" s="63" t="str">
        <f t="shared" si="209"/>
        <v>Vanadium trade mix (99% prim 1% sec)</v>
      </c>
      <c r="G712" s="64">
        <v>34.54207301601</v>
      </c>
      <c r="H712" s="10">
        <f t="shared" si="210"/>
        <v>34.54207302</v>
      </c>
      <c r="I712" s="65">
        <v>3.7487913656</v>
      </c>
      <c r="J712" s="65">
        <v>4.40002212041</v>
      </c>
      <c r="K712" s="65">
        <v>23.99776763</v>
      </c>
      <c r="L712" s="65">
        <v>2.3954919</v>
      </c>
      <c r="N712" s="66">
        <v>15.969946000000002</v>
      </c>
      <c r="O712" s="10">
        <f t="shared" si="211"/>
        <v>15.969946</v>
      </c>
      <c r="Q712" s="67">
        <v>305.99954</v>
      </c>
      <c r="S712" s="68">
        <v>1.7436328</v>
      </c>
      <c r="T712" s="68">
        <v>1.6891473</v>
      </c>
      <c r="U712" s="68">
        <v>0.037989606</v>
      </c>
      <c r="V712" s="68">
        <v>0.01649594</v>
      </c>
      <c r="X712" s="69">
        <v>0.0046082862</v>
      </c>
      <c r="Y712" s="70"/>
      <c r="Z712" s="48"/>
    </row>
    <row r="713" ht="12.75" customHeight="1">
      <c r="A713" s="1" t="s">
        <v>1121</v>
      </c>
      <c r="B713" s="2" t="s">
        <v>1068</v>
      </c>
      <c r="C713" s="60" t="str">
        <f t="shared" si="208"/>
        <v>A.100.24.151</v>
      </c>
      <c r="D713" s="51" t="s">
        <v>1069</v>
      </c>
      <c r="E713" s="62" t="s">
        <v>45</v>
      </c>
      <c r="F713" s="63" t="str">
        <f t="shared" si="209"/>
        <v>Zinc (primary)</v>
      </c>
      <c r="G713" s="64">
        <v>2.5304043891</v>
      </c>
      <c r="H713" s="10">
        <f t="shared" si="210"/>
        <v>2.530404389</v>
      </c>
      <c r="I713" s="65">
        <v>0.0</v>
      </c>
      <c r="J713" s="65">
        <v>0.3377043891</v>
      </c>
      <c r="K713" s="65">
        <v>1.62</v>
      </c>
      <c r="L713" s="65">
        <v>0.5727</v>
      </c>
      <c r="N713" s="66">
        <v>3.818</v>
      </c>
      <c r="O713" s="10">
        <f t="shared" si="211"/>
        <v>3.818</v>
      </c>
      <c r="Q713" s="67">
        <v>78.28485</v>
      </c>
      <c r="S713" s="68">
        <v>0.16990454</v>
      </c>
      <c r="T713" s="68">
        <v>0.15927905</v>
      </c>
      <c r="U713" s="68">
        <v>0.0047824815</v>
      </c>
      <c r="V713" s="68">
        <v>0.0058430083</v>
      </c>
      <c r="X713" s="69">
        <v>9.3141344E-4</v>
      </c>
      <c r="Y713" s="70"/>
      <c r="Z713" s="48"/>
    </row>
    <row r="714" ht="12.75" customHeight="1">
      <c r="A714" s="1" t="s">
        <v>1122</v>
      </c>
      <c r="B714" s="2" t="s">
        <v>1068</v>
      </c>
      <c r="C714" s="60" t="str">
        <f t="shared" si="208"/>
        <v>A.100.24.152</v>
      </c>
      <c r="D714" s="51" t="s">
        <v>1069</v>
      </c>
      <c r="E714" s="62" t="s">
        <v>45</v>
      </c>
      <c r="F714" s="63" t="str">
        <f t="shared" si="209"/>
        <v>Zinc (secondary)</v>
      </c>
      <c r="G714" s="64">
        <v>0.16221358798097027</v>
      </c>
      <c r="H714" s="10">
        <f t="shared" si="210"/>
        <v>0.162213588</v>
      </c>
      <c r="I714" s="65">
        <v>0.0074073905850000005</v>
      </c>
      <c r="J714" s="65">
        <v>0.01044347943</v>
      </c>
      <c r="K714" s="65">
        <v>0.004518867965970282</v>
      </c>
      <c r="L714" s="65">
        <v>0.13984385</v>
      </c>
      <c r="N714" s="66">
        <v>0.9322923333333333</v>
      </c>
      <c r="O714" s="10">
        <f t="shared" si="211"/>
        <v>0.9322923333</v>
      </c>
      <c r="Q714" s="67">
        <v>13.915069</v>
      </c>
      <c r="S714" s="68">
        <v>0.017438629</v>
      </c>
      <c r="T714" s="68">
        <v>0.015725938</v>
      </c>
      <c r="U714" s="68">
        <v>7.3769516E-4</v>
      </c>
      <c r="V714" s="68">
        <v>9.7499556E-4</v>
      </c>
      <c r="X714" s="69">
        <v>4.598299E-5</v>
      </c>
      <c r="Y714" s="70"/>
      <c r="Z714" s="48"/>
    </row>
    <row r="715" ht="12.75" customHeight="1">
      <c r="A715" s="1" t="s">
        <v>1123</v>
      </c>
      <c r="B715" s="2" t="s">
        <v>1068</v>
      </c>
      <c r="C715" s="60" t="str">
        <f t="shared" si="208"/>
        <v>A.100.24.153</v>
      </c>
      <c r="D715" s="51" t="s">
        <v>1069</v>
      </c>
      <c r="E715" s="62" t="s">
        <v>45</v>
      </c>
      <c r="F715" s="63" t="str">
        <f t="shared" si="209"/>
        <v>Zinc trade mix (86% prim 14% sec)</v>
      </c>
      <c r="G715" s="64">
        <v>2.1988576851542296</v>
      </c>
      <c r="H715" s="10">
        <f t="shared" si="210"/>
        <v>2.198857685</v>
      </c>
      <c r="I715" s="65">
        <v>0.001037034678</v>
      </c>
      <c r="J715" s="65">
        <v>0.2918878665826</v>
      </c>
      <c r="K715" s="65">
        <v>1.39383264389363</v>
      </c>
      <c r="L715" s="65">
        <v>0.51210014</v>
      </c>
      <c r="N715" s="66">
        <v>3.414000933333334</v>
      </c>
      <c r="O715" s="10">
        <f t="shared" si="211"/>
        <v>3.414000933</v>
      </c>
      <c r="Q715" s="67">
        <v>69.273081</v>
      </c>
      <c r="S715" s="68">
        <v>0.14855932</v>
      </c>
      <c r="T715" s="68">
        <v>0.13918162</v>
      </c>
      <c r="U715" s="68">
        <v>0.0042162114</v>
      </c>
      <c r="V715" s="68">
        <v>0.0051614865</v>
      </c>
      <c r="X715" s="69">
        <v>8.0745318E-4</v>
      </c>
      <c r="Y715" s="70"/>
      <c r="Z715" s="48"/>
    </row>
    <row r="716" ht="12.75" customHeight="1">
      <c r="A716" s="1" t="s">
        <v>1124</v>
      </c>
      <c r="B716" s="2" t="s">
        <v>1068</v>
      </c>
      <c r="C716" s="60" t="str">
        <f t="shared" si="208"/>
        <v>A.100.24.154</v>
      </c>
      <c r="D716" s="51" t="s">
        <v>1069</v>
      </c>
      <c r="E716" s="62" t="s">
        <v>45</v>
      </c>
      <c r="F716" s="63" t="str">
        <f t="shared" si="209"/>
        <v>Tungsten (primary)</v>
      </c>
      <c r="G716" s="64">
        <v>43.802062724</v>
      </c>
      <c r="H716" s="10">
        <f t="shared" si="210"/>
        <v>43.80206272</v>
      </c>
      <c r="I716" s="65">
        <v>2.92848512</v>
      </c>
      <c r="J716" s="65">
        <v>5.697616904</v>
      </c>
      <c r="K716" s="65">
        <v>34.7454607</v>
      </c>
      <c r="L716" s="65">
        <v>0.4305</v>
      </c>
      <c r="N716" s="66">
        <v>2.87</v>
      </c>
      <c r="O716" s="10">
        <f t="shared" si="211"/>
        <v>2.87</v>
      </c>
      <c r="Q716" s="67">
        <v>56.21302</v>
      </c>
      <c r="S716" s="68">
        <v>2.2538179</v>
      </c>
      <c r="T716" s="68">
        <v>2.1972399</v>
      </c>
      <c r="U716" s="68">
        <v>0.041238118</v>
      </c>
      <c r="V716" s="68">
        <v>0.015339884</v>
      </c>
      <c r="X716" s="69">
        <v>0.0093046655</v>
      </c>
      <c r="Y716" s="70"/>
      <c r="Z716" s="48"/>
    </row>
    <row r="717" ht="12.75" customHeight="1">
      <c r="A717" s="1" t="s">
        <v>1125</v>
      </c>
      <c r="B717" s="2" t="s">
        <v>1068</v>
      </c>
      <c r="C717" s="60" t="str">
        <f t="shared" si="208"/>
        <v>A.100.24.155</v>
      </c>
      <c r="D717" s="51" t="s">
        <v>1069</v>
      </c>
      <c r="E717" s="62" t="s">
        <v>45</v>
      </c>
      <c r="F717" s="63" t="str">
        <f t="shared" si="209"/>
        <v>Tungsten (secondary)</v>
      </c>
      <c r="G717" s="64">
        <v>0.0068126287229999995</v>
      </c>
      <c r="H717" s="10">
        <f t="shared" si="210"/>
        <v>0.006812628723</v>
      </c>
      <c r="I717" s="65">
        <v>2.15866787E-4</v>
      </c>
      <c r="J717" s="65">
        <v>4.4720063E-4</v>
      </c>
      <c r="K717" s="65">
        <v>0.001081063706</v>
      </c>
      <c r="L717" s="65">
        <v>0.0050684976</v>
      </c>
      <c r="N717" s="66">
        <v>0.033789984</v>
      </c>
      <c r="O717" s="10">
        <f t="shared" si="211"/>
        <v>0.033789984</v>
      </c>
      <c r="Q717" s="67">
        <v>0.64493491</v>
      </c>
      <c r="S717" s="68">
        <v>6.4360036E-4</v>
      </c>
      <c r="T717" s="68">
        <v>6.0451048E-4</v>
      </c>
      <c r="U717" s="68">
        <v>2.7286271E-5</v>
      </c>
      <c r="V717" s="68">
        <v>1.1803616E-5</v>
      </c>
      <c r="X717" s="69">
        <v>1.7117231E-6</v>
      </c>
      <c r="Y717" s="70"/>
      <c r="Z717" s="48"/>
    </row>
    <row r="718" ht="12.75" customHeight="1">
      <c r="B718" s="2"/>
      <c r="C718" s="60"/>
      <c r="D718" s="75" t="s">
        <v>1126</v>
      </c>
      <c r="E718" s="62"/>
      <c r="G718" s="10"/>
      <c r="H718" s="10"/>
      <c r="I718" s="10"/>
      <c r="J718" s="10"/>
      <c r="K718" s="10"/>
      <c r="L718" s="10"/>
      <c r="N718" s="10"/>
      <c r="O718" s="10"/>
      <c r="Q718" s="67"/>
      <c r="Y718" s="74"/>
      <c r="Z718" s="48"/>
    </row>
    <row r="719" ht="12.75" customHeight="1">
      <c r="A719" s="1" t="s">
        <v>1127</v>
      </c>
      <c r="B719" s="2" t="s">
        <v>1068</v>
      </c>
      <c r="C719" s="60" t="str">
        <f t="shared" ref="C719:C729" si="212">MID(A719,1,12)</f>
        <v>A.100.25.101</v>
      </c>
      <c r="D719" s="51" t="s">
        <v>1126</v>
      </c>
      <c r="E719" s="62" t="s">
        <v>45</v>
      </c>
      <c r="F719" s="63" t="str">
        <f t="shared" ref="F719:F729" si="213">MID(A719, 21,85)</f>
        <v>Arsenic (as co-product of Copper)</v>
      </c>
      <c r="G719" s="64">
        <v>2.146493753</v>
      </c>
      <c r="H719" s="10">
        <f t="shared" ref="H719:H729" si="214">G719</f>
        <v>2.146493753</v>
      </c>
      <c r="I719" s="65">
        <v>0.1469972263</v>
      </c>
      <c r="J719" s="65">
        <v>0.30518816470000004</v>
      </c>
      <c r="K719" s="65">
        <v>1.110716172</v>
      </c>
      <c r="L719" s="65">
        <v>0.58359219</v>
      </c>
      <c r="N719" s="66">
        <v>3.8906145999999997</v>
      </c>
      <c r="O719" s="10">
        <f t="shared" ref="O719:O729" si="215">N719</f>
        <v>3.8906146</v>
      </c>
      <c r="Q719" s="67">
        <v>57.44649</v>
      </c>
      <c r="S719" s="68">
        <v>0.17254742</v>
      </c>
      <c r="T719" s="68">
        <v>0.16552953</v>
      </c>
      <c r="U719" s="68">
        <v>0.0048824196</v>
      </c>
      <c r="V719" s="68">
        <v>0.0021354731</v>
      </c>
      <c r="X719" s="69">
        <v>0.0038488526</v>
      </c>
      <c r="Y719" s="70"/>
      <c r="Z719" s="48"/>
    </row>
    <row r="720" ht="12.75" customHeight="1">
      <c r="A720" s="1" t="s">
        <v>1128</v>
      </c>
      <c r="B720" s="2" t="s">
        <v>1068</v>
      </c>
      <c r="C720" s="60" t="str">
        <f t="shared" si="212"/>
        <v>A.100.25.102</v>
      </c>
      <c r="D720" s="51" t="s">
        <v>1126</v>
      </c>
      <c r="E720" s="62" t="s">
        <v>45</v>
      </c>
      <c r="F720" s="63" t="str">
        <f t="shared" si="213"/>
        <v>Barium</v>
      </c>
      <c r="G720" s="64">
        <v>0.766906238747445</v>
      </c>
      <c r="H720" s="10">
        <f t="shared" si="214"/>
        <v>0.7669062387</v>
      </c>
      <c r="I720" s="65">
        <v>0.03736876553</v>
      </c>
      <c r="J720" s="65">
        <v>0.114455341727</v>
      </c>
      <c r="K720" s="65">
        <v>0.14526845149044498</v>
      </c>
      <c r="L720" s="65">
        <v>0.46981368</v>
      </c>
      <c r="N720" s="66">
        <v>3.1320912</v>
      </c>
      <c r="O720" s="10">
        <f t="shared" si="215"/>
        <v>3.1320912</v>
      </c>
      <c r="Q720" s="67">
        <v>32.247058</v>
      </c>
      <c r="S720" s="68">
        <v>0.080413427</v>
      </c>
      <c r="T720" s="68">
        <v>0.076105392</v>
      </c>
      <c r="U720" s="68">
        <v>0.0029924493</v>
      </c>
      <c r="V720" s="68">
        <v>0.0013155857</v>
      </c>
      <c r="X720" s="69">
        <v>1.7181744E-4</v>
      </c>
      <c r="Y720" s="70"/>
      <c r="Z720" s="48"/>
    </row>
    <row r="721" ht="12.75" customHeight="1">
      <c r="A721" s="1" t="s">
        <v>1129</v>
      </c>
      <c r="B721" s="2" t="s">
        <v>1068</v>
      </c>
      <c r="C721" s="60" t="str">
        <f t="shared" si="212"/>
        <v>A.100.25.103</v>
      </c>
      <c r="D721" s="51" t="s">
        <v>1126</v>
      </c>
      <c r="E721" s="62" t="s">
        <v>45</v>
      </c>
      <c r="F721" s="63" t="str">
        <f t="shared" si="213"/>
        <v>Berylium</v>
      </c>
      <c r="G721" s="64">
        <v>373.43692489132656</v>
      </c>
      <c r="H721" s="10">
        <f t="shared" si="214"/>
        <v>373.4369249</v>
      </c>
      <c r="I721" s="65">
        <v>6.959015014</v>
      </c>
      <c r="J721" s="65">
        <v>8.847563537700001</v>
      </c>
      <c r="K721" s="65">
        <v>276.89405633962656</v>
      </c>
      <c r="L721" s="65">
        <v>80.73629</v>
      </c>
      <c r="N721" s="66">
        <v>538.2419333333333</v>
      </c>
      <c r="O721" s="10">
        <f t="shared" si="215"/>
        <v>538.2419333</v>
      </c>
      <c r="Q721" s="67">
        <v>8260.8934</v>
      </c>
      <c r="S721" s="68">
        <v>11.805854</v>
      </c>
      <c r="T721" s="68">
        <v>10.884895</v>
      </c>
      <c r="U721" s="68">
        <v>0.45138273</v>
      </c>
      <c r="V721" s="68">
        <v>0.46957643</v>
      </c>
      <c r="X721" s="69">
        <v>0.028294838</v>
      </c>
      <c r="Y721" s="70"/>
      <c r="Z721" s="73"/>
    </row>
    <row r="722" ht="12.75" customHeight="1">
      <c r="A722" s="1" t="s">
        <v>1130</v>
      </c>
      <c r="B722" s="2" t="s">
        <v>1068</v>
      </c>
      <c r="C722" s="60" t="str">
        <f t="shared" si="212"/>
        <v>A.100.25.104</v>
      </c>
      <c r="D722" s="51" t="s">
        <v>1126</v>
      </c>
      <c r="E722" s="62" t="s">
        <v>45</v>
      </c>
      <c r="F722" s="63" t="str">
        <f t="shared" si="213"/>
        <v>Bismuth (as co-product of Lead)</v>
      </c>
      <c r="G722" s="64">
        <v>26.168008457256</v>
      </c>
      <c r="H722" s="10">
        <f t="shared" si="214"/>
        <v>26.16800846</v>
      </c>
      <c r="I722" s="65">
        <v>0.07553628788</v>
      </c>
      <c r="J722" s="65">
        <v>0.367023767376</v>
      </c>
      <c r="K722" s="65">
        <v>25.441648402000002</v>
      </c>
      <c r="L722" s="65">
        <v>0.2838</v>
      </c>
      <c r="N722" s="66">
        <v>1.8920000000000001</v>
      </c>
      <c r="O722" s="10">
        <f t="shared" si="215"/>
        <v>1.892</v>
      </c>
      <c r="Q722" s="67">
        <v>30.966238</v>
      </c>
      <c r="S722" s="68">
        <v>0.14490644</v>
      </c>
      <c r="T722" s="68">
        <v>0.13423978</v>
      </c>
      <c r="U722" s="68">
        <v>0.0033912766</v>
      </c>
      <c r="V722" s="68">
        <v>0.0072753791</v>
      </c>
      <c r="X722" s="69">
        <v>0.041470858</v>
      </c>
      <c r="Y722" s="70"/>
      <c r="Z722" s="73"/>
    </row>
    <row r="723" ht="12.75" customHeight="1">
      <c r="A723" s="1" t="s">
        <v>1131</v>
      </c>
      <c r="B723" s="2" t="s">
        <v>1068</v>
      </c>
      <c r="C723" s="60" t="str">
        <f t="shared" si="212"/>
        <v>A.100.25.105</v>
      </c>
      <c r="D723" s="51" t="s">
        <v>1126</v>
      </c>
      <c r="E723" s="62" t="s">
        <v>45</v>
      </c>
      <c r="F723" s="63" t="str">
        <f t="shared" si="213"/>
        <v>Boron</v>
      </c>
      <c r="G723" s="64">
        <v>10.933945168181</v>
      </c>
      <c r="H723" s="10">
        <f t="shared" si="214"/>
        <v>10.93394517</v>
      </c>
      <c r="I723" s="65">
        <v>0.8923583531</v>
      </c>
      <c r="J723" s="65">
        <v>1.823943185081</v>
      </c>
      <c r="K723" s="65">
        <v>0.9209631300000001</v>
      </c>
      <c r="L723" s="65">
        <v>7.2966805</v>
      </c>
      <c r="N723" s="66">
        <v>48.64453666666667</v>
      </c>
      <c r="O723" s="10">
        <f t="shared" si="215"/>
        <v>48.64453667</v>
      </c>
      <c r="Q723" s="67">
        <v>316.75899</v>
      </c>
      <c r="S723" s="68">
        <v>1.2566848</v>
      </c>
      <c r="T723" s="68">
        <v>1.2023119</v>
      </c>
      <c r="U723" s="68">
        <v>0.048384927</v>
      </c>
      <c r="V723" s="68">
        <v>0.0059879695</v>
      </c>
      <c r="X723" s="69">
        <v>0.0076372052</v>
      </c>
      <c r="Y723" s="70"/>
      <c r="Z723" s="73"/>
    </row>
    <row r="724" ht="12.75" customHeight="1">
      <c r="A724" s="1" t="s">
        <v>1132</v>
      </c>
      <c r="B724" s="2" t="s">
        <v>1068</v>
      </c>
      <c r="C724" s="60" t="str">
        <f t="shared" si="212"/>
        <v>A.100.25.107</v>
      </c>
      <c r="D724" s="51" t="s">
        <v>1126</v>
      </c>
      <c r="E724" s="62" t="s">
        <v>45</v>
      </c>
      <c r="F724" s="63" t="str">
        <f t="shared" si="213"/>
        <v>Hafnium</v>
      </c>
      <c r="G724" s="64">
        <v>343.33034127682</v>
      </c>
      <c r="H724" s="10">
        <f t="shared" si="214"/>
        <v>343.3303413</v>
      </c>
      <c r="I724" s="65">
        <v>5.16170016</v>
      </c>
      <c r="J724" s="65">
        <v>19.59096845682</v>
      </c>
      <c r="K724" s="65">
        <v>272.04326266</v>
      </c>
      <c r="L724" s="65">
        <v>46.53441</v>
      </c>
      <c r="N724" s="66">
        <v>310.2294</v>
      </c>
      <c r="O724" s="10">
        <f t="shared" si="215"/>
        <v>310.2294</v>
      </c>
      <c r="Q724" s="67">
        <v>3696.5131</v>
      </c>
      <c r="S724" s="68">
        <v>10.337479</v>
      </c>
      <c r="T724" s="68">
        <v>9.5904726</v>
      </c>
      <c r="U724" s="68">
        <v>0.32522339</v>
      </c>
      <c r="V724" s="68">
        <v>0.42178343</v>
      </c>
      <c r="X724" s="69">
        <v>0.019270854</v>
      </c>
      <c r="Y724" s="70"/>
      <c r="Z724" s="73"/>
    </row>
    <row r="725" ht="12.75" customHeight="1">
      <c r="A725" s="1" t="s">
        <v>1133</v>
      </c>
      <c r="B725" s="2" t="s">
        <v>1068</v>
      </c>
      <c r="C725" s="60" t="str">
        <f t="shared" si="212"/>
        <v>A.100.25.108</v>
      </c>
      <c r="D725" s="51" t="s">
        <v>1126</v>
      </c>
      <c r="E725" s="62" t="s">
        <v>45</v>
      </c>
      <c r="F725" s="63" t="str">
        <f t="shared" si="213"/>
        <v>Niobium</v>
      </c>
      <c r="G725" s="64">
        <v>40.362543362219995</v>
      </c>
      <c r="H725" s="10">
        <f t="shared" si="214"/>
        <v>40.36254336</v>
      </c>
      <c r="I725" s="65">
        <v>0.0070228244200000005</v>
      </c>
      <c r="J725" s="65">
        <v>0.06229788780000001</v>
      </c>
      <c r="K725" s="65">
        <v>40.266222649999996</v>
      </c>
      <c r="L725" s="65">
        <v>0.027</v>
      </c>
      <c r="N725" s="66">
        <v>0.18</v>
      </c>
      <c r="O725" s="10">
        <f t="shared" si="215"/>
        <v>0.18</v>
      </c>
      <c r="Q725" s="67">
        <v>3.85378</v>
      </c>
      <c r="S725" s="68">
        <v>0.027203687</v>
      </c>
      <c r="T725" s="68">
        <v>0.018062697</v>
      </c>
      <c r="U725" s="68">
        <v>4.2699581E-4</v>
      </c>
      <c r="V725" s="68">
        <v>0.0087139944</v>
      </c>
      <c r="X725" s="69">
        <v>5.4338482E-5</v>
      </c>
      <c r="Y725" s="70"/>
      <c r="Z725" s="73"/>
    </row>
    <row r="726" ht="12.75" customHeight="1">
      <c r="A726" s="1" t="s">
        <v>1134</v>
      </c>
      <c r="B726" s="2" t="s">
        <v>1068</v>
      </c>
      <c r="C726" s="60" t="str">
        <f t="shared" si="212"/>
        <v>A.100.25.109</v>
      </c>
      <c r="D726" s="51" t="s">
        <v>1126</v>
      </c>
      <c r="E726" s="62" t="s">
        <v>45</v>
      </c>
      <c r="F726" s="63" t="str">
        <f t="shared" si="213"/>
        <v>Rhenium</v>
      </c>
      <c r="G726" s="64">
        <v>5923.3354537391</v>
      </c>
      <c r="H726" s="10">
        <f t="shared" si="214"/>
        <v>5923.335454</v>
      </c>
      <c r="I726" s="65">
        <v>13.293098404000002</v>
      </c>
      <c r="J726" s="65">
        <v>50.453272175100004</v>
      </c>
      <c r="K726" s="65">
        <v>5739.74746316</v>
      </c>
      <c r="L726" s="65">
        <v>119.84162</v>
      </c>
      <c r="N726" s="66">
        <v>798.9441333333334</v>
      </c>
      <c r="O726" s="10">
        <f t="shared" si="215"/>
        <v>798.9441333</v>
      </c>
      <c r="Q726" s="67">
        <v>9519.7533</v>
      </c>
      <c r="S726" s="68">
        <v>27.083485</v>
      </c>
      <c r="T726" s="68">
        <v>24.698664</v>
      </c>
      <c r="U726" s="68">
        <v>0.83755864</v>
      </c>
      <c r="V726" s="68">
        <v>1.5472632</v>
      </c>
      <c r="X726" s="69">
        <v>0.7651999</v>
      </c>
      <c r="Y726" s="70"/>
      <c r="Z726" s="73"/>
    </row>
    <row r="727" ht="12.75" customHeight="1">
      <c r="A727" s="1" t="s">
        <v>1135</v>
      </c>
      <c r="B727" s="2" t="s">
        <v>1068</v>
      </c>
      <c r="C727" s="60" t="str">
        <f t="shared" si="212"/>
        <v>A.100.25.110</v>
      </c>
      <c r="D727" s="51" t="s">
        <v>1126</v>
      </c>
      <c r="E727" s="62" t="s">
        <v>45</v>
      </c>
      <c r="F727" s="63" t="str">
        <f t="shared" si="213"/>
        <v>Strontium</v>
      </c>
      <c r="G727" s="64">
        <v>1.4783536766188998</v>
      </c>
      <c r="H727" s="10">
        <f t="shared" si="214"/>
        <v>1.478353677</v>
      </c>
      <c r="I727" s="65">
        <v>0.07174763194</v>
      </c>
      <c r="J727" s="65">
        <v>0.27231445377889996</v>
      </c>
      <c r="K727" s="65">
        <v>0.4117132909</v>
      </c>
      <c r="L727" s="65">
        <v>0.7225783</v>
      </c>
      <c r="N727" s="66">
        <v>4.817188666666667</v>
      </c>
      <c r="O727" s="10">
        <f t="shared" si="215"/>
        <v>4.817188667</v>
      </c>
      <c r="Q727" s="67">
        <v>51.381532</v>
      </c>
      <c r="S727" s="68">
        <v>0.14982128</v>
      </c>
      <c r="T727" s="68">
        <v>0.14112448</v>
      </c>
      <c r="U727" s="68">
        <v>0.0049029612</v>
      </c>
      <c r="V727" s="68">
        <v>0.0037938319</v>
      </c>
      <c r="X727" s="69">
        <v>2.827846E-4</v>
      </c>
      <c r="Y727" s="70"/>
      <c r="Z727" s="73"/>
    </row>
    <row r="728" ht="12.75" customHeight="1">
      <c r="A728" s="1" t="s">
        <v>1136</v>
      </c>
      <c r="B728" s="2" t="s">
        <v>1068</v>
      </c>
      <c r="C728" s="60" t="str">
        <f t="shared" si="212"/>
        <v>A.100.25.111</v>
      </c>
      <c r="D728" s="51" t="s">
        <v>1126</v>
      </c>
      <c r="E728" s="62" t="s">
        <v>45</v>
      </c>
      <c r="F728" s="63" t="str">
        <f t="shared" si="213"/>
        <v>Thallium</v>
      </c>
      <c r="G728" s="64">
        <v>3453.3950542000002</v>
      </c>
      <c r="H728" s="10">
        <f t="shared" si="214"/>
        <v>3453.395054</v>
      </c>
      <c r="I728" s="65">
        <v>39.1541798</v>
      </c>
      <c r="J728" s="65">
        <v>65.0405155</v>
      </c>
      <c r="K728" s="65">
        <v>3295.5273699</v>
      </c>
      <c r="L728" s="65">
        <v>53.672989</v>
      </c>
      <c r="N728" s="66">
        <v>357.8199266666667</v>
      </c>
      <c r="O728" s="10">
        <f t="shared" si="215"/>
        <v>357.8199267</v>
      </c>
      <c r="Q728" s="67">
        <v>824.52574</v>
      </c>
      <c r="S728" s="68">
        <v>33.216565</v>
      </c>
      <c r="T728" s="68">
        <v>30.497475</v>
      </c>
      <c r="U728" s="68">
        <v>0.73416913</v>
      </c>
      <c r="V728" s="68">
        <v>1.9849206</v>
      </c>
      <c r="X728" s="69">
        <v>0.054949305</v>
      </c>
      <c r="Y728" s="70"/>
      <c r="Z728" s="73"/>
    </row>
    <row r="729" ht="12.75" customHeight="1">
      <c r="A729" s="1" t="s">
        <v>1137</v>
      </c>
      <c r="B729" s="2" t="s">
        <v>1068</v>
      </c>
      <c r="C729" s="60" t="str">
        <f t="shared" si="212"/>
        <v>A.100.25.112</v>
      </c>
      <c r="D729" s="51" t="s">
        <v>1126</v>
      </c>
      <c r="E729" s="62" t="s">
        <v>45</v>
      </c>
      <c r="F729" s="63" t="str">
        <f t="shared" si="213"/>
        <v>Thorium</v>
      </c>
      <c r="G729" s="64">
        <v>153.51250831557002</v>
      </c>
      <c r="H729" s="10">
        <f t="shared" si="214"/>
        <v>153.5125083</v>
      </c>
      <c r="I729" s="65">
        <v>1.8513297616000002</v>
      </c>
      <c r="J729" s="65">
        <v>7.026627281970001</v>
      </c>
      <c r="K729" s="65">
        <v>127.944209272</v>
      </c>
      <c r="L729" s="65">
        <v>16.690342</v>
      </c>
      <c r="N729" s="66">
        <v>111.26894666666668</v>
      </c>
      <c r="O729" s="10">
        <f t="shared" si="215"/>
        <v>111.2689467</v>
      </c>
      <c r="Q729" s="67">
        <v>1325.816</v>
      </c>
      <c r="S729" s="68">
        <v>3.6506016</v>
      </c>
      <c r="T729" s="68">
        <v>3.4397828</v>
      </c>
      <c r="U729" s="68">
        <v>0.11664679</v>
      </c>
      <c r="V729" s="68">
        <v>0.094172033</v>
      </c>
      <c r="X729" s="69">
        <v>0.0069118131</v>
      </c>
      <c r="Y729" s="77"/>
      <c r="Z729" s="73"/>
    </row>
    <row r="730" ht="12.75" customHeight="1">
      <c r="B730" s="2"/>
      <c r="C730" s="60"/>
      <c r="D730" s="75" t="s">
        <v>1138</v>
      </c>
      <c r="E730" s="62"/>
      <c r="G730" s="10"/>
      <c r="H730" s="10"/>
      <c r="I730" s="10"/>
      <c r="J730" s="10"/>
      <c r="K730" s="10"/>
      <c r="L730" s="10"/>
      <c r="N730" s="10"/>
      <c r="O730" s="10"/>
      <c r="Q730" s="67"/>
      <c r="Y730" s="71"/>
      <c r="Z730" s="73"/>
    </row>
    <row r="731" ht="12.75" customHeight="1">
      <c r="A731" s="1" t="s">
        <v>1139</v>
      </c>
      <c r="B731" s="2" t="s">
        <v>1068</v>
      </c>
      <c r="C731" s="60" t="str">
        <f t="shared" ref="C731:C744" si="216">MID(A731,1,12)</f>
        <v>A.100.26.101</v>
      </c>
      <c r="D731" s="51" t="s">
        <v>1138</v>
      </c>
      <c r="E731" s="62" t="s">
        <v>45</v>
      </c>
      <c r="F731" s="63" t="str">
        <f t="shared" ref="F731:F744" si="217">MID(A731, 21,85)</f>
        <v>Cerium</v>
      </c>
      <c r="G731" s="64">
        <v>118.54893196818787</v>
      </c>
      <c r="H731" s="10">
        <f t="shared" ref="H731:H744" si="218">G731</f>
        <v>118.548932</v>
      </c>
      <c r="I731" s="65">
        <v>0.43143301980000004</v>
      </c>
      <c r="J731" s="65">
        <v>1.6351899842479998</v>
      </c>
      <c r="K731" s="65">
        <v>112.58882206413988</v>
      </c>
      <c r="L731" s="65">
        <v>3.8934869</v>
      </c>
      <c r="N731" s="66">
        <v>25.956579333333334</v>
      </c>
      <c r="O731" s="10">
        <f t="shared" ref="O731:O744" si="219">N731</f>
        <v>25.95657933</v>
      </c>
      <c r="Q731" s="67">
        <v>309.70502</v>
      </c>
      <c r="S731" s="68">
        <v>0.85043125</v>
      </c>
      <c r="T731" s="68">
        <v>0.80124746</v>
      </c>
      <c r="U731" s="68">
        <v>0.027192107</v>
      </c>
      <c r="V731" s="68">
        <v>0.021991686</v>
      </c>
      <c r="X731" s="69">
        <v>0.0016113199</v>
      </c>
      <c r="Y731" s="70"/>
      <c r="Z731" s="73"/>
    </row>
    <row r="732" ht="12.75" customHeight="1">
      <c r="A732" s="1" t="s">
        <v>1140</v>
      </c>
      <c r="B732" s="2" t="s">
        <v>1068</v>
      </c>
      <c r="C732" s="60" t="str">
        <f t="shared" si="216"/>
        <v>A.100.26.102</v>
      </c>
      <c r="D732" s="51" t="s">
        <v>1138</v>
      </c>
      <c r="E732" s="62" t="s">
        <v>45</v>
      </c>
      <c r="F732" s="63" t="str">
        <f t="shared" si="217"/>
        <v>Dysprosium</v>
      </c>
      <c r="G732" s="64">
        <v>1306.5843864612616</v>
      </c>
      <c r="H732" s="10">
        <f t="shared" si="218"/>
        <v>1306.584386</v>
      </c>
      <c r="I732" s="65">
        <v>2.0152275659</v>
      </c>
      <c r="J732" s="65">
        <v>7.646378138659999</v>
      </c>
      <c r="K732" s="65">
        <v>1278.7508297567015</v>
      </c>
      <c r="L732" s="65">
        <v>18.171951</v>
      </c>
      <c r="N732" s="66">
        <v>121.14634000000001</v>
      </c>
      <c r="O732" s="10">
        <f t="shared" si="219"/>
        <v>121.14634</v>
      </c>
      <c r="Q732" s="67">
        <v>1443.9351</v>
      </c>
      <c r="S732" s="68">
        <v>3.9734823</v>
      </c>
      <c r="T732" s="68">
        <v>3.7439445</v>
      </c>
      <c r="U732" s="68">
        <v>0.12698239</v>
      </c>
      <c r="V732" s="68">
        <v>0.1025554</v>
      </c>
      <c r="X732" s="69">
        <v>0.0075243145</v>
      </c>
      <c r="Y732" s="70"/>
      <c r="Z732" s="73"/>
    </row>
    <row r="733" ht="12.75" customHeight="1">
      <c r="A733" s="1" t="s">
        <v>1141</v>
      </c>
      <c r="B733" s="2" t="s">
        <v>1068</v>
      </c>
      <c r="C733" s="60" t="str">
        <f t="shared" si="216"/>
        <v>A.100.26.103</v>
      </c>
      <c r="D733" s="51" t="s">
        <v>1138</v>
      </c>
      <c r="E733" s="62" t="s">
        <v>45</v>
      </c>
      <c r="F733" s="63" t="str">
        <f t="shared" si="217"/>
        <v>Erbium</v>
      </c>
      <c r="G733" s="64">
        <v>213.78284406464124</v>
      </c>
      <c r="H733" s="10">
        <f t="shared" si="218"/>
        <v>213.7828441</v>
      </c>
      <c r="I733" s="65">
        <v>1.6435851831000001</v>
      </c>
      <c r="J733" s="65">
        <v>6.235828435839999</v>
      </c>
      <c r="K733" s="65">
        <v>191.08195644570125</v>
      </c>
      <c r="L733" s="65">
        <v>14.821474</v>
      </c>
      <c r="N733" s="66">
        <v>98.80982666666667</v>
      </c>
      <c r="O733" s="10">
        <f t="shared" si="219"/>
        <v>98.80982667</v>
      </c>
      <c r="Q733" s="67">
        <v>1177.7861</v>
      </c>
      <c r="S733" s="68">
        <v>3.2406478</v>
      </c>
      <c r="T733" s="68">
        <v>3.0534305</v>
      </c>
      <c r="U733" s="68">
        <v>0.1035663</v>
      </c>
      <c r="V733" s="68">
        <v>0.083650978</v>
      </c>
      <c r="X733" s="69">
        <v>0.0061368129</v>
      </c>
      <c r="Y733" s="70"/>
      <c r="Z733" s="73"/>
    </row>
    <row r="734" ht="12.75" customHeight="1">
      <c r="A734" s="1" t="s">
        <v>1142</v>
      </c>
      <c r="B734" s="2" t="s">
        <v>1068</v>
      </c>
      <c r="C734" s="60" t="str">
        <f t="shared" si="216"/>
        <v>A.100.26.104</v>
      </c>
      <c r="D734" s="51" t="s">
        <v>1138</v>
      </c>
      <c r="E734" s="62" t="s">
        <v>45</v>
      </c>
      <c r="F734" s="63" t="str">
        <f t="shared" si="217"/>
        <v>Eutropium</v>
      </c>
      <c r="G734" s="64">
        <v>1747.770438081921</v>
      </c>
      <c r="H734" s="10">
        <f t="shared" si="218"/>
        <v>1747.770438</v>
      </c>
      <c r="I734" s="65">
        <v>13.336556494000002</v>
      </c>
      <c r="J734" s="65">
        <v>50.61590040522</v>
      </c>
      <c r="K734" s="65">
        <v>1563.580561182701</v>
      </c>
      <c r="L734" s="65">
        <v>120.23742</v>
      </c>
      <c r="N734" s="66">
        <v>801.5828</v>
      </c>
      <c r="O734" s="10">
        <f t="shared" si="219"/>
        <v>801.5828</v>
      </c>
      <c r="Q734" s="67">
        <v>9551.6204</v>
      </c>
      <c r="S734" s="68">
        <v>26.297793</v>
      </c>
      <c r="T734" s="68">
        <v>24.779048</v>
      </c>
      <c r="U734" s="68">
        <v>0.84030569</v>
      </c>
      <c r="V734" s="68">
        <v>0.67844014</v>
      </c>
      <c r="X734" s="69">
        <v>0.049791721</v>
      </c>
      <c r="Y734" s="70"/>
      <c r="Z734" s="73"/>
    </row>
    <row r="735" ht="12.75" customHeight="1">
      <c r="A735" s="1" t="s">
        <v>1143</v>
      </c>
      <c r="B735" s="2" t="s">
        <v>1068</v>
      </c>
      <c r="C735" s="60" t="str">
        <f t="shared" si="216"/>
        <v>A.100.26.105</v>
      </c>
      <c r="D735" s="51" t="s">
        <v>1138</v>
      </c>
      <c r="E735" s="62" t="s">
        <v>45</v>
      </c>
      <c r="F735" s="63" t="str">
        <f t="shared" si="217"/>
        <v>Gadolinium</v>
      </c>
      <c r="G735" s="64">
        <v>66.81600265065123</v>
      </c>
      <c r="H735" s="10">
        <f t="shared" si="218"/>
        <v>66.81600265</v>
      </c>
      <c r="I735" s="65">
        <v>1.574762515</v>
      </c>
      <c r="J735" s="65">
        <v>5.97461552495</v>
      </c>
      <c r="K735" s="65">
        <v>45.06560961070122</v>
      </c>
      <c r="L735" s="65">
        <v>14.201015</v>
      </c>
      <c r="N735" s="66">
        <v>94.67343333333334</v>
      </c>
      <c r="O735" s="10">
        <f t="shared" si="219"/>
        <v>94.67343333</v>
      </c>
      <c r="Q735" s="67">
        <v>1128.4993</v>
      </c>
      <c r="S735" s="68">
        <v>3.1049377</v>
      </c>
      <c r="T735" s="68">
        <v>2.9255575</v>
      </c>
      <c r="U735" s="68">
        <v>0.09922999</v>
      </c>
      <c r="V735" s="68">
        <v>0.080150159</v>
      </c>
      <c r="X735" s="69">
        <v>0.0058798682</v>
      </c>
      <c r="Y735" s="70"/>
      <c r="Z735" s="48"/>
    </row>
    <row r="736" ht="12.75" customHeight="1">
      <c r="A736" s="1" t="s">
        <v>1144</v>
      </c>
      <c r="B736" s="2" t="s">
        <v>1068</v>
      </c>
      <c r="C736" s="60" t="str">
        <f t="shared" si="216"/>
        <v>A.100.26.106</v>
      </c>
      <c r="D736" s="51" t="s">
        <v>1138</v>
      </c>
      <c r="E736" s="62" t="s">
        <v>45</v>
      </c>
      <c r="F736" s="63" t="str">
        <f t="shared" si="217"/>
        <v>Lanthanum</v>
      </c>
      <c r="G736" s="64">
        <v>119.55659695448323</v>
      </c>
      <c r="H736" s="10">
        <f t="shared" si="218"/>
        <v>119.556597</v>
      </c>
      <c r="I736" s="65">
        <v>0.37208637889999996</v>
      </c>
      <c r="J736" s="65">
        <v>1.409919963882</v>
      </c>
      <c r="K736" s="65">
        <v>114.41609331170123</v>
      </c>
      <c r="L736" s="65">
        <v>3.3584973</v>
      </c>
      <c r="N736" s="66">
        <v>22.389982</v>
      </c>
      <c r="O736" s="10">
        <f t="shared" si="219"/>
        <v>22.389982</v>
      </c>
      <c r="Q736" s="67">
        <v>267.21174</v>
      </c>
      <c r="S736" s="68">
        <v>0.73340372</v>
      </c>
      <c r="T736" s="68">
        <v>0.69097744</v>
      </c>
      <c r="U736" s="68">
        <v>0.023452939</v>
      </c>
      <c r="V736" s="68">
        <v>0.018973345</v>
      </c>
      <c r="X736" s="69">
        <v>0.0013897592</v>
      </c>
      <c r="Y736" s="70"/>
      <c r="Z736" s="72"/>
    </row>
    <row r="737" ht="12.75" customHeight="1">
      <c r="A737" s="1" t="s">
        <v>1145</v>
      </c>
      <c r="B737" s="2" t="s">
        <v>1068</v>
      </c>
      <c r="C737" s="60" t="str">
        <f t="shared" si="216"/>
        <v>A.100.26.107</v>
      </c>
      <c r="D737" s="51" t="s">
        <v>1138</v>
      </c>
      <c r="E737" s="62" t="s">
        <v>45</v>
      </c>
      <c r="F737" s="63" t="str">
        <f t="shared" si="217"/>
        <v>Mischmetal: Cerium 67%, lanthanum 20%, Neodimium 11%, rest 2%</v>
      </c>
      <c r="G737" s="64">
        <v>130.03313274817512</v>
      </c>
      <c r="H737" s="10">
        <f t="shared" si="218"/>
        <v>130.0331327</v>
      </c>
      <c r="I737" s="65">
        <v>0.4418037012</v>
      </c>
      <c r="J737" s="65">
        <v>1.6745438443699998</v>
      </c>
      <c r="K737" s="65">
        <v>123.92979020260512</v>
      </c>
      <c r="L737" s="65">
        <v>3.986995</v>
      </c>
      <c r="N737" s="66">
        <v>26.579966666666667</v>
      </c>
      <c r="O737" s="10">
        <f t="shared" si="219"/>
        <v>26.57996667</v>
      </c>
      <c r="Q737" s="67">
        <v>317.13433</v>
      </c>
      <c r="S737" s="68">
        <v>0.87087999</v>
      </c>
      <c r="T737" s="68">
        <v>0.82051506</v>
      </c>
      <c r="U737" s="68">
        <v>0.027845561</v>
      </c>
      <c r="V737" s="68">
        <v>0.022519365</v>
      </c>
      <c r="X737" s="69">
        <v>0.00165004</v>
      </c>
      <c r="Y737" s="70"/>
      <c r="Z737" s="72"/>
    </row>
    <row r="738" ht="12.75" customHeight="1">
      <c r="A738" s="1" t="s">
        <v>1146</v>
      </c>
      <c r="B738" s="2" t="s">
        <v>1068</v>
      </c>
      <c r="C738" s="60" t="str">
        <f t="shared" si="216"/>
        <v>A.100.26.108</v>
      </c>
      <c r="D738" s="51" t="s">
        <v>1138</v>
      </c>
      <c r="E738" s="62" t="s">
        <v>45</v>
      </c>
      <c r="F738" s="63" t="str">
        <f t="shared" si="217"/>
        <v>Neodymium</v>
      </c>
      <c r="G738" s="64">
        <v>222.59743874385725</v>
      </c>
      <c r="H738" s="10">
        <f t="shared" si="218"/>
        <v>222.5974387</v>
      </c>
      <c r="I738" s="65">
        <v>0.5940394819000001</v>
      </c>
      <c r="J738" s="65">
        <v>2.2523315562560002</v>
      </c>
      <c r="K738" s="65">
        <v>214.39159070570125</v>
      </c>
      <c r="L738" s="65">
        <v>5.359477</v>
      </c>
      <c r="N738" s="66">
        <v>35.72984666666667</v>
      </c>
      <c r="O738" s="10">
        <f t="shared" si="219"/>
        <v>35.72984667</v>
      </c>
      <c r="Q738" s="67">
        <v>426.1618</v>
      </c>
      <c r="S738" s="68">
        <v>1.1710688</v>
      </c>
      <c r="T738" s="68">
        <v>1.1033678</v>
      </c>
      <c r="U738" s="68">
        <v>0.037437545</v>
      </c>
      <c r="V738" s="68">
        <v>0.030263487</v>
      </c>
      <c r="X738" s="69">
        <v>0.0022184059</v>
      </c>
      <c r="Y738" s="70"/>
      <c r="Z738" s="72"/>
    </row>
    <row r="739" ht="12.75" customHeight="1">
      <c r="A739" s="1" t="s">
        <v>1147</v>
      </c>
      <c r="B739" s="2" t="s">
        <v>1068</v>
      </c>
      <c r="C739" s="60" t="str">
        <f t="shared" si="216"/>
        <v>A.100.26.109</v>
      </c>
      <c r="D739" s="51" t="s">
        <v>1138</v>
      </c>
      <c r="E739" s="62" t="s">
        <v>45</v>
      </c>
      <c r="F739" s="63" t="str">
        <f t="shared" si="217"/>
        <v>Praseodymium</v>
      </c>
      <c r="G739" s="64">
        <v>110.41545249687023</v>
      </c>
      <c r="H739" s="10">
        <f t="shared" si="218"/>
        <v>110.4154525</v>
      </c>
      <c r="I739" s="65">
        <v>0.6490976242</v>
      </c>
      <c r="J739" s="65">
        <v>2.461301898969</v>
      </c>
      <c r="K739" s="65">
        <v>101.44920897370123</v>
      </c>
      <c r="L739" s="65">
        <v>5.855844</v>
      </c>
      <c r="N739" s="66">
        <v>39.03896</v>
      </c>
      <c r="O739" s="10">
        <f t="shared" si="219"/>
        <v>39.03896</v>
      </c>
      <c r="Q739" s="67">
        <v>465.59128</v>
      </c>
      <c r="S739" s="68">
        <v>1.2796369</v>
      </c>
      <c r="T739" s="68">
        <v>1.2056661</v>
      </c>
      <c r="U739" s="68">
        <v>0.040906594</v>
      </c>
      <c r="V739" s="68">
        <v>0.033064142</v>
      </c>
      <c r="X739" s="69">
        <v>0.0024239617</v>
      </c>
      <c r="Y739" s="70"/>
      <c r="Z739" s="72"/>
    </row>
    <row r="740" ht="12.75" customHeight="1">
      <c r="A740" s="1" t="s">
        <v>1148</v>
      </c>
      <c r="B740" s="2" t="s">
        <v>1068</v>
      </c>
      <c r="C740" s="60" t="str">
        <f t="shared" si="216"/>
        <v>A.100.26.110</v>
      </c>
      <c r="D740" s="51" t="s">
        <v>1138</v>
      </c>
      <c r="E740" s="62" t="s">
        <v>45</v>
      </c>
      <c r="F740" s="63" t="str">
        <f t="shared" si="217"/>
        <v>Samarium</v>
      </c>
      <c r="G740" s="64">
        <v>146.59494926723124</v>
      </c>
      <c r="H740" s="10">
        <f t="shared" si="218"/>
        <v>146.5949493</v>
      </c>
      <c r="I740" s="65">
        <v>1.9980219061000002</v>
      </c>
      <c r="J740" s="65">
        <v>7.58107481343</v>
      </c>
      <c r="K740" s="65">
        <v>118.99901654770123</v>
      </c>
      <c r="L740" s="65">
        <v>18.016836</v>
      </c>
      <c r="N740" s="66">
        <v>120.11224000000001</v>
      </c>
      <c r="O740" s="10">
        <f t="shared" si="219"/>
        <v>120.11224</v>
      </c>
      <c r="Q740" s="67">
        <v>1431.6134</v>
      </c>
      <c r="S740" s="68">
        <v>3.9395548</v>
      </c>
      <c r="T740" s="68">
        <v>3.7119763</v>
      </c>
      <c r="U740" s="68">
        <v>0.12589831</v>
      </c>
      <c r="V740" s="68">
        <v>0.1016802</v>
      </c>
      <c r="X740" s="69">
        <v>0.0074600783</v>
      </c>
      <c r="Y740" s="70"/>
      <c r="Z740" s="72"/>
    </row>
    <row r="741" ht="12.75" customHeight="1">
      <c r="A741" s="1" t="s">
        <v>1149</v>
      </c>
      <c r="B741" s="2" t="s">
        <v>1068</v>
      </c>
      <c r="C741" s="60" t="str">
        <f t="shared" si="216"/>
        <v>A.100.26.111</v>
      </c>
      <c r="D741" s="51" t="s">
        <v>1138</v>
      </c>
      <c r="E741" s="62" t="s">
        <v>45</v>
      </c>
      <c r="F741" s="63" t="str">
        <f t="shared" si="217"/>
        <v>Scandium</v>
      </c>
      <c r="G741" s="64">
        <v>3540.290079053381</v>
      </c>
      <c r="H741" s="10">
        <f t="shared" si="218"/>
        <v>3540.290079</v>
      </c>
      <c r="I741" s="65">
        <v>0.14713948967999999</v>
      </c>
      <c r="J741" s="65">
        <v>0.556145565</v>
      </c>
      <c r="K741" s="65">
        <v>3538.2562661987013</v>
      </c>
      <c r="L741" s="65">
        <v>1.3305278</v>
      </c>
      <c r="N741" s="66">
        <v>8.870185333333334</v>
      </c>
      <c r="O741" s="10">
        <f t="shared" si="219"/>
        <v>8.870185333</v>
      </c>
      <c r="Q741" s="67">
        <v>106.1177</v>
      </c>
      <c r="S741" s="68">
        <v>0.28983526</v>
      </c>
      <c r="T741" s="68">
        <v>0.27302464</v>
      </c>
      <c r="U741" s="68">
        <v>0.0092797037</v>
      </c>
      <c r="V741" s="68">
        <v>0.0075309181</v>
      </c>
      <c r="X741" s="69">
        <v>5.4993536E-4</v>
      </c>
      <c r="Y741" s="70"/>
      <c r="Z741" s="72"/>
    </row>
    <row r="742" ht="12.75" customHeight="1">
      <c r="A742" s="1" t="s">
        <v>1150</v>
      </c>
      <c r="B742" s="2" t="s">
        <v>1068</v>
      </c>
      <c r="C742" s="60" t="str">
        <f t="shared" si="216"/>
        <v>A.100.26.112</v>
      </c>
      <c r="D742" s="51" t="s">
        <v>1138</v>
      </c>
      <c r="E742" s="62" t="s">
        <v>45</v>
      </c>
      <c r="F742" s="63" t="str">
        <f t="shared" si="217"/>
        <v>Terbium</v>
      </c>
      <c r="G742" s="64">
        <v>1576.4012497439212</v>
      </c>
      <c r="H742" s="10">
        <f t="shared" si="218"/>
        <v>1576.40125</v>
      </c>
      <c r="I742" s="65">
        <v>10.015862774</v>
      </c>
      <c r="J742" s="65">
        <v>38.012379097220006</v>
      </c>
      <c r="K742" s="65">
        <v>1438.0727218727013</v>
      </c>
      <c r="L742" s="65">
        <v>90.300286</v>
      </c>
      <c r="N742" s="66">
        <v>602.0019066666667</v>
      </c>
      <c r="O742" s="10">
        <f t="shared" si="219"/>
        <v>602.0019067</v>
      </c>
      <c r="Q742" s="67">
        <v>7173.5303</v>
      </c>
      <c r="S742" s="68">
        <v>19.749781</v>
      </c>
      <c r="T742" s="68">
        <v>18.609177</v>
      </c>
      <c r="U742" s="68">
        <v>0.63107864</v>
      </c>
      <c r="V742" s="68">
        <v>0.50952562</v>
      </c>
      <c r="X742" s="69">
        <v>0.037394138</v>
      </c>
      <c r="Y742" s="70"/>
      <c r="Z742" s="72"/>
    </row>
    <row r="743" ht="12.75" customHeight="1">
      <c r="A743" s="1" t="s">
        <v>1151</v>
      </c>
      <c r="B743" s="2" t="s">
        <v>1068</v>
      </c>
      <c r="C743" s="60" t="str">
        <f t="shared" si="216"/>
        <v>A.100.26.113</v>
      </c>
      <c r="D743" s="51" t="s">
        <v>1138</v>
      </c>
      <c r="E743" s="62" t="s">
        <v>45</v>
      </c>
      <c r="F743" s="63" t="str">
        <f t="shared" si="217"/>
        <v>Ytterbium</v>
      </c>
      <c r="G743" s="64">
        <v>124.76209486186124</v>
      </c>
      <c r="H743" s="10">
        <f t="shared" si="218"/>
        <v>124.7620949</v>
      </c>
      <c r="I743" s="65">
        <v>4.217552945</v>
      </c>
      <c r="J743" s="65">
        <v>16.00519142716</v>
      </c>
      <c r="K743" s="65">
        <v>66.51271748970123</v>
      </c>
      <c r="L743" s="65">
        <v>38.026633</v>
      </c>
      <c r="N743" s="66">
        <v>253.51088666666666</v>
      </c>
      <c r="O743" s="10">
        <f t="shared" si="219"/>
        <v>253.5108867</v>
      </c>
      <c r="Q743" s="67">
        <v>3021.114</v>
      </c>
      <c r="S743" s="68">
        <v>8.3162054</v>
      </c>
      <c r="T743" s="68">
        <v>7.8358794</v>
      </c>
      <c r="U743" s="68">
        <v>0.26574436</v>
      </c>
      <c r="V743" s="68">
        <v>0.21458161</v>
      </c>
      <c r="X743" s="69">
        <v>0.015746545</v>
      </c>
      <c r="Y743" s="70"/>
      <c r="Z743" s="72"/>
    </row>
    <row r="744" ht="12.75" customHeight="1">
      <c r="A744" s="1" t="s">
        <v>1152</v>
      </c>
      <c r="B744" s="2" t="s">
        <v>1068</v>
      </c>
      <c r="C744" s="60" t="str">
        <f t="shared" si="216"/>
        <v>A.100.26.114</v>
      </c>
      <c r="D744" s="51" t="s">
        <v>1138</v>
      </c>
      <c r="E744" s="62" t="s">
        <v>45</v>
      </c>
      <c r="F744" s="63" t="str">
        <f t="shared" si="217"/>
        <v>Yttrium</v>
      </c>
      <c r="G744" s="64">
        <v>116.10017132856524</v>
      </c>
      <c r="H744" s="10">
        <f t="shared" si="218"/>
        <v>116.1001713</v>
      </c>
      <c r="I744" s="65">
        <v>0.5097317111999999</v>
      </c>
      <c r="J744" s="65">
        <v>1.9323457346639998</v>
      </c>
      <c r="K744" s="65">
        <v>109.05867898270124</v>
      </c>
      <c r="L744" s="65">
        <v>4.5994149</v>
      </c>
      <c r="N744" s="66">
        <v>30.662766</v>
      </c>
      <c r="O744" s="10">
        <f t="shared" si="219"/>
        <v>30.662766</v>
      </c>
      <c r="Q744" s="67">
        <v>365.78542</v>
      </c>
      <c r="S744" s="68">
        <v>1.0048239</v>
      </c>
      <c r="T744" s="68">
        <v>0.94672337</v>
      </c>
      <c r="U744" s="68">
        <v>0.032125563</v>
      </c>
      <c r="V744" s="68">
        <v>0.025974983</v>
      </c>
      <c r="X744" s="69">
        <v>0.0019041145</v>
      </c>
      <c r="Y744" s="70"/>
      <c r="Z744" s="72"/>
    </row>
    <row r="745" ht="12.75" customHeight="1">
      <c r="B745" s="2"/>
      <c r="C745" s="60"/>
      <c r="D745" s="75" t="s">
        <v>1153</v>
      </c>
      <c r="E745" s="62"/>
      <c r="G745" s="10"/>
      <c r="H745" s="10"/>
      <c r="I745" s="10"/>
      <c r="J745" s="10"/>
      <c r="K745" s="10"/>
      <c r="L745" s="10"/>
      <c r="N745" s="10"/>
      <c r="O745" s="10"/>
      <c r="Q745" s="67"/>
      <c r="Y745" s="71"/>
      <c r="Z745" s="72"/>
    </row>
    <row r="746" ht="12.75" customHeight="1">
      <c r="A746" s="1" t="s">
        <v>1154</v>
      </c>
      <c r="B746" s="2" t="s">
        <v>1068</v>
      </c>
      <c r="C746" s="60" t="str">
        <f t="shared" ref="C746:C766" si="220">MID(A746,1,12)</f>
        <v>A.100.28.100</v>
      </c>
      <c r="D746" s="51" t="s">
        <v>1153</v>
      </c>
      <c r="E746" s="62" t="s">
        <v>45</v>
      </c>
      <c r="F746" s="63" t="str">
        <f t="shared" ref="F746:F766" si="221">MID(A746, 21,85)</f>
        <v>Al99</v>
      </c>
      <c r="G746" s="64">
        <v>2.12622543315179</v>
      </c>
      <c r="H746" s="10">
        <f t="shared" ref="H746:H766" si="222">G746</f>
        <v>2.126225433</v>
      </c>
      <c r="I746" s="65">
        <v>0.081656757206</v>
      </c>
      <c r="J746" s="65">
        <v>0.20307406342099998</v>
      </c>
      <c r="K746" s="65">
        <v>0.67290201252479</v>
      </c>
      <c r="L746" s="65">
        <v>1.1685926</v>
      </c>
      <c r="N746" s="66">
        <v>7.7906173333333335</v>
      </c>
      <c r="O746" s="10">
        <f t="shared" ref="O746:O766" si="223">N746</f>
        <v>7.790617333</v>
      </c>
      <c r="Q746" s="67">
        <v>79.645888</v>
      </c>
      <c r="S746" s="68">
        <v>0.17898278</v>
      </c>
      <c r="T746" s="68">
        <v>0.17015273</v>
      </c>
      <c r="U746" s="68">
        <v>0.0072333247</v>
      </c>
      <c r="V746" s="68">
        <v>0.0015967296</v>
      </c>
      <c r="X746" s="69">
        <v>3.8168656E-4</v>
      </c>
      <c r="Y746" s="70"/>
      <c r="Z746" s="72"/>
    </row>
    <row r="747" ht="12.75" customHeight="1">
      <c r="A747" s="1" t="s">
        <v>1155</v>
      </c>
      <c r="B747" s="2" t="s">
        <v>1068</v>
      </c>
      <c r="C747" s="60" t="str">
        <f t="shared" si="220"/>
        <v>A.100.28.101</v>
      </c>
      <c r="D747" s="51" t="s">
        <v>1153</v>
      </c>
      <c r="E747" s="62" t="s">
        <v>45</v>
      </c>
      <c r="F747" s="63" t="str">
        <f t="shared" si="221"/>
        <v>AlCuMg1 (2017)</v>
      </c>
      <c r="G747" s="64">
        <v>2.2556472513798704</v>
      </c>
      <c r="H747" s="10">
        <f t="shared" si="222"/>
        <v>2.255647251</v>
      </c>
      <c r="I747" s="65">
        <v>0.0891573177</v>
      </c>
      <c r="J747" s="65">
        <v>0.211629695672</v>
      </c>
      <c r="K747" s="65">
        <v>0.76051693800787</v>
      </c>
      <c r="L747" s="65">
        <v>1.1943433</v>
      </c>
      <c r="N747" s="66">
        <v>7.962288666666668</v>
      </c>
      <c r="O747" s="10">
        <f t="shared" si="223"/>
        <v>7.962288667</v>
      </c>
      <c r="Q747" s="67">
        <v>83.894143</v>
      </c>
      <c r="S747" s="68">
        <v>0.21717376</v>
      </c>
      <c r="T747" s="68">
        <v>0.20767455</v>
      </c>
      <c r="U747" s="68">
        <v>0.0073784114</v>
      </c>
      <c r="V747" s="68">
        <v>0.0021207995</v>
      </c>
      <c r="X747" s="69">
        <v>4.4460199E-4</v>
      </c>
      <c r="Y747" s="70"/>
      <c r="Z747" s="73" t="s">
        <v>1156</v>
      </c>
    </row>
    <row r="748" ht="12.75" customHeight="1">
      <c r="A748" s="1" t="s">
        <v>1157</v>
      </c>
      <c r="B748" s="2" t="s">
        <v>1068</v>
      </c>
      <c r="C748" s="60" t="str">
        <f t="shared" si="220"/>
        <v>A.100.28.102</v>
      </c>
      <c r="D748" s="51" t="s">
        <v>1153</v>
      </c>
      <c r="E748" s="62" t="s">
        <v>45</v>
      </c>
      <c r="F748" s="63" t="str">
        <f t="shared" si="221"/>
        <v>AlCuMg2 (2024)</v>
      </c>
      <c r="G748" s="64">
        <v>2.27896468630693</v>
      </c>
      <c r="H748" s="10">
        <f t="shared" si="222"/>
        <v>2.278964686</v>
      </c>
      <c r="I748" s="65">
        <v>0.0896101494</v>
      </c>
      <c r="J748" s="65">
        <v>0.211938001794</v>
      </c>
      <c r="K748" s="65">
        <v>0.7625771351129301</v>
      </c>
      <c r="L748" s="65">
        <v>1.2148394</v>
      </c>
      <c r="N748" s="66">
        <v>8.098929333333334</v>
      </c>
      <c r="O748" s="10">
        <f t="shared" si="223"/>
        <v>8.098929333</v>
      </c>
      <c r="Q748" s="67">
        <v>86.353543</v>
      </c>
      <c r="S748" s="68">
        <v>0.21490143</v>
      </c>
      <c r="T748" s="68">
        <v>0.20509589</v>
      </c>
      <c r="U748" s="68">
        <v>0.0074803913</v>
      </c>
      <c r="V748" s="68">
        <v>0.0023251442</v>
      </c>
      <c r="X748" s="69">
        <v>4.5530984E-4</v>
      </c>
      <c r="Y748" s="70"/>
      <c r="Z748" s="73" t="s">
        <v>1158</v>
      </c>
    </row>
    <row r="749" ht="12.75" customHeight="1">
      <c r="A749" s="1" t="s">
        <v>1159</v>
      </c>
      <c r="B749" s="2" t="s">
        <v>1068</v>
      </c>
      <c r="C749" s="60" t="str">
        <f t="shared" si="220"/>
        <v>A.100.28.103</v>
      </c>
      <c r="D749" s="51" t="s">
        <v>1153</v>
      </c>
      <c r="E749" s="62" t="s">
        <v>45</v>
      </c>
      <c r="F749" s="63" t="str">
        <f t="shared" si="221"/>
        <v>AlCuMgPb (2011)</v>
      </c>
      <c r="G749" s="64">
        <v>2.3533018863130497</v>
      </c>
      <c r="H749" s="10">
        <f t="shared" si="222"/>
        <v>2.353301886</v>
      </c>
      <c r="I749" s="65">
        <v>0.0924656442</v>
      </c>
      <c r="J749" s="65">
        <v>0.226287561631</v>
      </c>
      <c r="K749" s="65">
        <v>0.82315168048205</v>
      </c>
      <c r="L749" s="65">
        <v>1.211397</v>
      </c>
      <c r="N749" s="66">
        <v>8.075980000000001</v>
      </c>
      <c r="O749" s="10">
        <f t="shared" si="223"/>
        <v>8.07598</v>
      </c>
      <c r="Q749" s="67">
        <v>86.054424</v>
      </c>
      <c r="S749" s="68">
        <v>0.22343131</v>
      </c>
      <c r="T749" s="68">
        <v>0.21356721</v>
      </c>
      <c r="U749" s="68">
        <v>0.0075394779</v>
      </c>
      <c r="V749" s="68">
        <v>0.0023246219</v>
      </c>
      <c r="X749" s="69">
        <v>4.578913E-4</v>
      </c>
      <c r="Y749" s="70"/>
      <c r="Z749" s="73" t="s">
        <v>1160</v>
      </c>
    </row>
    <row r="750" ht="12.75" customHeight="1">
      <c r="A750" s="1" t="s">
        <v>1161</v>
      </c>
      <c r="B750" s="2" t="s">
        <v>1068</v>
      </c>
      <c r="C750" s="60" t="str">
        <f t="shared" si="220"/>
        <v>A.100.28.104</v>
      </c>
      <c r="D750" s="51" t="s">
        <v>1153</v>
      </c>
      <c r="E750" s="62" t="s">
        <v>45</v>
      </c>
      <c r="F750" s="63" t="str">
        <f t="shared" si="221"/>
        <v>AlCuSiMg (2036)</v>
      </c>
      <c r="G750" s="64">
        <v>2.21779960700143</v>
      </c>
      <c r="H750" s="10">
        <f t="shared" si="222"/>
        <v>2.217799607</v>
      </c>
      <c r="I750" s="65">
        <v>0.08583479706000001</v>
      </c>
      <c r="J750" s="65">
        <v>0.207928351034</v>
      </c>
      <c r="K750" s="65">
        <v>0.73331595890743</v>
      </c>
      <c r="L750" s="65">
        <v>1.1907205</v>
      </c>
      <c r="N750" s="66">
        <v>7.938136666666668</v>
      </c>
      <c r="O750" s="10">
        <f t="shared" si="223"/>
        <v>7.938136667</v>
      </c>
      <c r="Q750" s="67">
        <v>82.858314</v>
      </c>
      <c r="S750" s="68">
        <v>0.19702563</v>
      </c>
      <c r="T750" s="68">
        <v>0.18772116</v>
      </c>
      <c r="U750" s="68">
        <v>0.0073548027</v>
      </c>
      <c r="V750" s="68">
        <v>0.0019496597</v>
      </c>
      <c r="X750" s="69">
        <v>4.2282415E-4</v>
      </c>
      <c r="Y750" s="70"/>
      <c r="Z750" s="73" t="s">
        <v>1162</v>
      </c>
    </row>
    <row r="751" ht="12.75" customHeight="1">
      <c r="A751" s="1" t="s">
        <v>1163</v>
      </c>
      <c r="B751" s="2" t="s">
        <v>1068</v>
      </c>
      <c r="C751" s="60" t="str">
        <f t="shared" si="220"/>
        <v>A.100.28.105</v>
      </c>
      <c r="D751" s="51" t="s">
        <v>1153</v>
      </c>
      <c r="E751" s="62" t="s">
        <v>45</v>
      </c>
      <c r="F751" s="63" t="str">
        <f t="shared" si="221"/>
        <v>AlMg1 (5005)</v>
      </c>
      <c r="G751" s="64">
        <v>2.19889618421235</v>
      </c>
      <c r="H751" s="10">
        <f t="shared" si="222"/>
        <v>2.198896184</v>
      </c>
      <c r="I751" s="65">
        <v>0.08457608297000001</v>
      </c>
      <c r="J751" s="65">
        <v>0.20639715390099997</v>
      </c>
      <c r="K751" s="65">
        <v>0.66819794734135</v>
      </c>
      <c r="L751" s="65">
        <v>1.239725</v>
      </c>
      <c r="N751" s="66">
        <v>8.264833333333334</v>
      </c>
      <c r="O751" s="10">
        <f t="shared" si="223"/>
        <v>8.264833333</v>
      </c>
      <c r="Q751" s="67">
        <v>87.030189</v>
      </c>
      <c r="S751" s="68">
        <v>0.18745384</v>
      </c>
      <c r="T751" s="68">
        <v>0.1776905</v>
      </c>
      <c r="U751" s="68">
        <v>0.0075953506</v>
      </c>
      <c r="V751" s="68">
        <v>0.0021679946</v>
      </c>
      <c r="X751" s="69">
        <v>4.0485944E-4</v>
      </c>
      <c r="Y751" s="70"/>
      <c r="Z751" s="73" t="s">
        <v>1164</v>
      </c>
    </row>
    <row r="752" ht="12.75" customHeight="1">
      <c r="A752" s="1" t="s">
        <v>1165</v>
      </c>
      <c r="B752" s="2" t="s">
        <v>1068</v>
      </c>
      <c r="C752" s="60" t="str">
        <f t="shared" si="220"/>
        <v>A.100.28.106</v>
      </c>
      <c r="D752" s="51" t="s">
        <v>1153</v>
      </c>
      <c r="E752" s="62" t="s">
        <v>45</v>
      </c>
      <c r="F752" s="63" t="str">
        <f t="shared" si="221"/>
        <v>AlMg3 (5754a)</v>
      </c>
      <c r="G752" s="64">
        <v>2.18888588344128</v>
      </c>
      <c r="H752" s="10">
        <f t="shared" si="222"/>
        <v>2.188885883</v>
      </c>
      <c r="I752" s="65">
        <v>0.08595686977</v>
      </c>
      <c r="J752" s="65">
        <v>0.205485426827</v>
      </c>
      <c r="K752" s="65">
        <v>0.63756078684428</v>
      </c>
      <c r="L752" s="65">
        <v>1.2598828</v>
      </c>
      <c r="N752" s="66">
        <v>8.399218666666666</v>
      </c>
      <c r="O752" s="10">
        <f t="shared" si="223"/>
        <v>8.399218667</v>
      </c>
      <c r="Q752" s="67">
        <v>90.395646</v>
      </c>
      <c r="S752" s="68">
        <v>0.20081275</v>
      </c>
      <c r="T752" s="68">
        <v>0.19050398</v>
      </c>
      <c r="U752" s="68">
        <v>0.0076631884</v>
      </c>
      <c r="V752" s="68">
        <v>0.0026455798</v>
      </c>
      <c r="X752" s="69">
        <v>4.1486774E-4</v>
      </c>
      <c r="Y752" s="70"/>
      <c r="Z752" s="73" t="s">
        <v>1166</v>
      </c>
    </row>
    <row r="753" ht="12.75" customHeight="1">
      <c r="A753" s="1" t="s">
        <v>1167</v>
      </c>
      <c r="B753" s="2" t="s">
        <v>1068</v>
      </c>
      <c r="C753" s="60" t="str">
        <f t="shared" si="220"/>
        <v>A.100.28.107</v>
      </c>
      <c r="D753" s="51" t="s">
        <v>1153</v>
      </c>
      <c r="E753" s="62" t="s">
        <v>45</v>
      </c>
      <c r="F753" s="63" t="str">
        <f t="shared" si="221"/>
        <v>AlMg4.5Mn (5182)</v>
      </c>
      <c r="G753" s="64">
        <v>2.2772695053321996</v>
      </c>
      <c r="H753" s="10">
        <f t="shared" si="222"/>
        <v>2.277269505</v>
      </c>
      <c r="I753" s="65">
        <v>0.09005081162</v>
      </c>
      <c r="J753" s="65">
        <v>0.21102957537900002</v>
      </c>
      <c r="K753" s="65">
        <v>0.6495862183332</v>
      </c>
      <c r="L753" s="65">
        <v>1.3266029</v>
      </c>
      <c r="N753" s="66">
        <v>8.844019333333334</v>
      </c>
      <c r="O753" s="10">
        <f t="shared" si="223"/>
        <v>8.844019333</v>
      </c>
      <c r="Q753" s="67">
        <v>96.741071</v>
      </c>
      <c r="S753" s="68">
        <v>0.21646086</v>
      </c>
      <c r="T753" s="68">
        <v>0.20539106</v>
      </c>
      <c r="U753" s="68">
        <v>0.0080220679</v>
      </c>
      <c r="V753" s="68">
        <v>0.0030477321</v>
      </c>
      <c r="X753" s="69">
        <v>4.3690857E-4</v>
      </c>
      <c r="Y753" s="70"/>
      <c r="Z753" s="73" t="s">
        <v>1168</v>
      </c>
    </row>
    <row r="754" ht="12.75" customHeight="1">
      <c r="A754" s="1" t="s">
        <v>1169</v>
      </c>
      <c r="B754" s="2" t="s">
        <v>1068</v>
      </c>
      <c r="C754" s="60" t="str">
        <f t="shared" si="220"/>
        <v>A.100.28.108</v>
      </c>
      <c r="D754" s="51" t="s">
        <v>1153</v>
      </c>
      <c r="E754" s="62" t="s">
        <v>45</v>
      </c>
      <c r="F754" s="63" t="str">
        <f t="shared" si="221"/>
        <v>AlMgSi0.5 (6060 and 6063)</v>
      </c>
      <c r="G754" s="64">
        <v>2.18381597765648</v>
      </c>
      <c r="H754" s="10">
        <f t="shared" si="222"/>
        <v>2.183815978</v>
      </c>
      <c r="I754" s="65">
        <v>0.083823376044</v>
      </c>
      <c r="J754" s="65">
        <v>0.205320982978</v>
      </c>
      <c r="K754" s="65">
        <v>0.67098531863448</v>
      </c>
      <c r="L754" s="65">
        <v>1.2236863</v>
      </c>
      <c r="N754" s="66">
        <v>8.157908666666668</v>
      </c>
      <c r="O754" s="10">
        <f t="shared" si="223"/>
        <v>8.157908667</v>
      </c>
      <c r="Q754" s="67">
        <v>85.376225</v>
      </c>
      <c r="S754" s="68">
        <v>0.18545538</v>
      </c>
      <c r="T754" s="68">
        <v>0.1758965</v>
      </c>
      <c r="U754" s="68">
        <v>0.0075111206</v>
      </c>
      <c r="V754" s="68">
        <v>0.0020477617</v>
      </c>
      <c r="X754" s="69">
        <v>3.9953525E-4</v>
      </c>
      <c r="Y754" s="70"/>
      <c r="Z754" s="73" t="s">
        <v>1170</v>
      </c>
    </row>
    <row r="755" ht="12.75" customHeight="1">
      <c r="A755" s="1" t="s">
        <v>1171</v>
      </c>
      <c r="B755" s="2" t="s">
        <v>1068</v>
      </c>
      <c r="C755" s="60" t="str">
        <f t="shared" si="220"/>
        <v>A.100.28.109</v>
      </c>
      <c r="D755" s="51" t="s">
        <v>1153</v>
      </c>
      <c r="E755" s="62" t="s">
        <v>45</v>
      </c>
      <c r="F755" s="63" t="str">
        <f t="shared" si="221"/>
        <v>AlMgSi0.7 (6005)</v>
      </c>
      <c r="G755" s="64">
        <v>2.1900093749107903</v>
      </c>
      <c r="H755" s="10">
        <f t="shared" si="222"/>
        <v>2.190009375</v>
      </c>
      <c r="I755" s="65">
        <v>0.08385431670999999</v>
      </c>
      <c r="J755" s="65">
        <v>0.205110477889</v>
      </c>
      <c r="K755" s="65">
        <v>0.67389018031179</v>
      </c>
      <c r="L755" s="65">
        <v>1.2271544</v>
      </c>
      <c r="N755" s="66">
        <v>8.181029333333335</v>
      </c>
      <c r="O755" s="10">
        <f t="shared" si="223"/>
        <v>8.181029333</v>
      </c>
      <c r="Q755" s="67">
        <v>85.733292</v>
      </c>
      <c r="S755" s="68">
        <v>0.18577254</v>
      </c>
      <c r="T755" s="68">
        <v>0.1761578</v>
      </c>
      <c r="U755" s="68">
        <v>0.0075258489</v>
      </c>
      <c r="V755" s="68">
        <v>0.002088898</v>
      </c>
      <c r="X755" s="69">
        <v>4.0053324E-4</v>
      </c>
      <c r="Y755" s="70"/>
      <c r="Z755" s="73" t="s">
        <v>1172</v>
      </c>
    </row>
    <row r="756" ht="12.75" customHeight="1">
      <c r="A756" s="1" t="s">
        <v>1173</v>
      </c>
      <c r="B756" s="2" t="s">
        <v>1068</v>
      </c>
      <c r="C756" s="60" t="str">
        <f t="shared" si="220"/>
        <v>A.100.28.110</v>
      </c>
      <c r="D756" s="51" t="s">
        <v>1153</v>
      </c>
      <c r="E756" s="62" t="s">
        <v>45</v>
      </c>
      <c r="F756" s="63" t="str">
        <f t="shared" si="221"/>
        <v>AlMn1 (3003)</v>
      </c>
      <c r="G756" s="64">
        <v>2.18654514837854</v>
      </c>
      <c r="H756" s="10">
        <f t="shared" si="222"/>
        <v>2.186545148</v>
      </c>
      <c r="I756" s="65">
        <v>0.0899522667</v>
      </c>
      <c r="J756" s="65">
        <v>0.214459146069</v>
      </c>
      <c r="K756" s="65">
        <v>0.6719257356095399</v>
      </c>
      <c r="L756" s="65">
        <v>1.210208</v>
      </c>
      <c r="N756" s="66">
        <v>8.068053333333333</v>
      </c>
      <c r="O756" s="10">
        <f t="shared" si="223"/>
        <v>8.068053333</v>
      </c>
      <c r="Q756" s="67">
        <v>83.447757</v>
      </c>
      <c r="S756" s="68">
        <v>0.2326731</v>
      </c>
      <c r="T756" s="68">
        <v>0.223297</v>
      </c>
      <c r="U756" s="68">
        <v>0.007475874</v>
      </c>
      <c r="V756" s="68">
        <v>0.0019002231</v>
      </c>
      <c r="X756" s="69">
        <v>4.0466295E-4</v>
      </c>
      <c r="Y756" s="70"/>
      <c r="Z756" s="73" t="s">
        <v>1174</v>
      </c>
    </row>
    <row r="757" ht="12.75" customHeight="1">
      <c r="A757" s="1" t="s">
        <v>1175</v>
      </c>
      <c r="B757" s="2" t="s">
        <v>1068</v>
      </c>
      <c r="C757" s="60" t="str">
        <f t="shared" si="220"/>
        <v>A.100.28.111</v>
      </c>
      <c r="D757" s="51" t="s">
        <v>1153</v>
      </c>
      <c r="E757" s="62" t="s">
        <v>45</v>
      </c>
      <c r="F757" s="63" t="str">
        <f t="shared" si="221"/>
        <v>AlMn1.2Mg1 (3004)</v>
      </c>
      <c r="G757" s="64">
        <v>2.20970991982905</v>
      </c>
      <c r="H757" s="10">
        <f t="shared" si="222"/>
        <v>2.20970992</v>
      </c>
      <c r="I757" s="65">
        <v>0.09205035156</v>
      </c>
      <c r="J757" s="65">
        <v>0.216504659026</v>
      </c>
      <c r="K757" s="65">
        <v>0.66648580924305</v>
      </c>
      <c r="L757" s="65">
        <v>1.2346691</v>
      </c>
      <c r="N757" s="66">
        <v>8.231127333333335</v>
      </c>
      <c r="O757" s="10">
        <f t="shared" si="223"/>
        <v>8.231127333</v>
      </c>
      <c r="Q757" s="67">
        <v>86.160148</v>
      </c>
      <c r="S757" s="68">
        <v>0.24507673</v>
      </c>
      <c r="T757" s="68">
        <v>0.23532844</v>
      </c>
      <c r="U757" s="68">
        <v>0.0075979811</v>
      </c>
      <c r="V757" s="68">
        <v>0.0021503137</v>
      </c>
      <c r="X757" s="69">
        <v>4.1450911E-4</v>
      </c>
      <c r="Y757" s="70"/>
      <c r="Z757" s="73" t="s">
        <v>1176</v>
      </c>
    </row>
    <row r="758" ht="12.75" customHeight="1">
      <c r="A758" s="1" t="s">
        <v>1177</v>
      </c>
      <c r="B758" s="2" t="s">
        <v>1068</v>
      </c>
      <c r="C758" s="60" t="str">
        <f t="shared" si="220"/>
        <v>A.100.28.112</v>
      </c>
      <c r="D758" s="51" t="s">
        <v>1153</v>
      </c>
      <c r="E758" s="62" t="s">
        <v>45</v>
      </c>
      <c r="F758" s="63" t="str">
        <f t="shared" si="221"/>
        <v>AlSiMgMn (6009)</v>
      </c>
      <c r="G758" s="64">
        <v>2.1934187272803003</v>
      </c>
      <c r="H758" s="10">
        <f t="shared" si="222"/>
        <v>2.193418727</v>
      </c>
      <c r="I758" s="65">
        <v>0.08612813106999999</v>
      </c>
      <c r="J758" s="65">
        <v>0.20782690275200003</v>
      </c>
      <c r="K758" s="65">
        <v>0.6753939934583</v>
      </c>
      <c r="L758" s="65">
        <v>1.2240697</v>
      </c>
      <c r="N758" s="66">
        <v>8.160464666666668</v>
      </c>
      <c r="O758" s="10">
        <f t="shared" si="223"/>
        <v>8.160464667</v>
      </c>
      <c r="Q758" s="67">
        <v>85.355314</v>
      </c>
      <c r="S758" s="68">
        <v>0.20465939</v>
      </c>
      <c r="T758" s="68">
        <v>0.19504893</v>
      </c>
      <c r="U758" s="68">
        <v>0.0075148205</v>
      </c>
      <c r="V758" s="68">
        <v>0.0020956435</v>
      </c>
      <c r="X758" s="69">
        <v>4.0316062E-4</v>
      </c>
      <c r="Y758" s="70"/>
      <c r="Z758" s="73" t="s">
        <v>1178</v>
      </c>
    </row>
    <row r="759" ht="12.75" customHeight="1">
      <c r="A759" s="1" t="s">
        <v>1179</v>
      </c>
      <c r="B759" s="2" t="s">
        <v>1068</v>
      </c>
      <c r="C759" s="60" t="str">
        <f t="shared" si="220"/>
        <v>A.100.28.113</v>
      </c>
      <c r="D759" s="51" t="s">
        <v>1153</v>
      </c>
      <c r="E759" s="62" t="s">
        <v>45</v>
      </c>
      <c r="F759" s="63" t="str">
        <f t="shared" si="221"/>
        <v>AlZnCuMg (7075)</v>
      </c>
      <c r="G759" s="64">
        <v>2.28282157606838</v>
      </c>
      <c r="H759" s="10">
        <f t="shared" si="222"/>
        <v>2.282821576</v>
      </c>
      <c r="I759" s="65">
        <v>0.09188564034999999</v>
      </c>
      <c r="J759" s="65">
        <v>0.228430557887</v>
      </c>
      <c r="K759" s="65">
        <v>0.7347639778313799</v>
      </c>
      <c r="L759" s="65">
        <v>1.2277414</v>
      </c>
      <c r="N759" s="66">
        <v>8.184942666666666</v>
      </c>
      <c r="O759" s="10">
        <f t="shared" si="223"/>
        <v>8.184942667</v>
      </c>
      <c r="Q759" s="67">
        <v>88.943432</v>
      </c>
      <c r="S759" s="68">
        <v>0.26241054</v>
      </c>
      <c r="T759" s="68">
        <v>0.25207959</v>
      </c>
      <c r="U759" s="68">
        <v>0.0075987728</v>
      </c>
      <c r="V759" s="68">
        <v>0.0027321844</v>
      </c>
      <c r="X759" s="69">
        <v>4.713705E-4</v>
      </c>
      <c r="Y759" s="70"/>
      <c r="Z759" s="73" t="s">
        <v>1180</v>
      </c>
    </row>
    <row r="760" ht="12.75" customHeight="1">
      <c r="A760" s="1" t="s">
        <v>1181</v>
      </c>
      <c r="B760" s="2" t="s">
        <v>1068</v>
      </c>
      <c r="C760" s="60" t="str">
        <f t="shared" si="220"/>
        <v>A.100.28.114</v>
      </c>
      <c r="D760" s="51" t="s">
        <v>1153</v>
      </c>
      <c r="E760" s="62" t="s">
        <v>45</v>
      </c>
      <c r="F760" s="63" t="str">
        <f t="shared" si="221"/>
        <v>G-AlCu4TiMg (204)</v>
      </c>
      <c r="G760" s="64">
        <v>2.24458617172571</v>
      </c>
      <c r="H760" s="10">
        <f t="shared" si="222"/>
        <v>2.244586172</v>
      </c>
      <c r="I760" s="65">
        <v>0.08480720822</v>
      </c>
      <c r="J760" s="65">
        <v>0.20641255741599998</v>
      </c>
      <c r="K760" s="65">
        <v>0.7728410060897098</v>
      </c>
      <c r="L760" s="65">
        <v>1.1805254</v>
      </c>
      <c r="N760" s="66">
        <v>7.870169333333334</v>
      </c>
      <c r="O760" s="10">
        <f t="shared" si="223"/>
        <v>7.870169333</v>
      </c>
      <c r="Q760" s="67">
        <v>82.834004</v>
      </c>
      <c r="S760" s="68">
        <v>0.18435367</v>
      </c>
      <c r="T760" s="68">
        <v>0.17504019</v>
      </c>
      <c r="U760" s="68">
        <v>0.0072980006</v>
      </c>
      <c r="V760" s="68">
        <v>0.0020154821</v>
      </c>
      <c r="X760" s="69">
        <v>4.4072547E-4</v>
      </c>
      <c r="Y760" s="70"/>
      <c r="Z760" s="73" t="s">
        <v>1182</v>
      </c>
    </row>
    <row r="761" ht="12.75" customHeight="1">
      <c r="A761" s="1" t="s">
        <v>1183</v>
      </c>
      <c r="B761" s="2" t="s">
        <v>1068</v>
      </c>
      <c r="C761" s="60" t="str">
        <f t="shared" si="220"/>
        <v>A.100.28.115</v>
      </c>
      <c r="D761" s="51" t="s">
        <v>1153</v>
      </c>
      <c r="E761" s="62" t="s">
        <v>45</v>
      </c>
      <c r="F761" s="63" t="str">
        <f t="shared" si="221"/>
        <v>G-AlMg3 (242)</v>
      </c>
      <c r="G761" s="64">
        <v>2.2381315087719598</v>
      </c>
      <c r="H761" s="10">
        <f t="shared" si="222"/>
        <v>2.238131509</v>
      </c>
      <c r="I761" s="65">
        <v>0.08700564876</v>
      </c>
      <c r="J761" s="65">
        <v>0.207784647073</v>
      </c>
      <c r="K761" s="65">
        <v>0.65969201293896</v>
      </c>
      <c r="L761" s="65">
        <v>1.2836492</v>
      </c>
      <c r="N761" s="66">
        <v>8.557661333333334</v>
      </c>
      <c r="O761" s="10">
        <f t="shared" si="223"/>
        <v>8.557661333</v>
      </c>
      <c r="Q761" s="67">
        <v>92.237743</v>
      </c>
      <c r="S761" s="68">
        <v>0.20173357</v>
      </c>
      <c r="T761" s="68">
        <v>0.19124161</v>
      </c>
      <c r="U761" s="68">
        <v>0.0078001145</v>
      </c>
      <c r="V761" s="68">
        <v>0.0026918384</v>
      </c>
      <c r="X761" s="69">
        <v>4.220893E-4</v>
      </c>
      <c r="Y761" s="70"/>
      <c r="Z761" s="73" t="s">
        <v>1184</v>
      </c>
    </row>
    <row r="762" ht="12.75" customHeight="1">
      <c r="A762" s="1" t="s">
        <v>1185</v>
      </c>
      <c r="B762" s="2" t="s">
        <v>1068</v>
      </c>
      <c r="C762" s="60" t="str">
        <f t="shared" si="220"/>
        <v>A.100.28.116</v>
      </c>
      <c r="D762" s="51" t="s">
        <v>1153</v>
      </c>
      <c r="E762" s="62" t="s">
        <v>45</v>
      </c>
      <c r="F762" s="63" t="str">
        <f t="shared" si="221"/>
        <v>G-AlMg5 (314)</v>
      </c>
      <c r="G762" s="64">
        <v>2.32189980682446</v>
      </c>
      <c r="H762" s="10">
        <f t="shared" si="222"/>
        <v>2.321899807</v>
      </c>
      <c r="I762" s="65">
        <v>0.08922355772000001</v>
      </c>
      <c r="J762" s="65">
        <v>0.20852481708599999</v>
      </c>
      <c r="K762" s="65">
        <v>0.71429123201846</v>
      </c>
      <c r="L762" s="65">
        <v>1.3098602</v>
      </c>
      <c r="N762" s="66">
        <v>8.732401333333334</v>
      </c>
      <c r="O762" s="10">
        <f t="shared" si="223"/>
        <v>8.732401333</v>
      </c>
      <c r="Q762" s="67">
        <v>96.777161</v>
      </c>
      <c r="S762" s="68">
        <v>0.2053315</v>
      </c>
      <c r="T762" s="68">
        <v>0.19418826</v>
      </c>
      <c r="U762" s="68">
        <v>0.007918757</v>
      </c>
      <c r="V762" s="68">
        <v>0.0032244775</v>
      </c>
      <c r="X762" s="69">
        <v>4.6609133E-4</v>
      </c>
      <c r="Y762" s="70"/>
      <c r="Z762" s="73" t="s">
        <v>1186</v>
      </c>
    </row>
    <row r="763" ht="12.75" customHeight="1">
      <c r="A763" s="1" t="s">
        <v>1187</v>
      </c>
      <c r="B763" s="2" t="s">
        <v>1068</v>
      </c>
      <c r="C763" s="60" t="str">
        <f t="shared" si="220"/>
        <v>A.100.28.117</v>
      </c>
      <c r="D763" s="51" t="s">
        <v>1153</v>
      </c>
      <c r="E763" s="62" t="s">
        <v>45</v>
      </c>
      <c r="F763" s="63" t="str">
        <f t="shared" si="221"/>
        <v>G-AlSi12 (230)</v>
      </c>
      <c r="G763" s="64">
        <v>2.17418800261621</v>
      </c>
      <c r="H763" s="10">
        <f t="shared" si="222"/>
        <v>2.174188003</v>
      </c>
      <c r="I763" s="65">
        <v>0.07825329894</v>
      </c>
      <c r="J763" s="65">
        <v>0.18779755895100003</v>
      </c>
      <c r="K763" s="65">
        <v>0.7438735447252101</v>
      </c>
      <c r="L763" s="65">
        <v>1.1642636</v>
      </c>
      <c r="N763" s="66">
        <v>7.761757333333334</v>
      </c>
      <c r="O763" s="10">
        <f t="shared" si="223"/>
        <v>7.761757333</v>
      </c>
      <c r="Q763" s="67">
        <v>81.053104</v>
      </c>
      <c r="S763" s="68">
        <v>0.18382024</v>
      </c>
      <c r="T763" s="68">
        <v>0.1744325</v>
      </c>
      <c r="U763" s="68">
        <v>0.0070748505</v>
      </c>
      <c r="V763" s="68">
        <v>0.002312889</v>
      </c>
      <c r="X763" s="69">
        <v>3.8479181E-4</v>
      </c>
      <c r="Y763" s="70"/>
      <c r="Z763" s="73" t="s">
        <v>1188</v>
      </c>
    </row>
    <row r="764" ht="12.75" customHeight="1">
      <c r="A764" s="1" t="s">
        <v>1189</v>
      </c>
      <c r="B764" s="2" t="s">
        <v>1068</v>
      </c>
      <c r="C764" s="60" t="str">
        <f t="shared" si="220"/>
        <v>A.100.28.118</v>
      </c>
      <c r="D764" s="51" t="s">
        <v>1153</v>
      </c>
      <c r="E764" s="62" t="s">
        <v>45</v>
      </c>
      <c r="F764" s="63" t="str">
        <f t="shared" si="221"/>
        <v>G-AlSi12Cu (231)</v>
      </c>
      <c r="G764" s="64">
        <v>2.1830076517559203</v>
      </c>
      <c r="H764" s="10">
        <f t="shared" si="222"/>
        <v>2.183007652</v>
      </c>
      <c r="I764" s="65">
        <v>0.0791195438</v>
      </c>
      <c r="J764" s="65">
        <v>0.18838655633899998</v>
      </c>
      <c r="K764" s="65">
        <v>0.75103185161692</v>
      </c>
      <c r="L764" s="65">
        <v>1.1644697</v>
      </c>
      <c r="N764" s="66">
        <v>7.763131333333333</v>
      </c>
      <c r="O764" s="10">
        <f t="shared" si="223"/>
        <v>7.763131333</v>
      </c>
      <c r="Q764" s="67">
        <v>81.348456</v>
      </c>
      <c r="S764" s="68">
        <v>0.18867266</v>
      </c>
      <c r="T764" s="68">
        <v>0.17922312</v>
      </c>
      <c r="U764" s="68">
        <v>0.0070733468</v>
      </c>
      <c r="V764" s="68">
        <v>0.002376198</v>
      </c>
      <c r="X764" s="69">
        <v>3.9115601E-4</v>
      </c>
      <c r="Y764" s="70"/>
      <c r="Z764" s="73" t="s">
        <v>1190</v>
      </c>
    </row>
    <row r="765" ht="12.75" customHeight="1">
      <c r="A765" s="1" t="s">
        <v>1191</v>
      </c>
      <c r="B765" s="2" t="s">
        <v>1068</v>
      </c>
      <c r="C765" s="60" t="str">
        <f t="shared" si="220"/>
        <v>A.100.28.119</v>
      </c>
      <c r="D765" s="51" t="s">
        <v>1153</v>
      </c>
      <c r="E765" s="62" t="s">
        <v>45</v>
      </c>
      <c r="F765" s="63" t="str">
        <f t="shared" si="221"/>
        <v>G-AlSi7Mg (Thixo)</v>
      </c>
      <c r="G765" s="64">
        <v>2.17914539480779</v>
      </c>
      <c r="H765" s="10">
        <f t="shared" si="222"/>
        <v>2.179145395</v>
      </c>
      <c r="I765" s="65">
        <v>0.08062387329000001</v>
      </c>
      <c r="J765" s="65">
        <v>0.195463004479</v>
      </c>
      <c r="K765" s="65">
        <v>0.70859701703879</v>
      </c>
      <c r="L765" s="65">
        <v>1.1944615</v>
      </c>
      <c r="N765" s="66">
        <v>7.963076666666668</v>
      </c>
      <c r="O765" s="10">
        <f t="shared" si="223"/>
        <v>7.963076667</v>
      </c>
      <c r="Q765" s="67">
        <v>83.277401</v>
      </c>
      <c r="S765" s="68">
        <v>0.18437651</v>
      </c>
      <c r="T765" s="68">
        <v>0.1748745</v>
      </c>
      <c r="U765" s="68">
        <v>0.007287009</v>
      </c>
      <c r="V765" s="68">
        <v>0.0022149939</v>
      </c>
      <c r="X765" s="69">
        <v>3.8995711E-4</v>
      </c>
      <c r="Y765" s="70"/>
      <c r="Z765" s="73" t="s">
        <v>1192</v>
      </c>
    </row>
    <row r="766" ht="12.75" customHeight="1">
      <c r="A766" s="1" t="s">
        <v>1193</v>
      </c>
      <c r="B766" s="2" t="s">
        <v>1068</v>
      </c>
      <c r="C766" s="60" t="str">
        <f t="shared" si="220"/>
        <v>A.100.28.120</v>
      </c>
      <c r="D766" s="51" t="s">
        <v>1153</v>
      </c>
      <c r="E766" s="62" t="s">
        <v>45</v>
      </c>
      <c r="F766" s="63" t="str">
        <f t="shared" si="221"/>
        <v>G-AlSi8Cu3 (380)</v>
      </c>
      <c r="G766" s="64">
        <v>2.2136791050650295</v>
      </c>
      <c r="H766" s="10">
        <f t="shared" si="222"/>
        <v>2.213679105</v>
      </c>
      <c r="I766" s="65">
        <v>0.08126161296999998</v>
      </c>
      <c r="J766" s="65">
        <v>0.196925361117</v>
      </c>
      <c r="K766" s="65">
        <v>0.7837708309780299</v>
      </c>
      <c r="L766" s="65">
        <v>1.1517213</v>
      </c>
      <c r="N766" s="66">
        <v>7.678142</v>
      </c>
      <c r="O766" s="10">
        <f t="shared" si="223"/>
        <v>7.678142</v>
      </c>
      <c r="Q766" s="67">
        <v>80.986146</v>
      </c>
      <c r="S766" s="68">
        <v>0.19478105</v>
      </c>
      <c r="T766" s="68">
        <v>0.18543356</v>
      </c>
      <c r="U766" s="68">
        <v>0.0070637424</v>
      </c>
      <c r="V766" s="68">
        <v>0.0022837485</v>
      </c>
      <c r="X766" s="69">
        <v>4.2100393E-4</v>
      </c>
      <c r="Y766" s="70"/>
      <c r="Z766" s="73" t="s">
        <v>1194</v>
      </c>
    </row>
    <row r="767" ht="12.75" customHeight="1">
      <c r="B767" s="2"/>
      <c r="C767" s="60"/>
      <c r="D767" s="75" t="s">
        <v>1195</v>
      </c>
      <c r="E767" s="62"/>
      <c r="G767" s="10"/>
      <c r="H767" s="10"/>
      <c r="I767" s="10"/>
      <c r="J767" s="10"/>
      <c r="K767" s="10"/>
      <c r="L767" s="10"/>
      <c r="N767" s="10"/>
      <c r="O767" s="10"/>
      <c r="Q767" s="67"/>
      <c r="Y767" s="71"/>
      <c r="Z767" s="72"/>
    </row>
    <row r="768" ht="12.75" customHeight="1">
      <c r="A768" s="1" t="s">
        <v>1196</v>
      </c>
      <c r="B768" s="2" t="s">
        <v>1068</v>
      </c>
      <c r="C768" s="60" t="str">
        <f t="shared" ref="C768:C792" si="224">MID(A768,1,12)</f>
        <v>A.100.30.097</v>
      </c>
      <c r="D768" s="51" t="s">
        <v>1195</v>
      </c>
      <c r="E768" s="62" t="s">
        <v>45</v>
      </c>
      <c r="F768" s="63" t="str">
        <f t="shared" ref="F768:F792" si="225">MID(A768, 21,85)</f>
        <v>Copper wire rod</v>
      </c>
      <c r="G768" s="64">
        <v>5.25221272999</v>
      </c>
      <c r="H768" s="10">
        <f t="shared" ref="H768:H792" si="226">G768</f>
        <v>5.25221273</v>
      </c>
      <c r="I768" s="65">
        <v>0.15300252660000002</v>
      </c>
      <c r="J768" s="65">
        <v>0.32095020339</v>
      </c>
      <c r="K768" s="65">
        <v>4.250125000000001</v>
      </c>
      <c r="L768" s="65">
        <v>0.528135</v>
      </c>
      <c r="N768" s="66">
        <v>3.5209</v>
      </c>
      <c r="O768" s="10">
        <f t="shared" ref="O768:O792" si="227">N768</f>
        <v>3.5209</v>
      </c>
      <c r="Q768" s="67">
        <v>57.261</v>
      </c>
      <c r="S768" s="68">
        <v>0.1731545</v>
      </c>
      <c r="T768" s="68">
        <v>0.16491297</v>
      </c>
      <c r="U768" s="68">
        <v>0.0047011958</v>
      </c>
      <c r="V768" s="68">
        <v>0.0035403404</v>
      </c>
      <c r="X768" s="69">
        <v>0.0019467315</v>
      </c>
      <c r="Y768" s="70"/>
      <c r="Z768" s="72"/>
    </row>
    <row r="769" ht="12.75" customHeight="1">
      <c r="A769" s="1" t="s">
        <v>1197</v>
      </c>
      <c r="B769" s="2" t="s">
        <v>1068</v>
      </c>
      <c r="C769" s="60" t="str">
        <f t="shared" si="224"/>
        <v>A.100.30.098</v>
      </c>
      <c r="D769" s="51" t="s">
        <v>1195</v>
      </c>
      <c r="E769" s="62" t="s">
        <v>45</v>
      </c>
      <c r="F769" s="63" t="str">
        <f t="shared" si="225"/>
        <v>Copper tube</v>
      </c>
      <c r="G769" s="64">
        <v>4.98566242651</v>
      </c>
      <c r="H769" s="10">
        <f t="shared" si="226"/>
        <v>4.985662427</v>
      </c>
      <c r="I769" s="65">
        <v>0.1136569113</v>
      </c>
      <c r="J769" s="65">
        <v>0.22011551521</v>
      </c>
      <c r="K769" s="65">
        <v>4.24932</v>
      </c>
      <c r="L769" s="65">
        <v>0.40257</v>
      </c>
      <c r="N769" s="66">
        <v>2.6838</v>
      </c>
      <c r="O769" s="10">
        <f t="shared" si="227"/>
        <v>2.6838</v>
      </c>
      <c r="Q769" s="67">
        <v>46.688</v>
      </c>
      <c r="S769" s="68">
        <v>0.12720223</v>
      </c>
      <c r="T769" s="68">
        <v>0.12051591</v>
      </c>
      <c r="U769" s="68">
        <v>0.0034313666</v>
      </c>
      <c r="V769" s="68">
        <v>0.0032549546</v>
      </c>
      <c r="X769" s="69">
        <v>0.0018672802</v>
      </c>
      <c r="Y769" s="70"/>
      <c r="Z769" s="72"/>
    </row>
    <row r="770" ht="12.75" customHeight="1">
      <c r="A770" s="1" t="s">
        <v>1198</v>
      </c>
      <c r="B770" s="2" t="s">
        <v>1068</v>
      </c>
      <c r="C770" s="60" t="str">
        <f t="shared" si="224"/>
        <v>A.100.30.099</v>
      </c>
      <c r="D770" s="51" t="s">
        <v>1195</v>
      </c>
      <c r="E770" s="62" t="s">
        <v>45</v>
      </c>
      <c r="F770" s="63" t="str">
        <f t="shared" si="225"/>
        <v>Copper flat rolled product</v>
      </c>
      <c r="G770" s="64">
        <v>5.2661747248</v>
      </c>
      <c r="H770" s="10">
        <f t="shared" si="226"/>
        <v>5.266174725</v>
      </c>
      <c r="I770" s="65">
        <v>0.1435151235</v>
      </c>
      <c r="J770" s="65">
        <v>0.2933921013</v>
      </c>
      <c r="K770" s="65">
        <v>4.2561625</v>
      </c>
      <c r="L770" s="65">
        <v>0.573105</v>
      </c>
      <c r="N770" s="66">
        <v>3.8207</v>
      </c>
      <c r="O770" s="10">
        <f t="shared" si="227"/>
        <v>3.8207</v>
      </c>
      <c r="Q770" s="67">
        <v>70.414</v>
      </c>
      <c r="S770" s="68">
        <v>0.16814532</v>
      </c>
      <c r="T770" s="68">
        <v>0.15928751</v>
      </c>
      <c r="U770" s="68">
        <v>0.0047606333</v>
      </c>
      <c r="V770" s="68">
        <v>0.0040971748</v>
      </c>
      <c r="X770" s="69">
        <v>0.001956229</v>
      </c>
      <c r="Y770" s="70"/>
      <c r="Z770" s="72"/>
    </row>
    <row r="771" ht="12.75" customHeight="1">
      <c r="A771" s="1" t="s">
        <v>1199</v>
      </c>
      <c r="B771" s="2" t="s">
        <v>1068</v>
      </c>
      <c r="C771" s="60" t="str">
        <f t="shared" si="224"/>
        <v>A.100.30.100</v>
      </c>
      <c r="D771" s="51" t="s">
        <v>1195</v>
      </c>
      <c r="E771" s="62" t="s">
        <v>45</v>
      </c>
      <c r="F771" s="63" t="str">
        <f t="shared" si="225"/>
        <v>Cu-E</v>
      </c>
      <c r="G771" s="64">
        <v>3.580325656339401</v>
      </c>
      <c r="H771" s="10">
        <f t="shared" si="226"/>
        <v>3.580325656</v>
      </c>
      <c r="I771" s="65">
        <v>0.10144643014</v>
      </c>
      <c r="J771" s="65">
        <v>0.2100428431189</v>
      </c>
      <c r="K771" s="65">
        <v>2.895914323080501</v>
      </c>
      <c r="L771" s="65">
        <v>0.37292206</v>
      </c>
      <c r="N771" s="66">
        <v>2.4861470666666667</v>
      </c>
      <c r="O771" s="10">
        <f t="shared" si="227"/>
        <v>2.486147067</v>
      </c>
      <c r="Q771" s="67">
        <v>41.683943</v>
      </c>
      <c r="S771" s="68">
        <v>0.11616983</v>
      </c>
      <c r="T771" s="68">
        <v>0.1104679</v>
      </c>
      <c r="U771" s="68">
        <v>0.0032081231</v>
      </c>
      <c r="V771" s="68">
        <v>0.0024938041</v>
      </c>
      <c r="X771" s="69">
        <v>0.001325019</v>
      </c>
      <c r="Y771" s="70"/>
      <c r="Z771" s="72"/>
    </row>
    <row r="772" ht="12.75" customHeight="1">
      <c r="A772" s="1" t="s">
        <v>1200</v>
      </c>
      <c r="B772" s="2" t="s">
        <v>1068</v>
      </c>
      <c r="C772" s="60" t="str">
        <f t="shared" si="224"/>
        <v>A.100.30.101</v>
      </c>
      <c r="D772" s="51" t="s">
        <v>1195</v>
      </c>
      <c r="E772" s="62" t="s">
        <v>45</v>
      </c>
      <c r="F772" s="63" t="str">
        <f t="shared" si="225"/>
        <v>CuAg-E</v>
      </c>
      <c r="G772" s="64">
        <v>4.3805996742265005</v>
      </c>
      <c r="H772" s="10">
        <f t="shared" si="226"/>
        <v>4.380599674</v>
      </c>
      <c r="I772" s="65">
        <v>0.12905938879999998</v>
      </c>
      <c r="J772" s="65">
        <v>0.369849173346</v>
      </c>
      <c r="K772" s="65">
        <v>3.4280948320805007</v>
      </c>
      <c r="L772" s="65">
        <v>0.45359628</v>
      </c>
      <c r="N772" s="66">
        <v>3.0239752</v>
      </c>
      <c r="O772" s="10">
        <f t="shared" si="227"/>
        <v>3.0239752</v>
      </c>
      <c r="Q772" s="67">
        <v>44.900571</v>
      </c>
      <c r="S772" s="68">
        <v>0.20058436</v>
      </c>
      <c r="T772" s="68">
        <v>0.19327384</v>
      </c>
      <c r="U772" s="68">
        <v>0.004431469</v>
      </c>
      <c r="V772" s="68">
        <v>0.0028790553</v>
      </c>
      <c r="X772" s="69">
        <v>0.0025362308</v>
      </c>
      <c r="Y772" s="70"/>
      <c r="Z772" s="73" t="s">
        <v>1201</v>
      </c>
    </row>
    <row r="773" ht="12.75" customHeight="1">
      <c r="A773" s="1" t="s">
        <v>1202</v>
      </c>
      <c r="B773" s="2" t="s">
        <v>1068</v>
      </c>
      <c r="C773" s="60" t="str">
        <f t="shared" si="224"/>
        <v>A.100.30.102</v>
      </c>
      <c r="D773" s="51" t="s">
        <v>1195</v>
      </c>
      <c r="E773" s="62" t="s">
        <v>45</v>
      </c>
      <c r="F773" s="63" t="str">
        <f t="shared" si="225"/>
        <v>CuAl5</v>
      </c>
      <c r="G773" s="64">
        <v>3.700225829470046</v>
      </c>
      <c r="H773" s="10">
        <f t="shared" si="226"/>
        <v>3.700225829</v>
      </c>
      <c r="I773" s="65">
        <v>0.1075498251</v>
      </c>
      <c r="J773" s="65">
        <v>0.30831582441500005</v>
      </c>
      <c r="K773" s="65">
        <v>2.829819479955046</v>
      </c>
      <c r="L773" s="65">
        <v>0.4545407</v>
      </c>
      <c r="N773" s="66">
        <v>3.0302713333333338</v>
      </c>
      <c r="O773" s="10">
        <f t="shared" si="227"/>
        <v>3.030271333</v>
      </c>
      <c r="Q773" s="67">
        <v>47.500629</v>
      </c>
      <c r="S773" s="68">
        <v>0.17690511</v>
      </c>
      <c r="T773" s="68">
        <v>0.16998703</v>
      </c>
      <c r="U773" s="68">
        <v>0.0041738185</v>
      </c>
      <c r="V773" s="68">
        <v>0.0027442648</v>
      </c>
      <c r="X773" s="69">
        <v>0.0013019593</v>
      </c>
      <c r="Y773" s="70"/>
      <c r="Z773" s="73" t="s">
        <v>1203</v>
      </c>
    </row>
    <row r="774" ht="12.75" customHeight="1">
      <c r="A774" s="1" t="s">
        <v>1204</v>
      </c>
      <c r="B774" s="2" t="s">
        <v>1068</v>
      </c>
      <c r="C774" s="60" t="str">
        <f t="shared" si="224"/>
        <v>A.100.30.103</v>
      </c>
      <c r="D774" s="51" t="s">
        <v>1195</v>
      </c>
      <c r="E774" s="62" t="s">
        <v>45</v>
      </c>
      <c r="F774" s="63" t="str">
        <f t="shared" si="225"/>
        <v>CuNi10Fe</v>
      </c>
      <c r="G774" s="64">
        <v>5.734676797765777</v>
      </c>
      <c r="H774" s="10">
        <f t="shared" si="226"/>
        <v>5.734676798</v>
      </c>
      <c r="I774" s="65">
        <v>0.14291666819999999</v>
      </c>
      <c r="J774" s="65">
        <v>1.3754217287169999</v>
      </c>
      <c r="K774" s="65">
        <v>3.686442770848778</v>
      </c>
      <c r="L774" s="65">
        <v>0.52989563</v>
      </c>
      <c r="N774" s="66">
        <v>3.5326375333333333</v>
      </c>
      <c r="O774" s="10">
        <f t="shared" si="227"/>
        <v>3.532637533</v>
      </c>
      <c r="Q774" s="67">
        <v>60.826162</v>
      </c>
      <c r="S774" s="68">
        <v>0.51991072</v>
      </c>
      <c r="T774" s="68">
        <v>0.50488581</v>
      </c>
      <c r="U774" s="68">
        <v>0.010709502</v>
      </c>
      <c r="V774" s="68">
        <v>0.0043154041</v>
      </c>
      <c r="X774" s="69">
        <v>0.0015788953</v>
      </c>
      <c r="Y774" s="70"/>
      <c r="Z774" s="73" t="s">
        <v>1205</v>
      </c>
    </row>
    <row r="775" ht="12.75" customHeight="1">
      <c r="A775" s="1" t="s">
        <v>1206</v>
      </c>
      <c r="B775" s="2" t="s">
        <v>1068</v>
      </c>
      <c r="C775" s="60" t="str">
        <f t="shared" si="224"/>
        <v>A.100.30.104</v>
      </c>
      <c r="D775" s="51" t="s">
        <v>1195</v>
      </c>
      <c r="E775" s="62" t="s">
        <v>45</v>
      </c>
      <c r="F775" s="63" t="str">
        <f t="shared" si="225"/>
        <v>CuNi18Zn</v>
      </c>
      <c r="G775" s="64">
        <v>7.245691050708258</v>
      </c>
      <c r="H775" s="10">
        <f t="shared" si="226"/>
        <v>7.245691051</v>
      </c>
      <c r="I775" s="65">
        <v>0.15044964823999998</v>
      </c>
      <c r="J775" s="65">
        <v>2.3165394024029995</v>
      </c>
      <c r="K775" s="65">
        <v>4.120058690065258</v>
      </c>
      <c r="L775" s="65">
        <v>0.65864331</v>
      </c>
      <c r="N775" s="66">
        <v>4.3909554</v>
      </c>
      <c r="O775" s="10">
        <f t="shared" si="227"/>
        <v>4.3909554</v>
      </c>
      <c r="Q775" s="67">
        <v>80.481309</v>
      </c>
      <c r="S775" s="68">
        <v>0.79589789</v>
      </c>
      <c r="T775" s="68">
        <v>0.77290453</v>
      </c>
      <c r="U775" s="68">
        <v>0.016785304</v>
      </c>
      <c r="V775" s="68">
        <v>0.0062080553</v>
      </c>
      <c r="X775" s="69">
        <v>0.0017058783</v>
      </c>
      <c r="Y775" s="70"/>
      <c r="Z775" s="73" t="s">
        <v>1207</v>
      </c>
    </row>
    <row r="776" ht="12.75" customHeight="1">
      <c r="A776" s="1" t="s">
        <v>1208</v>
      </c>
      <c r="B776" s="2" t="s">
        <v>1068</v>
      </c>
      <c r="C776" s="60" t="str">
        <f t="shared" si="224"/>
        <v>A.100.30.105</v>
      </c>
      <c r="D776" s="51" t="s">
        <v>1195</v>
      </c>
      <c r="E776" s="62" t="s">
        <v>45</v>
      </c>
      <c r="F776" s="63" t="str">
        <f t="shared" si="225"/>
        <v>CuNi44Mn</v>
      </c>
      <c r="G776" s="64">
        <v>13.153489284808332</v>
      </c>
      <c r="H776" s="10">
        <f t="shared" si="226"/>
        <v>13.15348928</v>
      </c>
      <c r="I776" s="65">
        <v>0.27433209799999997</v>
      </c>
      <c r="J776" s="65">
        <v>5.3246833665606</v>
      </c>
      <c r="K776" s="65">
        <v>6.5844743102477326</v>
      </c>
      <c r="L776" s="65">
        <v>0.96999951</v>
      </c>
      <c r="N776" s="66">
        <v>6.4666634</v>
      </c>
      <c r="O776" s="10">
        <f t="shared" si="227"/>
        <v>6.4666634</v>
      </c>
      <c r="Q776" s="67">
        <v>118.93813</v>
      </c>
      <c r="S776" s="68">
        <v>1.8056567</v>
      </c>
      <c r="T776" s="68">
        <v>1.7599253</v>
      </c>
      <c r="U776" s="68">
        <v>0.035747041</v>
      </c>
      <c r="V776" s="68">
        <v>0.0099842877</v>
      </c>
      <c r="X776" s="69">
        <v>0.0024895342</v>
      </c>
      <c r="Y776" s="70"/>
      <c r="Z776" s="73" t="s">
        <v>1209</v>
      </c>
    </row>
    <row r="777" ht="12.75" customHeight="1">
      <c r="A777" s="1" t="s">
        <v>1210</v>
      </c>
      <c r="B777" s="2" t="s">
        <v>1068</v>
      </c>
      <c r="C777" s="60" t="str">
        <f t="shared" si="224"/>
        <v>A.100.30.106</v>
      </c>
      <c r="D777" s="51" t="s">
        <v>1195</v>
      </c>
      <c r="E777" s="62" t="s">
        <v>45</v>
      </c>
      <c r="F777" s="63" t="str">
        <f t="shared" si="225"/>
        <v>CuSn6.7P</v>
      </c>
      <c r="G777" s="64">
        <v>5.1821328010896295</v>
      </c>
      <c r="H777" s="10">
        <f t="shared" si="226"/>
        <v>5.182132801</v>
      </c>
      <c r="I777" s="65">
        <v>0.2141227088</v>
      </c>
      <c r="J777" s="65">
        <v>0.4124687247066</v>
      </c>
      <c r="K777" s="65">
        <v>4.08033854758303</v>
      </c>
      <c r="L777" s="65">
        <v>0.47520282</v>
      </c>
      <c r="N777" s="66">
        <v>3.1680188000000005</v>
      </c>
      <c r="O777" s="10">
        <f t="shared" si="227"/>
        <v>3.1680188</v>
      </c>
      <c r="Q777" s="67">
        <v>42.411104</v>
      </c>
      <c r="S777" s="68">
        <v>0.28653431</v>
      </c>
      <c r="T777" s="68">
        <v>0.27861988</v>
      </c>
      <c r="U777" s="68">
        <v>0.0048570745</v>
      </c>
      <c r="V777" s="68">
        <v>0.0030573536</v>
      </c>
      <c r="X777" s="69">
        <v>0.0026933374</v>
      </c>
      <c r="Y777" s="70"/>
      <c r="Z777" s="73" t="s">
        <v>1211</v>
      </c>
    </row>
    <row r="778" ht="12.75" customHeight="1">
      <c r="A778" s="1" t="s">
        <v>1212</v>
      </c>
      <c r="B778" s="2" t="s">
        <v>1068</v>
      </c>
      <c r="C778" s="60" t="str">
        <f t="shared" si="224"/>
        <v>A.100.30.107</v>
      </c>
      <c r="D778" s="51" t="s">
        <v>1195</v>
      </c>
      <c r="E778" s="62" t="s">
        <v>45</v>
      </c>
      <c r="F778" s="63" t="str">
        <f t="shared" si="225"/>
        <v>CuSn8</v>
      </c>
      <c r="G778" s="64">
        <v>5.491631333020968</v>
      </c>
      <c r="H778" s="10">
        <f t="shared" si="226"/>
        <v>5.491631333</v>
      </c>
      <c r="I778" s="65">
        <v>0.2358818094</v>
      </c>
      <c r="J778" s="65">
        <v>0.4516743440669001</v>
      </c>
      <c r="K778" s="65">
        <v>4.313561149554068</v>
      </c>
      <c r="L778" s="65">
        <v>0.49051403</v>
      </c>
      <c r="N778" s="66">
        <v>3.270093533333333</v>
      </c>
      <c r="O778" s="10">
        <f t="shared" si="227"/>
        <v>3.270093533</v>
      </c>
      <c r="Q778" s="67">
        <v>42.110089</v>
      </c>
      <c r="S778" s="68">
        <v>0.3191126</v>
      </c>
      <c r="T778" s="68">
        <v>0.31082276</v>
      </c>
      <c r="U778" s="68">
        <v>0.0051547344</v>
      </c>
      <c r="V778" s="68">
        <v>0.0031350992</v>
      </c>
      <c r="X778" s="69">
        <v>0.0029587913</v>
      </c>
      <c r="Y778" s="70"/>
      <c r="Z778" s="73" t="s">
        <v>1213</v>
      </c>
    </row>
    <row r="779" ht="12.75" customHeight="1">
      <c r="A779" s="1" t="s">
        <v>1214</v>
      </c>
      <c r="B779" s="2" t="s">
        <v>1068</v>
      </c>
      <c r="C779" s="60" t="str">
        <f t="shared" si="224"/>
        <v>A.100.30.108</v>
      </c>
      <c r="D779" s="51" t="s">
        <v>1195</v>
      </c>
      <c r="E779" s="62" t="s">
        <v>45</v>
      </c>
      <c r="F779" s="63" t="str">
        <f t="shared" si="225"/>
        <v>CuZn15</v>
      </c>
      <c r="G779" s="64">
        <v>3.4018381510824676</v>
      </c>
      <c r="H779" s="10">
        <f t="shared" si="226"/>
        <v>3.401838151</v>
      </c>
      <c r="I779" s="65">
        <v>0.08754251348</v>
      </c>
      <c r="J779" s="65">
        <v>0.223978410539</v>
      </c>
      <c r="K779" s="65">
        <v>2.6708543970634677</v>
      </c>
      <c r="L779" s="65">
        <v>0.41946283</v>
      </c>
      <c r="N779" s="66">
        <v>2.796418866666667</v>
      </c>
      <c r="O779" s="10">
        <f t="shared" si="227"/>
        <v>2.796418867</v>
      </c>
      <c r="Q779" s="67">
        <v>48.357379</v>
      </c>
      <c r="S779" s="68">
        <v>0.12420414</v>
      </c>
      <c r="T779" s="68">
        <v>0.11763804</v>
      </c>
      <c r="U779" s="68">
        <v>0.0034939364</v>
      </c>
      <c r="V779" s="68">
        <v>0.0030721639</v>
      </c>
      <c r="X779" s="69">
        <v>0.0012557477</v>
      </c>
      <c r="Y779" s="70"/>
      <c r="Z779" s="73" t="s">
        <v>1215</v>
      </c>
    </row>
    <row r="780" ht="12.75" customHeight="1">
      <c r="A780" s="1" t="s">
        <v>1216</v>
      </c>
      <c r="B780" s="2" t="s">
        <v>1068</v>
      </c>
      <c r="C780" s="60" t="str">
        <f t="shared" si="224"/>
        <v>A.100.30.109</v>
      </c>
      <c r="D780" s="51" t="s">
        <v>1195</v>
      </c>
      <c r="E780" s="62" t="s">
        <v>45</v>
      </c>
      <c r="F780" s="63" t="str">
        <f t="shared" si="225"/>
        <v>CuZn30</v>
      </c>
      <c r="G780" s="64">
        <v>3.1946178933500455</v>
      </c>
      <c r="H780" s="10">
        <f t="shared" si="226"/>
        <v>3.194617893</v>
      </c>
      <c r="I780" s="65">
        <v>0.072481104</v>
      </c>
      <c r="J780" s="65">
        <v>0.23625516430359997</v>
      </c>
      <c r="K780" s="65">
        <v>2.4455420850464455</v>
      </c>
      <c r="L780" s="65">
        <v>0.44033954</v>
      </c>
      <c r="N780" s="66">
        <v>2.935596933333333</v>
      </c>
      <c r="O780" s="10">
        <f t="shared" si="227"/>
        <v>2.935596933</v>
      </c>
      <c r="Q780" s="67">
        <v>52.49575</v>
      </c>
      <c r="S780" s="68">
        <v>0.12906256</v>
      </c>
      <c r="T780" s="68">
        <v>0.1219451</v>
      </c>
      <c r="U780" s="68">
        <v>0.0036451496</v>
      </c>
      <c r="V780" s="68">
        <v>0.0034723162</v>
      </c>
      <c r="X780" s="69">
        <v>0.0011781128</v>
      </c>
      <c r="Y780" s="70"/>
      <c r="Z780" s="73" t="s">
        <v>1217</v>
      </c>
    </row>
    <row r="781" ht="12.75" customHeight="1">
      <c r="A781" s="1" t="s">
        <v>1218</v>
      </c>
      <c r="B781" s="2" t="s">
        <v>1068</v>
      </c>
      <c r="C781" s="60" t="str">
        <f t="shared" si="224"/>
        <v>A.100.30.110</v>
      </c>
      <c r="D781" s="51" t="s">
        <v>1195</v>
      </c>
      <c r="E781" s="62" t="s">
        <v>45</v>
      </c>
      <c r="F781" s="63" t="str">
        <f t="shared" si="225"/>
        <v>CuZn37 (Brass)</v>
      </c>
      <c r="G781" s="64">
        <v>3.097915129632157</v>
      </c>
      <c r="H781" s="10">
        <f t="shared" si="226"/>
        <v>3.09791513</v>
      </c>
      <c r="I781" s="65">
        <v>0.06545244653</v>
      </c>
      <c r="J781" s="65">
        <v>0.241984313597</v>
      </c>
      <c r="K781" s="65">
        <v>2.340396359505157</v>
      </c>
      <c r="L781" s="65">
        <v>0.45008201</v>
      </c>
      <c r="N781" s="66">
        <v>3.000546733333333</v>
      </c>
      <c r="O781" s="10">
        <f t="shared" si="227"/>
        <v>3.000546733</v>
      </c>
      <c r="Q781" s="67">
        <v>54.426989</v>
      </c>
      <c r="S781" s="68">
        <v>0.13132983</v>
      </c>
      <c r="T781" s="68">
        <v>0.12395506</v>
      </c>
      <c r="U781" s="68">
        <v>0.0037157158</v>
      </c>
      <c r="V781" s="68">
        <v>0.003659054</v>
      </c>
      <c r="X781" s="69">
        <v>0.0011418832</v>
      </c>
      <c r="Y781" s="70"/>
      <c r="Z781" s="73" t="s">
        <v>1219</v>
      </c>
    </row>
    <row r="782" ht="12.75" customHeight="1">
      <c r="A782" s="1" t="s">
        <v>1220</v>
      </c>
      <c r="B782" s="2" t="s">
        <v>1068</v>
      </c>
      <c r="C782" s="60" t="str">
        <f t="shared" si="224"/>
        <v>A.100.30.111</v>
      </c>
      <c r="D782" s="51" t="s">
        <v>1195</v>
      </c>
      <c r="E782" s="62" t="s">
        <v>45</v>
      </c>
      <c r="F782" s="63" t="str">
        <f t="shared" si="225"/>
        <v>CuZn40 (Muntz metal)</v>
      </c>
      <c r="G782" s="64">
        <v>3.05647115827165</v>
      </c>
      <c r="H782" s="10">
        <f t="shared" si="226"/>
        <v>3.056471158</v>
      </c>
      <c r="I782" s="65">
        <v>0.06244016441</v>
      </c>
      <c r="J782" s="65">
        <v>0.2444396661599</v>
      </c>
      <c r="K782" s="65">
        <v>2.29533397770175</v>
      </c>
      <c r="L782" s="65">
        <v>0.45425735</v>
      </c>
      <c r="N782" s="66">
        <v>3.0283823333333335</v>
      </c>
      <c r="O782" s="10">
        <f t="shared" si="227"/>
        <v>3.028382333</v>
      </c>
      <c r="Q782" s="67">
        <v>55.254664</v>
      </c>
      <c r="S782" s="68">
        <v>0.13230151</v>
      </c>
      <c r="T782" s="68">
        <v>0.12481647</v>
      </c>
      <c r="U782" s="68">
        <v>0.0037459585</v>
      </c>
      <c r="V782" s="68">
        <v>0.0037390845</v>
      </c>
      <c r="X782" s="69">
        <v>0.0011263563</v>
      </c>
      <c r="Y782" s="70"/>
      <c r="Z782" s="73" t="s">
        <v>1221</v>
      </c>
    </row>
    <row r="783" ht="12.75" customHeight="1">
      <c r="A783" s="1" t="s">
        <v>1222</v>
      </c>
      <c r="B783" s="2" t="s">
        <v>1068</v>
      </c>
      <c r="C783" s="60" t="str">
        <f t="shared" si="224"/>
        <v>A.100.30.112</v>
      </c>
      <c r="D783" s="51" t="s">
        <v>1195</v>
      </c>
      <c r="E783" s="62" t="s">
        <v>45</v>
      </c>
      <c r="F783" s="63" t="str">
        <f t="shared" si="225"/>
        <v>CuZn40Pb (Brass alloy, alpha-beta, machinable)</v>
      </c>
      <c r="G783" s="64">
        <v>3.030371883424267</v>
      </c>
      <c r="H783" s="10">
        <f t="shared" si="226"/>
        <v>3.030371883</v>
      </c>
      <c r="I783" s="65">
        <v>0.06236572619999999</v>
      </c>
      <c r="J783" s="65">
        <v>0.24857617714080002</v>
      </c>
      <c r="K783" s="65">
        <v>2.268820540083467</v>
      </c>
      <c r="L783" s="65">
        <v>0.45060944</v>
      </c>
      <c r="N783" s="66">
        <v>3.0040629333333335</v>
      </c>
      <c r="O783" s="10">
        <f t="shared" si="227"/>
        <v>3.004062933</v>
      </c>
      <c r="Q783" s="67">
        <v>54.740008</v>
      </c>
      <c r="S783" s="68">
        <v>0.13280258</v>
      </c>
      <c r="T783" s="68">
        <v>0.12532863</v>
      </c>
      <c r="U783" s="68">
        <v>0.0037443964</v>
      </c>
      <c r="V783" s="68">
        <v>0.0037295545</v>
      </c>
      <c r="X783" s="69">
        <v>0.0010968793</v>
      </c>
      <c r="Y783" s="70"/>
      <c r="Z783" s="73" t="s">
        <v>1223</v>
      </c>
    </row>
    <row r="784" ht="12.75" customHeight="1">
      <c r="A784" s="1" t="s">
        <v>1224</v>
      </c>
      <c r="B784" s="2" t="s">
        <v>1068</v>
      </c>
      <c r="C784" s="60" t="str">
        <f t="shared" si="224"/>
        <v>A.100.30.113</v>
      </c>
      <c r="D784" s="51" t="s">
        <v>1195</v>
      </c>
      <c r="E784" s="62" t="s">
        <v>45</v>
      </c>
      <c r="F784" s="63" t="str">
        <f t="shared" si="225"/>
        <v>G-CuAl10Fe</v>
      </c>
      <c r="G784" s="64">
        <v>3.3738247281305163</v>
      </c>
      <c r="H784" s="10">
        <f t="shared" si="226"/>
        <v>3.373824728</v>
      </c>
      <c r="I784" s="65">
        <v>0.09853853991</v>
      </c>
      <c r="J784" s="65">
        <v>0.20790019396799997</v>
      </c>
      <c r="K784" s="65">
        <v>2.589129994252516</v>
      </c>
      <c r="L784" s="65">
        <v>0.478256</v>
      </c>
      <c r="N784" s="66">
        <v>3.1883733333333337</v>
      </c>
      <c r="O784" s="10">
        <f t="shared" si="227"/>
        <v>3.188373333</v>
      </c>
      <c r="Q784" s="67">
        <v>47.483483</v>
      </c>
      <c r="S784" s="68">
        <v>0.1238534</v>
      </c>
      <c r="T784" s="68">
        <v>0.1175763</v>
      </c>
      <c r="U784" s="68">
        <v>0.0037156871</v>
      </c>
      <c r="V784" s="68">
        <v>0.0025614157</v>
      </c>
      <c r="X784" s="69">
        <v>0.0012028463</v>
      </c>
      <c r="Y784" s="70"/>
      <c r="Z784" s="73" t="s">
        <v>1225</v>
      </c>
    </row>
    <row r="785" ht="12.75" customHeight="1">
      <c r="A785" s="1" t="s">
        <v>1226</v>
      </c>
      <c r="B785" s="2" t="s">
        <v>1068</v>
      </c>
      <c r="C785" s="60" t="str">
        <f t="shared" si="224"/>
        <v>A.100.30.114</v>
      </c>
      <c r="D785" s="51" t="s">
        <v>1195</v>
      </c>
      <c r="E785" s="62" t="s">
        <v>45</v>
      </c>
      <c r="F785" s="63" t="str">
        <f t="shared" si="225"/>
        <v>G-CuAl10Ni</v>
      </c>
      <c r="G785" s="64">
        <v>4.524529303579739</v>
      </c>
      <c r="H785" s="10">
        <f t="shared" si="226"/>
        <v>4.524529304</v>
      </c>
      <c r="I785" s="65">
        <v>0.11825098953</v>
      </c>
      <c r="J785" s="65">
        <v>0.8444911464330002</v>
      </c>
      <c r="K785" s="65">
        <v>3.012523147616739</v>
      </c>
      <c r="L785" s="65">
        <v>0.54926402</v>
      </c>
      <c r="N785" s="66">
        <v>3.6617601333333334</v>
      </c>
      <c r="O785" s="10">
        <f t="shared" si="227"/>
        <v>3.661760133</v>
      </c>
      <c r="Q785" s="67">
        <v>56.611768</v>
      </c>
      <c r="S785" s="68">
        <v>0.32771151</v>
      </c>
      <c r="T785" s="68">
        <v>0.31649634</v>
      </c>
      <c r="U785" s="68">
        <v>0.007746759</v>
      </c>
      <c r="V785" s="68">
        <v>0.0034684044</v>
      </c>
      <c r="X785" s="69">
        <v>0.001330192</v>
      </c>
      <c r="Y785" s="70"/>
      <c r="Z785" s="73" t="s">
        <v>1227</v>
      </c>
    </row>
    <row r="786" ht="12.75" customHeight="1">
      <c r="A786" s="1" t="s">
        <v>1228</v>
      </c>
      <c r="B786" s="2" t="s">
        <v>1068</v>
      </c>
      <c r="C786" s="60" t="str">
        <f t="shared" si="224"/>
        <v>A.100.30.115</v>
      </c>
      <c r="D786" s="51" t="s">
        <v>1195</v>
      </c>
      <c r="E786" s="62" t="s">
        <v>45</v>
      </c>
      <c r="F786" s="63" t="str">
        <f t="shared" si="225"/>
        <v>G-CuNi10</v>
      </c>
      <c r="G786" s="64">
        <v>5.731070887256725</v>
      </c>
      <c r="H786" s="10">
        <f t="shared" si="226"/>
        <v>5.731070887</v>
      </c>
      <c r="I786" s="65">
        <v>0.14675776280000002</v>
      </c>
      <c r="J786" s="65">
        <v>1.3806145501866998</v>
      </c>
      <c r="K786" s="65">
        <v>3.6704814842700246</v>
      </c>
      <c r="L786" s="65">
        <v>0.53321709</v>
      </c>
      <c r="N786" s="66">
        <v>3.5547806</v>
      </c>
      <c r="O786" s="10">
        <f t="shared" si="227"/>
        <v>3.5547806</v>
      </c>
      <c r="Q786" s="67">
        <v>60.651308</v>
      </c>
      <c r="S786" s="68">
        <v>0.55155576</v>
      </c>
      <c r="T786" s="68">
        <v>0.53651037</v>
      </c>
      <c r="U786" s="68">
        <v>0.010740174</v>
      </c>
      <c r="V786" s="68">
        <v>0.0043052177</v>
      </c>
      <c r="X786" s="69">
        <v>0.0015770161</v>
      </c>
      <c r="Y786" s="70"/>
      <c r="Z786" s="73" t="s">
        <v>1229</v>
      </c>
    </row>
    <row r="787" ht="12.75" customHeight="1">
      <c r="A787" s="1" t="s">
        <v>1230</v>
      </c>
      <c r="B787" s="2" t="s">
        <v>1068</v>
      </c>
      <c r="C787" s="60" t="str">
        <f t="shared" si="224"/>
        <v>A.100.30.116</v>
      </c>
      <c r="D787" s="51" t="s">
        <v>1195</v>
      </c>
      <c r="E787" s="62" t="s">
        <v>45</v>
      </c>
      <c r="F787" s="63" t="str">
        <f t="shared" si="225"/>
        <v>G-CuSn10</v>
      </c>
      <c r="G787" s="64">
        <v>5.962274518180053</v>
      </c>
      <c r="H787" s="10">
        <f t="shared" si="226"/>
        <v>5.962274518</v>
      </c>
      <c r="I787" s="65">
        <v>0.269201286</v>
      </c>
      <c r="J787" s="65">
        <v>0.5116675130075999</v>
      </c>
      <c r="K787" s="65">
        <v>4.667909709172454</v>
      </c>
      <c r="L787" s="65">
        <v>0.51349601</v>
      </c>
      <c r="N787" s="66">
        <v>3.4233067333333334</v>
      </c>
      <c r="O787" s="10">
        <f t="shared" si="227"/>
        <v>3.423306733</v>
      </c>
      <c r="Q787" s="67">
        <v>41.582859</v>
      </c>
      <c r="S787" s="68">
        <v>0.36905432</v>
      </c>
      <c r="T787" s="68">
        <v>0.36019571</v>
      </c>
      <c r="U787" s="68">
        <v>0.0056077373</v>
      </c>
      <c r="V787" s="68">
        <v>0.0032508711</v>
      </c>
      <c r="X787" s="69">
        <v>0.0033651435</v>
      </c>
      <c r="Y787" s="70"/>
      <c r="Z787" s="73" t="s">
        <v>1231</v>
      </c>
    </row>
    <row r="788" ht="12.75" customHeight="1">
      <c r="A788" s="1" t="s">
        <v>1232</v>
      </c>
      <c r="B788" s="2" t="s">
        <v>1068</v>
      </c>
      <c r="C788" s="60" t="str">
        <f t="shared" si="224"/>
        <v>A.100.30.117</v>
      </c>
      <c r="D788" s="51" t="s">
        <v>1195</v>
      </c>
      <c r="E788" s="62" t="s">
        <v>45</v>
      </c>
      <c r="F788" s="63" t="str">
        <f t="shared" si="225"/>
        <v>G-CuSn12</v>
      </c>
      <c r="G788" s="64">
        <v>6.4329177827290405</v>
      </c>
      <c r="H788" s="10">
        <f t="shared" si="226"/>
        <v>6.432917783</v>
      </c>
      <c r="I788" s="65">
        <v>0.302520759</v>
      </c>
      <c r="J788" s="65">
        <v>0.5716606749381999</v>
      </c>
      <c r="K788" s="65">
        <v>5.02225836879084</v>
      </c>
      <c r="L788" s="65">
        <v>0.53647798</v>
      </c>
      <c r="N788" s="66">
        <v>3.576519866666667</v>
      </c>
      <c r="O788" s="10">
        <f t="shared" si="227"/>
        <v>3.576519867</v>
      </c>
      <c r="Q788" s="67">
        <v>41.055629</v>
      </c>
      <c r="S788" s="68">
        <v>0.41899604</v>
      </c>
      <c r="T788" s="68">
        <v>0.40956866</v>
      </c>
      <c r="U788" s="68">
        <v>0.0060607401</v>
      </c>
      <c r="V788" s="68">
        <v>0.003366643</v>
      </c>
      <c r="X788" s="69">
        <v>0.0037714957</v>
      </c>
      <c r="Y788" s="70"/>
      <c r="Z788" s="73" t="s">
        <v>1233</v>
      </c>
    </row>
    <row r="789" ht="12.75" customHeight="1">
      <c r="A789" s="1" t="s">
        <v>1234</v>
      </c>
      <c r="B789" s="2" t="s">
        <v>1068</v>
      </c>
      <c r="C789" s="60" t="str">
        <f t="shared" si="224"/>
        <v>A.100.30.118</v>
      </c>
      <c r="D789" s="51" t="s">
        <v>1195</v>
      </c>
      <c r="E789" s="62" t="s">
        <v>45</v>
      </c>
      <c r="F789" s="63" t="str">
        <f t="shared" si="225"/>
        <v>G-CuSn5Zn5Pb5</v>
      </c>
      <c r="G789" s="64">
        <v>4.6569772042846065</v>
      </c>
      <c r="H789" s="10">
        <f t="shared" si="226"/>
        <v>4.656977204</v>
      </c>
      <c r="I789" s="65">
        <v>0.179586627</v>
      </c>
      <c r="J789" s="65">
        <v>0.37362587778449996</v>
      </c>
      <c r="K789" s="65">
        <v>3.6452208395001064</v>
      </c>
      <c r="L789" s="65">
        <v>0.45854386</v>
      </c>
      <c r="N789" s="66">
        <v>3.056959066666667</v>
      </c>
      <c r="O789" s="10">
        <f t="shared" si="227"/>
        <v>3.056959067</v>
      </c>
      <c r="Q789" s="67">
        <v>43.744505</v>
      </c>
      <c r="S789" s="68">
        <v>0.24703248</v>
      </c>
      <c r="T789" s="68">
        <v>0.23938763</v>
      </c>
      <c r="U789" s="68">
        <v>0.0045347923</v>
      </c>
      <c r="V789" s="68">
        <v>0.0031100652</v>
      </c>
      <c r="X789" s="69">
        <v>0.0022682183</v>
      </c>
      <c r="Y789" s="70"/>
      <c r="Z789" s="73" t="s">
        <v>1235</v>
      </c>
    </row>
    <row r="790" ht="12.75" customHeight="1">
      <c r="A790" s="1" t="s">
        <v>1236</v>
      </c>
      <c r="B790" s="2" t="s">
        <v>1068</v>
      </c>
      <c r="C790" s="60" t="str">
        <f t="shared" si="224"/>
        <v>A.100.30.119</v>
      </c>
      <c r="D790" s="51" t="s">
        <v>1195</v>
      </c>
      <c r="E790" s="62" t="s">
        <v>45</v>
      </c>
      <c r="F790" s="63" t="str">
        <f t="shared" si="225"/>
        <v>G-CuZn15</v>
      </c>
      <c r="G790" s="64">
        <v>3.4018381510824676</v>
      </c>
      <c r="H790" s="10">
        <f t="shared" si="226"/>
        <v>3.401838151</v>
      </c>
      <c r="I790" s="65">
        <v>0.08754251348</v>
      </c>
      <c r="J790" s="65">
        <v>0.223978410539</v>
      </c>
      <c r="K790" s="65">
        <v>2.6708543970634677</v>
      </c>
      <c r="L790" s="65">
        <v>0.41946283</v>
      </c>
      <c r="N790" s="66">
        <v>2.796418866666667</v>
      </c>
      <c r="O790" s="10">
        <f t="shared" si="227"/>
        <v>2.796418867</v>
      </c>
      <c r="Q790" s="67">
        <v>48.357379</v>
      </c>
      <c r="S790" s="68">
        <v>0.12420414</v>
      </c>
      <c r="T790" s="68">
        <v>0.11763804</v>
      </c>
      <c r="U790" s="68">
        <v>0.0034939364</v>
      </c>
      <c r="V790" s="68">
        <v>0.0030721639</v>
      </c>
      <c r="X790" s="69">
        <v>0.0012557477</v>
      </c>
      <c r="Y790" s="70"/>
      <c r="Z790" s="73" t="s">
        <v>1237</v>
      </c>
    </row>
    <row r="791" ht="12.75" customHeight="1">
      <c r="A791" s="1" t="s">
        <v>1238</v>
      </c>
      <c r="B791" s="2" t="s">
        <v>1068</v>
      </c>
      <c r="C791" s="60" t="str">
        <f t="shared" si="224"/>
        <v>A.100.30.120</v>
      </c>
      <c r="D791" s="51" t="s">
        <v>1195</v>
      </c>
      <c r="E791" s="62" t="s">
        <v>45</v>
      </c>
      <c r="F791" s="63" t="str">
        <f t="shared" si="225"/>
        <v>G-CuZn37Pb</v>
      </c>
      <c r="G791" s="64">
        <v>3.072759862609178</v>
      </c>
      <c r="H791" s="10">
        <f t="shared" si="226"/>
        <v>3.072759863</v>
      </c>
      <c r="I791" s="65">
        <v>0.06496484545</v>
      </c>
      <c r="J791" s="65">
        <v>0.24430417657800002</v>
      </c>
      <c r="K791" s="65">
        <v>2.310767310581178</v>
      </c>
      <c r="L791" s="65">
        <v>0.45272353</v>
      </c>
      <c r="N791" s="66">
        <v>3.0181568666666667</v>
      </c>
      <c r="O791" s="10">
        <f t="shared" si="227"/>
        <v>3.018156867</v>
      </c>
      <c r="Q791" s="67">
        <v>54.456034</v>
      </c>
      <c r="S791" s="68">
        <v>0.13200779</v>
      </c>
      <c r="T791" s="68">
        <v>0.12461006</v>
      </c>
      <c r="U791" s="68">
        <v>0.0037385891</v>
      </c>
      <c r="V791" s="68">
        <v>0.0036591405</v>
      </c>
      <c r="X791" s="69">
        <v>0.0011206166</v>
      </c>
      <c r="Y791" s="70"/>
      <c r="Z791" s="73" t="s">
        <v>1239</v>
      </c>
    </row>
    <row r="792" ht="12.75" customHeight="1">
      <c r="A792" s="1" t="s">
        <v>1240</v>
      </c>
      <c r="B792" s="2" t="s">
        <v>1068</v>
      </c>
      <c r="C792" s="60" t="str">
        <f t="shared" si="224"/>
        <v>A.100.30.121</v>
      </c>
      <c r="D792" s="51" t="s">
        <v>1195</v>
      </c>
      <c r="E792" s="62" t="s">
        <v>45</v>
      </c>
      <c r="F792" s="63" t="str">
        <f t="shared" si="225"/>
        <v>G-CuZn40</v>
      </c>
      <c r="G792" s="64">
        <v>3.05647115827165</v>
      </c>
      <c r="H792" s="10">
        <f t="shared" si="226"/>
        <v>3.056471158</v>
      </c>
      <c r="I792" s="65">
        <v>0.06244016441</v>
      </c>
      <c r="J792" s="65">
        <v>0.2444396661599</v>
      </c>
      <c r="K792" s="65">
        <v>2.29533397770175</v>
      </c>
      <c r="L792" s="65">
        <v>0.45425735</v>
      </c>
      <c r="N792" s="66">
        <v>3.0283823333333335</v>
      </c>
      <c r="O792" s="10">
        <f t="shared" si="227"/>
        <v>3.028382333</v>
      </c>
      <c r="Q792" s="67">
        <v>55.254664</v>
      </c>
      <c r="S792" s="68">
        <v>0.13230151</v>
      </c>
      <c r="T792" s="68">
        <v>0.12481647</v>
      </c>
      <c r="U792" s="68">
        <v>0.0037459585</v>
      </c>
      <c r="V792" s="68">
        <v>0.0037390845</v>
      </c>
      <c r="X792" s="69">
        <v>0.0011263563</v>
      </c>
      <c r="Y792" s="70"/>
      <c r="Z792" s="73" t="s">
        <v>1241</v>
      </c>
    </row>
    <row r="793" ht="12.75" customHeight="1">
      <c r="B793" s="2"/>
      <c r="C793" s="60"/>
      <c r="D793" s="75" t="s">
        <v>1242</v>
      </c>
      <c r="E793" s="62"/>
      <c r="G793" s="10"/>
      <c r="H793" s="10"/>
      <c r="I793" s="10"/>
      <c r="J793" s="10"/>
      <c r="K793" s="10"/>
      <c r="L793" s="10"/>
      <c r="N793" s="10"/>
      <c r="O793" s="10"/>
      <c r="Q793" s="67"/>
      <c r="Y793" s="71"/>
      <c r="Z793" s="48"/>
    </row>
    <row r="794" ht="12.75" customHeight="1">
      <c r="A794" s="1" t="s">
        <v>1243</v>
      </c>
      <c r="B794" s="2" t="s">
        <v>1068</v>
      </c>
      <c r="C794" s="60" t="str">
        <f t="shared" ref="C794:C803" si="228">MID(A794,1,12)</f>
        <v>A.100.32.101</v>
      </c>
      <c r="D794" s="51" t="s">
        <v>1242</v>
      </c>
      <c r="E794" s="62" t="s">
        <v>45</v>
      </c>
      <c r="F794" s="63" t="str">
        <f t="shared" ref="F794:F803" si="229">MID(A794, 21,85)</f>
        <v>AM100A</v>
      </c>
      <c r="G794" s="64">
        <v>4.124234567519914</v>
      </c>
      <c r="H794" s="10">
        <f t="shared" ref="H794:H803" si="230">G794</f>
        <v>4.124234568</v>
      </c>
      <c r="I794" s="65">
        <v>0.1619945902</v>
      </c>
      <c r="J794" s="65">
        <v>0.24078738637799998</v>
      </c>
      <c r="K794" s="65">
        <v>0.21003589094191402</v>
      </c>
      <c r="L794" s="65">
        <v>3.5114167</v>
      </c>
      <c r="N794" s="66">
        <v>23.409444666666666</v>
      </c>
      <c r="O794" s="10">
        <f t="shared" ref="O794:O803" si="231">N794</f>
        <v>23.40944467</v>
      </c>
      <c r="Q794" s="67">
        <v>343.2137</v>
      </c>
      <c r="S794" s="68">
        <v>0.44395789</v>
      </c>
      <c r="T794" s="68">
        <v>0.40060885</v>
      </c>
      <c r="U794" s="68">
        <v>0.018530494</v>
      </c>
      <c r="V794" s="68">
        <v>0.024818546</v>
      </c>
      <c r="X794" s="69">
        <v>0.001145379</v>
      </c>
      <c r="Y794" s="70"/>
      <c r="Z794" s="73" t="s">
        <v>1244</v>
      </c>
    </row>
    <row r="795" ht="12.75" customHeight="1">
      <c r="A795" s="1" t="s">
        <v>1245</v>
      </c>
      <c r="B795" s="2" t="s">
        <v>1068</v>
      </c>
      <c r="C795" s="60" t="str">
        <f t="shared" si="228"/>
        <v>A.100.32.102</v>
      </c>
      <c r="D795" s="51" t="s">
        <v>1242</v>
      </c>
      <c r="E795" s="62" t="s">
        <v>45</v>
      </c>
      <c r="F795" s="63" t="str">
        <f t="shared" si="229"/>
        <v>AM503</v>
      </c>
      <c r="G795" s="64">
        <v>4.324273323609511</v>
      </c>
      <c r="H795" s="10">
        <f t="shared" si="230"/>
        <v>4.324273324</v>
      </c>
      <c r="I795" s="65">
        <v>0.17643212309999998</v>
      </c>
      <c r="J795" s="65">
        <v>0.253264872207</v>
      </c>
      <c r="K795" s="65">
        <v>0.16259072830251184</v>
      </c>
      <c r="L795" s="65">
        <v>3.7319856</v>
      </c>
      <c r="N795" s="66">
        <v>24.879904</v>
      </c>
      <c r="O795" s="10">
        <f t="shared" si="231"/>
        <v>24.879904</v>
      </c>
      <c r="Q795" s="67">
        <v>367.84701</v>
      </c>
      <c r="S795" s="68">
        <v>0.52169731</v>
      </c>
      <c r="T795" s="68">
        <v>0.47502718</v>
      </c>
      <c r="U795" s="68">
        <v>0.019615757</v>
      </c>
      <c r="V795" s="68">
        <v>0.027054372</v>
      </c>
      <c r="X795" s="69">
        <v>0.0012275416</v>
      </c>
      <c r="Y795" s="70"/>
      <c r="Z795" s="73" t="s">
        <v>1246</v>
      </c>
    </row>
    <row r="796" ht="12.75" customHeight="1">
      <c r="A796" s="1" t="s">
        <v>1247</v>
      </c>
      <c r="B796" s="2" t="s">
        <v>1068</v>
      </c>
      <c r="C796" s="60" t="str">
        <f t="shared" si="228"/>
        <v>A.100.32.103</v>
      </c>
      <c r="D796" s="51" t="s">
        <v>1242</v>
      </c>
      <c r="E796" s="62" t="s">
        <v>45</v>
      </c>
      <c r="F796" s="63" t="str">
        <f t="shared" si="229"/>
        <v>G-MgAl6Zn3</v>
      </c>
      <c r="G796" s="64">
        <v>4.147776042635738</v>
      </c>
      <c r="H796" s="10">
        <f t="shared" si="230"/>
        <v>4.147776043</v>
      </c>
      <c r="I796" s="65">
        <v>0.16042837820000003</v>
      </c>
      <c r="J796" s="65">
        <v>0.243812729154</v>
      </c>
      <c r="K796" s="65">
        <v>0.226509235281738</v>
      </c>
      <c r="L796" s="65">
        <v>3.5170257</v>
      </c>
      <c r="N796" s="66">
        <v>23.446838</v>
      </c>
      <c r="O796" s="10">
        <f t="shared" si="231"/>
        <v>23.446838</v>
      </c>
      <c r="Q796" s="67">
        <v>345.75991</v>
      </c>
      <c r="S796" s="68">
        <v>0.44584501</v>
      </c>
      <c r="T796" s="68">
        <v>0.40210484</v>
      </c>
      <c r="U796" s="68">
        <v>0.018561649</v>
      </c>
      <c r="V796" s="68">
        <v>0.025178526</v>
      </c>
      <c r="X796" s="69">
        <v>0.0011663899</v>
      </c>
      <c r="Y796" s="70"/>
      <c r="Z796" s="73" t="s">
        <v>1248</v>
      </c>
    </row>
    <row r="797" ht="12.75" customHeight="1">
      <c r="A797" s="1" t="s">
        <v>1249</v>
      </c>
      <c r="B797" s="2" t="s">
        <v>1068</v>
      </c>
      <c r="C797" s="60" t="str">
        <f t="shared" si="228"/>
        <v>A.100.32.104</v>
      </c>
      <c r="D797" s="51" t="s">
        <v>1242</v>
      </c>
      <c r="E797" s="62" t="s">
        <v>45</v>
      </c>
      <c r="F797" s="63" t="str">
        <f t="shared" si="229"/>
        <v>G-MgAl8Zn1</v>
      </c>
      <c r="G797" s="64">
        <v>4.160688659214868</v>
      </c>
      <c r="H797" s="10">
        <f t="shared" si="230"/>
        <v>4.160688659</v>
      </c>
      <c r="I797" s="65">
        <v>0.1630405797</v>
      </c>
      <c r="J797" s="65">
        <v>0.242264518318</v>
      </c>
      <c r="K797" s="65">
        <v>0.206431461196868</v>
      </c>
      <c r="L797" s="65">
        <v>3.5489521</v>
      </c>
      <c r="N797" s="66">
        <v>23.65968066666667</v>
      </c>
      <c r="O797" s="10">
        <f t="shared" si="231"/>
        <v>23.65968067</v>
      </c>
      <c r="Q797" s="67">
        <v>347.89119</v>
      </c>
      <c r="S797" s="68">
        <v>0.44986121</v>
      </c>
      <c r="T797" s="68">
        <v>0.40588295</v>
      </c>
      <c r="U797" s="68">
        <v>0.018712627</v>
      </c>
      <c r="V797" s="68">
        <v>0.02526563</v>
      </c>
      <c r="X797" s="69">
        <v>0.0011623578</v>
      </c>
      <c r="Y797" s="70"/>
      <c r="Z797" s="73" t="s">
        <v>1250</v>
      </c>
    </row>
    <row r="798" ht="12.75" customHeight="1">
      <c r="A798" s="1" t="s">
        <v>1251</v>
      </c>
      <c r="B798" s="2" t="s">
        <v>1068</v>
      </c>
      <c r="C798" s="60" t="str">
        <f t="shared" si="228"/>
        <v>A.100.32.105</v>
      </c>
      <c r="D798" s="51" t="s">
        <v>1242</v>
      </c>
      <c r="E798" s="62" t="s">
        <v>45</v>
      </c>
      <c r="F798" s="63" t="str">
        <f t="shared" si="229"/>
        <v>G-MgAl9Zn2</v>
      </c>
      <c r="G798" s="64">
        <v>4.104324739238532</v>
      </c>
      <c r="H798" s="10">
        <f t="shared" si="230"/>
        <v>4.104324739</v>
      </c>
      <c r="I798" s="65">
        <v>0.15952983140000002</v>
      </c>
      <c r="J798" s="65">
        <v>0.24220273403100004</v>
      </c>
      <c r="K798" s="65">
        <v>0.229609073807532</v>
      </c>
      <c r="L798" s="65">
        <v>3.4729831</v>
      </c>
      <c r="N798" s="66">
        <v>23.153220666666666</v>
      </c>
      <c r="O798" s="10">
        <f t="shared" si="231"/>
        <v>23.15322067</v>
      </c>
      <c r="Q798" s="67">
        <v>340.14884</v>
      </c>
      <c r="S798" s="68">
        <v>0.4405496</v>
      </c>
      <c r="T798" s="68">
        <v>0.39756431</v>
      </c>
      <c r="U798" s="68">
        <v>0.018348483</v>
      </c>
      <c r="V798" s="68">
        <v>0.024636803</v>
      </c>
      <c r="X798" s="69">
        <v>0.0011456564</v>
      </c>
      <c r="Y798" s="70"/>
      <c r="Z798" s="73" t="s">
        <v>1252</v>
      </c>
    </row>
    <row r="799" ht="12.75" customHeight="1">
      <c r="A799" s="1" t="s">
        <v>1253</v>
      </c>
      <c r="B799" s="2" t="s">
        <v>1068</v>
      </c>
      <c r="C799" s="60" t="str">
        <f t="shared" si="228"/>
        <v>A.100.32.106</v>
      </c>
      <c r="D799" s="51" t="s">
        <v>1242</v>
      </c>
      <c r="E799" s="62" t="s">
        <v>45</v>
      </c>
      <c r="F799" s="63" t="str">
        <f t="shared" si="229"/>
        <v>GD-MgAl9Zn1</v>
      </c>
      <c r="G799" s="64">
        <v>4.130781233404689</v>
      </c>
      <c r="H799" s="10">
        <f t="shared" si="230"/>
        <v>4.130781233</v>
      </c>
      <c r="I799" s="65">
        <v>0.161847253</v>
      </c>
      <c r="J799" s="65">
        <v>0.241759219951</v>
      </c>
      <c r="K799" s="65">
        <v>0.213647860453689</v>
      </c>
      <c r="L799" s="65">
        <v>3.5135269</v>
      </c>
      <c r="N799" s="66">
        <v>23.423512666666667</v>
      </c>
      <c r="O799" s="10">
        <f t="shared" si="231"/>
        <v>23.42351267</v>
      </c>
      <c r="Q799" s="67">
        <v>343.89084</v>
      </c>
      <c r="S799" s="68">
        <v>0.44594145</v>
      </c>
      <c r="T799" s="68">
        <v>0.40248779</v>
      </c>
      <c r="U799" s="68">
        <v>0.018542291</v>
      </c>
      <c r="V799" s="68">
        <v>0.024911377</v>
      </c>
      <c r="X799" s="69">
        <v>0.0011508248</v>
      </c>
      <c r="Y799" s="70"/>
      <c r="Z799" s="73" t="s">
        <v>1254</v>
      </c>
    </row>
    <row r="800" ht="12.75" customHeight="1">
      <c r="A800" s="1" t="s">
        <v>1255</v>
      </c>
      <c r="B800" s="2" t="s">
        <v>1068</v>
      </c>
      <c r="C800" s="60" t="str">
        <f t="shared" si="228"/>
        <v>A.100.32.107</v>
      </c>
      <c r="D800" s="51" t="s">
        <v>1242</v>
      </c>
      <c r="E800" s="62" t="s">
        <v>45</v>
      </c>
      <c r="F800" s="63" t="str">
        <f t="shared" si="229"/>
        <v>MgAl3Zn</v>
      </c>
      <c r="G800" s="64">
        <v>4.251900680541171</v>
      </c>
      <c r="H800" s="10">
        <f t="shared" si="230"/>
        <v>4.251900681</v>
      </c>
      <c r="I800" s="65">
        <v>0.1668402509</v>
      </c>
      <c r="J800" s="65">
        <v>0.244647300032</v>
      </c>
      <c r="K800" s="65">
        <v>0.1866905296091709</v>
      </c>
      <c r="L800" s="65">
        <v>3.6537226</v>
      </c>
      <c r="N800" s="66">
        <v>24.358150666666667</v>
      </c>
      <c r="O800" s="10">
        <f t="shared" si="231"/>
        <v>24.35815067</v>
      </c>
      <c r="Q800" s="67">
        <v>359.89612</v>
      </c>
      <c r="S800" s="68">
        <v>0.46497452</v>
      </c>
      <c r="T800" s="68">
        <v>0.41941049</v>
      </c>
      <c r="U800" s="68">
        <v>0.019218387</v>
      </c>
      <c r="V800" s="68">
        <v>0.026345641</v>
      </c>
      <c r="X800" s="69">
        <v>0.0011990443</v>
      </c>
      <c r="Y800" s="70"/>
      <c r="Z800" s="73" t="s">
        <v>1256</v>
      </c>
    </row>
    <row r="801" ht="12.75" customHeight="1">
      <c r="A801" s="1" t="s">
        <v>1257</v>
      </c>
      <c r="B801" s="2" t="s">
        <v>1068</v>
      </c>
      <c r="C801" s="60" t="str">
        <f t="shared" si="228"/>
        <v>A.100.32.108</v>
      </c>
      <c r="D801" s="51" t="s">
        <v>1242</v>
      </c>
      <c r="E801" s="62" t="s">
        <v>45</v>
      </c>
      <c r="F801" s="63" t="str">
        <f t="shared" si="229"/>
        <v>MgZn6Zr</v>
      </c>
      <c r="G801" s="64">
        <v>4.225897107840593</v>
      </c>
      <c r="H801" s="10">
        <f t="shared" si="230"/>
        <v>4.225897108</v>
      </c>
      <c r="I801" s="65">
        <v>0.1608585723</v>
      </c>
      <c r="J801" s="65">
        <v>0.246490127725</v>
      </c>
      <c r="K801" s="65">
        <v>0.22642020781559288</v>
      </c>
      <c r="L801" s="65">
        <v>3.5921282</v>
      </c>
      <c r="N801" s="66">
        <v>23.947521333333334</v>
      </c>
      <c r="O801" s="10">
        <f t="shared" si="231"/>
        <v>23.94752133</v>
      </c>
      <c r="Q801" s="67">
        <v>355.85973</v>
      </c>
      <c r="S801" s="68">
        <v>0.45036188</v>
      </c>
      <c r="T801" s="68">
        <v>0.40525782</v>
      </c>
      <c r="U801" s="68">
        <v>0.01892401</v>
      </c>
      <c r="V801" s="68">
        <v>0.026180053</v>
      </c>
      <c r="X801" s="69">
        <v>0.0012058891</v>
      </c>
      <c r="Y801" s="70"/>
      <c r="Z801" s="73" t="s">
        <v>1258</v>
      </c>
    </row>
    <row r="802" ht="12.75" customHeight="1">
      <c r="A802" s="1" t="s">
        <v>1259</v>
      </c>
      <c r="B802" s="2" t="s">
        <v>1068</v>
      </c>
      <c r="C802" s="60" t="str">
        <f t="shared" si="228"/>
        <v>A.100.32.109</v>
      </c>
      <c r="D802" s="51" t="s">
        <v>1242</v>
      </c>
      <c r="E802" s="62" t="s">
        <v>45</v>
      </c>
      <c r="F802" s="63" t="str">
        <f t="shared" si="229"/>
        <v>MgMn1.5</v>
      </c>
      <c r="G802" s="64">
        <v>4.32056811086497</v>
      </c>
      <c r="H802" s="10">
        <f t="shared" si="230"/>
        <v>4.320568111</v>
      </c>
      <c r="I802" s="65">
        <v>0.1780449774</v>
      </c>
      <c r="J802" s="65">
        <v>0.255683468382</v>
      </c>
      <c r="K802" s="65">
        <v>0.1637090650829698</v>
      </c>
      <c r="L802" s="65">
        <v>3.7231306</v>
      </c>
      <c r="N802" s="66">
        <v>24.820870666666668</v>
      </c>
      <c r="O802" s="10">
        <f t="shared" si="231"/>
        <v>24.82087067</v>
      </c>
      <c r="Q802" s="67">
        <v>366.77228</v>
      </c>
      <c r="S802" s="68">
        <v>0.53526309</v>
      </c>
      <c r="T802" s="68">
        <v>0.48870913</v>
      </c>
      <c r="U802" s="68">
        <v>0.019579914</v>
      </c>
      <c r="V802" s="68">
        <v>0.02697404</v>
      </c>
      <c r="X802" s="69">
        <v>0.0012274827</v>
      </c>
      <c r="Y802" s="70"/>
      <c r="Z802" s="73" t="s">
        <v>1260</v>
      </c>
    </row>
    <row r="803" ht="12.75" customHeight="1">
      <c r="A803" s="1" t="s">
        <v>1261</v>
      </c>
      <c r="B803" s="2" t="s">
        <v>1068</v>
      </c>
      <c r="C803" s="60" t="str">
        <f t="shared" si="228"/>
        <v>A.100.32.110</v>
      </c>
      <c r="D803" s="51" t="s">
        <v>1242</v>
      </c>
      <c r="E803" s="62" t="s">
        <v>45</v>
      </c>
      <c r="F803" s="63" t="str">
        <f t="shared" si="229"/>
        <v>MgAl6Zn</v>
      </c>
      <c r="G803" s="64">
        <v>4.17774952747781</v>
      </c>
      <c r="H803" s="10">
        <f t="shared" si="230"/>
        <v>4.177749527</v>
      </c>
      <c r="I803" s="65">
        <v>0.1635881336</v>
      </c>
      <c r="J803" s="65">
        <v>0.24298094559000002</v>
      </c>
      <c r="K803" s="65">
        <v>0.20454514828781</v>
      </c>
      <c r="L803" s="65">
        <v>3.5666353</v>
      </c>
      <c r="N803" s="66">
        <v>23.777568666666667</v>
      </c>
      <c r="O803" s="10">
        <f t="shared" si="231"/>
        <v>23.77756867</v>
      </c>
      <c r="Q803" s="67">
        <v>350.07435</v>
      </c>
      <c r="S803" s="68">
        <v>0.45291418</v>
      </c>
      <c r="T803" s="68">
        <v>0.40864226</v>
      </c>
      <c r="U803" s="68">
        <v>0.018798521</v>
      </c>
      <c r="V803" s="68">
        <v>0.025473398</v>
      </c>
      <c r="X803" s="69">
        <v>0.0011702215</v>
      </c>
      <c r="Y803" s="70"/>
      <c r="Z803" s="73" t="s">
        <v>1262</v>
      </c>
    </row>
    <row r="804" ht="12.75" customHeight="1">
      <c r="B804" s="2"/>
      <c r="C804" s="60"/>
      <c r="D804" s="75" t="s">
        <v>1263</v>
      </c>
      <c r="E804" s="62"/>
      <c r="G804" s="10"/>
      <c r="H804" s="10"/>
      <c r="I804" s="10"/>
      <c r="J804" s="10"/>
      <c r="K804" s="10"/>
      <c r="L804" s="10"/>
      <c r="N804" s="10"/>
      <c r="O804" s="10"/>
      <c r="Q804" s="67"/>
      <c r="Y804" s="71"/>
      <c r="Z804" s="72"/>
    </row>
    <row r="805" ht="12.75" customHeight="1">
      <c r="A805" s="1" t="s">
        <v>1264</v>
      </c>
      <c r="B805" s="2" t="s">
        <v>1068</v>
      </c>
      <c r="C805" s="60" t="str">
        <f t="shared" ref="C805:C817" si="232">MID(A805,1,12)</f>
        <v>A.100.34.101</v>
      </c>
      <c r="D805" s="51" t="s">
        <v>1263</v>
      </c>
      <c r="E805" s="62" t="s">
        <v>45</v>
      </c>
      <c r="F805" s="63" t="str">
        <f t="shared" ref="F805:F817" si="233">MID(A805, 21,85)</f>
        <v>Duranickel</v>
      </c>
      <c r="G805" s="64">
        <v>24.163482712258663</v>
      </c>
      <c r="H805" s="10">
        <f t="shared" ref="H805:H817" si="234">G805</f>
        <v>24.16348271</v>
      </c>
      <c r="I805" s="65">
        <v>0.459719798206</v>
      </c>
      <c r="J805" s="65">
        <v>11.145456468295999</v>
      </c>
      <c r="K805" s="65">
        <v>10.834424445756664</v>
      </c>
      <c r="L805" s="65">
        <v>1.723882</v>
      </c>
      <c r="N805" s="66">
        <v>11.492546666666666</v>
      </c>
      <c r="O805" s="10">
        <f t="shared" ref="O805:O817" si="235">N805</f>
        <v>11.49254667</v>
      </c>
      <c r="Q805" s="67">
        <v>214.12511</v>
      </c>
      <c r="S805" s="68">
        <v>3.6376728</v>
      </c>
      <c r="T805" s="68">
        <v>3.5457031</v>
      </c>
      <c r="U805" s="68">
        <v>0.073206225</v>
      </c>
      <c r="V805" s="68">
        <v>0.01876349</v>
      </c>
      <c r="X805" s="69">
        <v>0.0037910151</v>
      </c>
      <c r="Y805" s="70"/>
      <c r="Z805" s="73" t="s">
        <v>1265</v>
      </c>
    </row>
    <row r="806" ht="12.75" customHeight="1">
      <c r="A806" s="1" t="s">
        <v>1266</v>
      </c>
      <c r="B806" s="2" t="s">
        <v>1068</v>
      </c>
      <c r="C806" s="60" t="str">
        <f t="shared" si="232"/>
        <v>A.100.34.102</v>
      </c>
      <c r="D806" s="51" t="s">
        <v>1263</v>
      </c>
      <c r="E806" s="62" t="s">
        <v>45</v>
      </c>
      <c r="F806" s="63" t="str">
        <f t="shared" si="233"/>
        <v>Invar</v>
      </c>
      <c r="G806" s="64">
        <v>10.560383910537112</v>
      </c>
      <c r="H806" s="10">
        <f t="shared" si="234"/>
        <v>10.56038391</v>
      </c>
      <c r="I806" s="65">
        <v>0.228053608495</v>
      </c>
      <c r="J806" s="65">
        <v>4.387417808249001</v>
      </c>
      <c r="K806" s="65">
        <v>4.522548093793111</v>
      </c>
      <c r="L806" s="65">
        <v>1.4223644</v>
      </c>
      <c r="N806" s="66">
        <v>9.482429333333334</v>
      </c>
      <c r="O806" s="10">
        <f t="shared" si="235"/>
        <v>9.482429333</v>
      </c>
      <c r="Q806" s="67">
        <v>134.95301</v>
      </c>
      <c r="S806" s="68">
        <v>1.5058951</v>
      </c>
      <c r="T806" s="68">
        <v>1.4647807</v>
      </c>
      <c r="U806" s="68">
        <v>0.03266357</v>
      </c>
      <c r="V806" s="68">
        <v>0.0084508272</v>
      </c>
      <c r="X806" s="69">
        <v>0.0016979966</v>
      </c>
      <c r="Y806" s="70"/>
      <c r="Z806" s="73" t="s">
        <v>1267</v>
      </c>
    </row>
    <row r="807" ht="12.75" customHeight="1">
      <c r="A807" s="1" t="s">
        <v>1268</v>
      </c>
      <c r="B807" s="2" t="s">
        <v>1068</v>
      </c>
      <c r="C807" s="60" t="str">
        <f t="shared" si="232"/>
        <v>A.100.34.103</v>
      </c>
      <c r="D807" s="51" t="s">
        <v>1263</v>
      </c>
      <c r="E807" s="62" t="s">
        <v>45</v>
      </c>
      <c r="F807" s="63" t="str">
        <f t="shared" si="233"/>
        <v>Mumetal</v>
      </c>
      <c r="G807" s="64">
        <v>20.077206085445646</v>
      </c>
      <c r="H807" s="10">
        <f t="shared" si="234"/>
        <v>20.07720609</v>
      </c>
      <c r="I807" s="65">
        <v>0.3899317759</v>
      </c>
      <c r="J807" s="65">
        <v>9.158525062230899</v>
      </c>
      <c r="K807" s="65">
        <v>9.017968147314749</v>
      </c>
      <c r="L807" s="65">
        <v>1.5107811</v>
      </c>
      <c r="N807" s="66">
        <v>10.071874000000001</v>
      </c>
      <c r="O807" s="10">
        <f t="shared" si="235"/>
        <v>10.071874</v>
      </c>
      <c r="Q807" s="67">
        <v>180.30067</v>
      </c>
      <c r="S807" s="68">
        <v>2.9952043</v>
      </c>
      <c r="T807" s="68">
        <v>2.9188359</v>
      </c>
      <c r="U807" s="68">
        <v>0.060579271</v>
      </c>
      <c r="V807" s="68">
        <v>0.015789214</v>
      </c>
      <c r="X807" s="69">
        <v>0.0032029157</v>
      </c>
      <c r="Y807" s="70"/>
      <c r="Z807" s="73" t="s">
        <v>1269</v>
      </c>
    </row>
    <row r="808" ht="12.75" customHeight="1">
      <c r="A808" s="1" t="s">
        <v>1270</v>
      </c>
      <c r="B808" s="2" t="s">
        <v>1068</v>
      </c>
      <c r="C808" s="60" t="str">
        <f t="shared" si="232"/>
        <v>A.100.34.104</v>
      </c>
      <c r="D808" s="51" t="s">
        <v>1263</v>
      </c>
      <c r="E808" s="62" t="s">
        <v>45</v>
      </c>
      <c r="F808" s="63" t="str">
        <f t="shared" si="233"/>
        <v>Ni 99.6</v>
      </c>
      <c r="G808" s="64">
        <v>25.31880488187242</v>
      </c>
      <c r="H808" s="10">
        <f t="shared" si="234"/>
        <v>25.31880488</v>
      </c>
      <c r="I808" s="65">
        <v>0.47882199403079995</v>
      </c>
      <c r="J808" s="65">
        <v>11.812646839771501</v>
      </c>
      <c r="K808" s="65">
        <v>11.36429414807012</v>
      </c>
      <c r="L808" s="65">
        <v>1.6630419</v>
      </c>
      <c r="N808" s="66">
        <v>11.086946000000001</v>
      </c>
      <c r="O808" s="10">
        <f t="shared" si="235"/>
        <v>11.086946</v>
      </c>
      <c r="Q808" s="67">
        <v>212.48657</v>
      </c>
      <c r="S808" s="68">
        <v>3.8388047</v>
      </c>
      <c r="T808" s="68">
        <v>3.7428613</v>
      </c>
      <c r="U808" s="68">
        <v>0.076769032</v>
      </c>
      <c r="V808" s="68">
        <v>0.0191744</v>
      </c>
      <c r="X808" s="69">
        <v>0.0039695129</v>
      </c>
      <c r="Y808" s="70"/>
      <c r="Z808" s="73" t="s">
        <v>1271</v>
      </c>
    </row>
    <row r="809" ht="12.75" customHeight="1">
      <c r="A809" s="1" t="s">
        <v>1272</v>
      </c>
      <c r="B809" s="2" t="s">
        <v>1068</v>
      </c>
      <c r="C809" s="60" t="str">
        <f t="shared" si="232"/>
        <v>A.100.34.105</v>
      </c>
      <c r="D809" s="51" t="s">
        <v>1263</v>
      </c>
      <c r="E809" s="62" t="s">
        <v>45</v>
      </c>
      <c r="F809" s="63" t="str">
        <f t="shared" si="233"/>
        <v>Ni span C902</v>
      </c>
      <c r="G809" s="64">
        <v>11.863590202558811</v>
      </c>
      <c r="H809" s="10">
        <f t="shared" si="234"/>
        <v>11.8635902</v>
      </c>
      <c r="I809" s="65">
        <v>0.24764753948999998</v>
      </c>
      <c r="J809" s="65">
        <v>5.125829050101601</v>
      </c>
      <c r="K809" s="65">
        <v>5.2516748129672095</v>
      </c>
      <c r="L809" s="65">
        <v>1.2384388</v>
      </c>
      <c r="N809" s="66">
        <v>8.256258666666668</v>
      </c>
      <c r="O809" s="10">
        <f t="shared" si="235"/>
        <v>8.256258667</v>
      </c>
      <c r="Q809" s="67">
        <v>121.63924</v>
      </c>
      <c r="S809" s="68">
        <v>1.7042535</v>
      </c>
      <c r="T809" s="68">
        <v>1.6587012</v>
      </c>
      <c r="U809" s="68">
        <v>0.035754512</v>
      </c>
      <c r="V809" s="68">
        <v>0.0097978734</v>
      </c>
      <c r="X809" s="69">
        <v>0.0018826406</v>
      </c>
      <c r="Y809" s="70"/>
      <c r="Z809" s="73" t="s">
        <v>1273</v>
      </c>
    </row>
    <row r="810" ht="12.75" customHeight="1">
      <c r="A810" s="1" t="s">
        <v>1274</v>
      </c>
      <c r="B810" s="2" t="s">
        <v>1068</v>
      </c>
      <c r="C810" s="60" t="str">
        <f t="shared" si="232"/>
        <v>A.100.34.106</v>
      </c>
      <c r="D810" s="51" t="s">
        <v>1263</v>
      </c>
      <c r="E810" s="62" t="s">
        <v>45</v>
      </c>
      <c r="F810" s="63" t="str">
        <f t="shared" si="233"/>
        <v>NiCr 80 20</v>
      </c>
      <c r="G810" s="64">
        <v>21.653443597833004</v>
      </c>
      <c r="H810" s="10">
        <f t="shared" si="234"/>
        <v>21.6534436</v>
      </c>
      <c r="I810" s="65">
        <v>0.46725531031999995</v>
      </c>
      <c r="J810" s="65">
        <v>9.804539130696899</v>
      </c>
      <c r="K810" s="65">
        <v>9.324255056816105</v>
      </c>
      <c r="L810" s="65">
        <v>2.0573941</v>
      </c>
      <c r="N810" s="66">
        <v>13.715960666666666</v>
      </c>
      <c r="O810" s="10">
        <f t="shared" si="235"/>
        <v>13.71596067</v>
      </c>
      <c r="Q810" s="67">
        <v>184.81024</v>
      </c>
      <c r="S810" s="68">
        <v>3.2287486</v>
      </c>
      <c r="T810" s="68">
        <v>3.1457607</v>
      </c>
      <c r="U810" s="68">
        <v>0.067097312</v>
      </c>
      <c r="V810" s="68">
        <v>0.01589059</v>
      </c>
      <c r="X810" s="69">
        <v>0.0035631742</v>
      </c>
      <c r="Y810" s="70"/>
      <c r="Z810" s="73" t="s">
        <v>1275</v>
      </c>
    </row>
    <row r="811" ht="12.75" customHeight="1">
      <c r="A811" s="1" t="s">
        <v>1276</v>
      </c>
      <c r="B811" s="2" t="s">
        <v>1068</v>
      </c>
      <c r="C811" s="60" t="str">
        <f t="shared" si="232"/>
        <v>A.100.34.107</v>
      </c>
      <c r="D811" s="51" t="s">
        <v>1263</v>
      </c>
      <c r="E811" s="62" t="s">
        <v>45</v>
      </c>
      <c r="F811" s="63" t="str">
        <f t="shared" si="233"/>
        <v>NiCr20Co18Ti</v>
      </c>
      <c r="G811" s="64">
        <v>25.974349583553607</v>
      </c>
      <c r="H811" s="10">
        <f t="shared" si="234"/>
        <v>25.97434958</v>
      </c>
      <c r="I811" s="65">
        <v>0.7519378276199999</v>
      </c>
      <c r="J811" s="65">
        <v>8.653456696988101</v>
      </c>
      <c r="K811" s="65">
        <v>13.832949058945507</v>
      </c>
      <c r="L811" s="65">
        <v>2.736006</v>
      </c>
      <c r="N811" s="66">
        <v>18.24004</v>
      </c>
      <c r="O811" s="10">
        <f t="shared" si="235"/>
        <v>18.24004</v>
      </c>
      <c r="Q811" s="67">
        <v>183.30577</v>
      </c>
      <c r="S811" s="68">
        <v>3.112695</v>
      </c>
      <c r="T811" s="68">
        <v>3.0359413</v>
      </c>
      <c r="U811" s="68">
        <v>0.063155757</v>
      </c>
      <c r="V811" s="68">
        <v>0.013597878</v>
      </c>
      <c r="X811" s="69">
        <v>0.0036200509</v>
      </c>
      <c r="Y811" s="70"/>
      <c r="Z811" s="73" t="s">
        <v>1277</v>
      </c>
    </row>
    <row r="812" ht="12.75" customHeight="1">
      <c r="A812" s="1" t="s">
        <v>1278</v>
      </c>
      <c r="B812" s="2" t="s">
        <v>1068</v>
      </c>
      <c r="C812" s="60" t="str">
        <f t="shared" si="232"/>
        <v>A.100.34.108</v>
      </c>
      <c r="D812" s="51" t="s">
        <v>1263</v>
      </c>
      <c r="E812" s="62" t="s">
        <v>45</v>
      </c>
      <c r="F812" s="63" t="str">
        <f t="shared" si="233"/>
        <v>NiCr20TiAl</v>
      </c>
      <c r="G812" s="64">
        <v>21.172293992211344</v>
      </c>
      <c r="H812" s="10">
        <f t="shared" si="234"/>
        <v>21.17229399</v>
      </c>
      <c r="I812" s="65">
        <v>0.45511438284999994</v>
      </c>
      <c r="J812" s="65">
        <v>9.349640637152799</v>
      </c>
      <c r="K812" s="65">
        <v>9.258105672208544</v>
      </c>
      <c r="L812" s="65">
        <v>2.1094333</v>
      </c>
      <c r="N812" s="66">
        <v>14.062888666666668</v>
      </c>
      <c r="O812" s="10">
        <f t="shared" si="235"/>
        <v>14.06288867</v>
      </c>
      <c r="Q812" s="67">
        <v>188.13828</v>
      </c>
      <c r="S812" s="68">
        <v>3.0925</v>
      </c>
      <c r="T812" s="68">
        <v>3.012316</v>
      </c>
      <c r="U812" s="68">
        <v>0.064728362</v>
      </c>
      <c r="V812" s="68">
        <v>0.015455621</v>
      </c>
      <c r="X812" s="69">
        <v>0.0034455367</v>
      </c>
      <c r="Y812" s="70"/>
      <c r="Z812" s="73" t="s">
        <v>1279</v>
      </c>
    </row>
    <row r="813" ht="12.75" customHeight="1">
      <c r="A813" s="1" t="s">
        <v>1280</v>
      </c>
      <c r="B813" s="2" t="s">
        <v>1068</v>
      </c>
      <c r="C813" s="60" t="str">
        <f t="shared" si="232"/>
        <v>A.100.34.109</v>
      </c>
      <c r="D813" s="51" t="s">
        <v>1263</v>
      </c>
      <c r="E813" s="62" t="s">
        <v>45</v>
      </c>
      <c r="F813" s="63" t="str">
        <f t="shared" si="233"/>
        <v>NiCu30Al</v>
      </c>
      <c r="G813" s="64">
        <v>19.267682925896814</v>
      </c>
      <c r="H813" s="10">
        <f t="shared" si="234"/>
        <v>19.26768293</v>
      </c>
      <c r="I813" s="65">
        <v>0.36855688584</v>
      </c>
      <c r="J813" s="65">
        <v>7.964728122345001</v>
      </c>
      <c r="K813" s="65">
        <v>9.358521117711813</v>
      </c>
      <c r="L813" s="65">
        <v>1.5758768</v>
      </c>
      <c r="N813" s="66">
        <v>10.505845333333335</v>
      </c>
      <c r="O813" s="10">
        <f t="shared" si="235"/>
        <v>10.50584533</v>
      </c>
      <c r="Q813" s="67">
        <v>189.6119</v>
      </c>
      <c r="S813" s="68">
        <v>2.6378749</v>
      </c>
      <c r="T813" s="68">
        <v>2.5689701</v>
      </c>
      <c r="U813" s="68">
        <v>0.054074585</v>
      </c>
      <c r="V813" s="68">
        <v>0.014830249</v>
      </c>
      <c r="X813" s="69">
        <v>0.003153992</v>
      </c>
      <c r="Y813" s="70"/>
      <c r="Z813" s="73" t="s">
        <v>1281</v>
      </c>
    </row>
    <row r="814" ht="12.75" customHeight="1">
      <c r="A814" s="1" t="s">
        <v>1282</v>
      </c>
      <c r="B814" s="2" t="s">
        <v>1068</v>
      </c>
      <c r="C814" s="60" t="str">
        <f t="shared" si="232"/>
        <v>A.100.34.110</v>
      </c>
      <c r="D814" s="51" t="s">
        <v>1263</v>
      </c>
      <c r="E814" s="62" t="s">
        <v>45</v>
      </c>
      <c r="F814" s="63" t="str">
        <f t="shared" si="233"/>
        <v>NiCu30Fe</v>
      </c>
      <c r="G814" s="64">
        <v>18.061361968650893</v>
      </c>
      <c r="H814" s="10">
        <f t="shared" si="234"/>
        <v>18.06136197</v>
      </c>
      <c r="I814" s="65">
        <v>0.35442759917</v>
      </c>
      <c r="J814" s="65">
        <v>7.928602433485899</v>
      </c>
      <c r="K814" s="65">
        <v>8.47164153599499</v>
      </c>
      <c r="L814" s="65">
        <v>1.3066904</v>
      </c>
      <c r="N814" s="66">
        <v>8.711269333333334</v>
      </c>
      <c r="O814" s="10">
        <f t="shared" si="235"/>
        <v>8.711269333</v>
      </c>
      <c r="Q814" s="67">
        <v>162.39769</v>
      </c>
      <c r="S814" s="68">
        <v>2.599916</v>
      </c>
      <c r="T814" s="68">
        <v>2.5333136</v>
      </c>
      <c r="U814" s="68">
        <v>0.052503814</v>
      </c>
      <c r="V814" s="68">
        <v>0.014098611</v>
      </c>
      <c r="X814" s="69">
        <v>0.0030841646</v>
      </c>
      <c r="Y814" s="70"/>
      <c r="Z814" s="73" t="s">
        <v>1283</v>
      </c>
    </row>
    <row r="815" ht="12.75" customHeight="1">
      <c r="A815" s="1" t="s">
        <v>1284</v>
      </c>
      <c r="B815" s="2" t="s">
        <v>1068</v>
      </c>
      <c r="C815" s="60" t="str">
        <f t="shared" si="232"/>
        <v>A.100.34.111</v>
      </c>
      <c r="D815" s="51" t="s">
        <v>1263</v>
      </c>
      <c r="E815" s="62" t="s">
        <v>45</v>
      </c>
      <c r="F815" s="63" t="str">
        <f t="shared" si="233"/>
        <v>NiFe 50 50</v>
      </c>
      <c r="G815" s="64">
        <v>13.085840292185463</v>
      </c>
      <c r="H815" s="10">
        <f t="shared" si="234"/>
        <v>13.08584029</v>
      </c>
      <c r="I815" s="65">
        <v>0.2647235288113</v>
      </c>
      <c r="J815" s="65">
        <v>5.9858057655391</v>
      </c>
      <c r="K815" s="65">
        <v>5.718806297835063</v>
      </c>
      <c r="L815" s="65">
        <v>1.1165047</v>
      </c>
      <c r="N815" s="66">
        <v>7.443364666666667</v>
      </c>
      <c r="O815" s="10">
        <f t="shared" si="235"/>
        <v>7.443364667</v>
      </c>
      <c r="Q815" s="67">
        <v>126.51635</v>
      </c>
      <c r="S815" s="68">
        <v>1.9651325</v>
      </c>
      <c r="T815" s="68">
        <v>1.9143725</v>
      </c>
      <c r="U815" s="68">
        <v>0.040159243</v>
      </c>
      <c r="V815" s="68">
        <v>0.010600829</v>
      </c>
      <c r="X815" s="69">
        <v>0.0020817575</v>
      </c>
      <c r="Y815" s="70"/>
      <c r="Z815" s="73" t="s">
        <v>1285</v>
      </c>
    </row>
    <row r="816" ht="12.75" customHeight="1">
      <c r="A816" s="1" t="s">
        <v>1286</v>
      </c>
      <c r="B816" s="2" t="s">
        <v>1068</v>
      </c>
      <c r="C816" s="60" t="str">
        <f t="shared" si="232"/>
        <v>A.100.34.112</v>
      </c>
      <c r="D816" s="51" t="s">
        <v>1263</v>
      </c>
      <c r="E816" s="62" t="s">
        <v>45</v>
      </c>
      <c r="F816" s="63" t="str">
        <f t="shared" si="233"/>
        <v>NiMo30</v>
      </c>
      <c r="G816" s="64">
        <v>35.92025208876034</v>
      </c>
      <c r="H816" s="10">
        <f t="shared" si="234"/>
        <v>35.92025209</v>
      </c>
      <c r="I816" s="65">
        <v>0.5721320505</v>
      </c>
      <c r="J816" s="65">
        <v>11.478777116025702</v>
      </c>
      <c r="K816" s="65">
        <v>21.847196922234637</v>
      </c>
      <c r="L816" s="65">
        <v>2.022146</v>
      </c>
      <c r="N816" s="66">
        <v>13.480973333333335</v>
      </c>
      <c r="O816" s="10">
        <f t="shared" si="235"/>
        <v>13.48097333</v>
      </c>
      <c r="Q816" s="67">
        <v>167.45541</v>
      </c>
      <c r="S816" s="68">
        <v>4.224644</v>
      </c>
      <c r="T816" s="68">
        <v>4.1223769</v>
      </c>
      <c r="U816" s="68">
        <v>0.076414507</v>
      </c>
      <c r="V816" s="68">
        <v>0.025852572</v>
      </c>
      <c r="X816" s="69">
        <v>0.0096149295</v>
      </c>
      <c r="Y816" s="70"/>
      <c r="Z816" s="73" t="s">
        <v>1287</v>
      </c>
    </row>
    <row r="817" ht="12.75" customHeight="1">
      <c r="A817" s="1" t="s">
        <v>1288</v>
      </c>
      <c r="B817" s="2" t="s">
        <v>1068</v>
      </c>
      <c r="C817" s="60" t="str">
        <f t="shared" si="232"/>
        <v>A.100.34.113</v>
      </c>
      <c r="D817" s="51" t="s">
        <v>1263</v>
      </c>
      <c r="E817" s="62" t="s">
        <v>45</v>
      </c>
      <c r="F817" s="63" t="str">
        <f t="shared" si="233"/>
        <v>Supermalloy</v>
      </c>
      <c r="G817" s="64">
        <v>22.303913893226895</v>
      </c>
      <c r="H817" s="10">
        <f t="shared" si="234"/>
        <v>22.30391389</v>
      </c>
      <c r="I817" s="65">
        <v>0.40048501944</v>
      </c>
      <c r="J817" s="65">
        <v>9.4903610433343</v>
      </c>
      <c r="K817" s="65">
        <v>10.898355830452596</v>
      </c>
      <c r="L817" s="65">
        <v>1.514712</v>
      </c>
      <c r="N817" s="66">
        <v>10.098080000000001</v>
      </c>
      <c r="O817" s="10">
        <f t="shared" si="235"/>
        <v>10.09808</v>
      </c>
      <c r="Q817" s="67">
        <v>173.77001</v>
      </c>
      <c r="S817" s="68">
        <v>3.1759939</v>
      </c>
      <c r="T817" s="68">
        <v>3.0960499</v>
      </c>
      <c r="U817" s="68">
        <v>0.062486929</v>
      </c>
      <c r="V817" s="68">
        <v>0.017457124</v>
      </c>
      <c r="X817" s="69">
        <v>0.0042373205</v>
      </c>
      <c r="Y817" s="70"/>
      <c r="Z817" s="73" t="s">
        <v>1289</v>
      </c>
    </row>
    <row r="818" ht="12.75" customHeight="1">
      <c r="B818" s="2"/>
      <c r="C818" s="60"/>
      <c r="D818" s="75" t="s">
        <v>1290</v>
      </c>
      <c r="E818" s="62"/>
      <c r="G818" s="10"/>
      <c r="H818" s="10"/>
      <c r="I818" s="10"/>
      <c r="J818" s="10"/>
      <c r="K818" s="10"/>
      <c r="L818" s="10"/>
      <c r="N818" s="10"/>
      <c r="O818" s="10"/>
      <c r="Q818" s="67"/>
      <c r="Y818" s="71"/>
      <c r="Z818" s="72"/>
    </row>
    <row r="819" ht="12.75" customHeight="1">
      <c r="A819" s="1" t="s">
        <v>1291</v>
      </c>
      <c r="B819" s="2" t="s">
        <v>1068</v>
      </c>
      <c r="C819" s="60" t="str">
        <f t="shared" ref="C819:C821" si="236">MID(A819,1,12)</f>
        <v>A.100.36.101</v>
      </c>
      <c r="D819" s="51" t="s">
        <v>1290</v>
      </c>
      <c r="E819" s="62" t="s">
        <v>45</v>
      </c>
      <c r="F819" s="63" t="str">
        <f t="shared" ref="F819:F821" si="237">MID(A819, 21,85)</f>
        <v>TiAl5Sn2</v>
      </c>
      <c r="G819" s="64">
        <v>21.518808700191546</v>
      </c>
      <c r="H819" s="10">
        <f t="shared" ref="H819:H821" si="238">G819</f>
        <v>21.5188087</v>
      </c>
      <c r="I819" s="65">
        <v>0.3966646148</v>
      </c>
      <c r="J819" s="65">
        <v>1.003237791145</v>
      </c>
      <c r="K819" s="65">
        <v>14.858674094246544</v>
      </c>
      <c r="L819" s="65">
        <v>5.2602322</v>
      </c>
      <c r="N819" s="66">
        <v>35.06821466666667</v>
      </c>
      <c r="O819" s="10">
        <f t="shared" ref="O819:O821" si="239">N819</f>
        <v>35.06821467</v>
      </c>
      <c r="Q819" s="67">
        <v>521.00719</v>
      </c>
      <c r="S819" s="68">
        <v>0.86547476</v>
      </c>
      <c r="T819" s="68">
        <v>0.81931391</v>
      </c>
      <c r="U819" s="68">
        <v>0.032638367</v>
      </c>
      <c r="V819" s="68">
        <v>0.013522487</v>
      </c>
      <c r="X819" s="69">
        <v>0.0024238178</v>
      </c>
      <c r="Y819" s="70"/>
      <c r="Z819" s="73" t="s">
        <v>1292</v>
      </c>
    </row>
    <row r="820" ht="12.75" customHeight="1">
      <c r="A820" s="1" t="s">
        <v>1293</v>
      </c>
      <c r="B820" s="2" t="s">
        <v>1068</v>
      </c>
      <c r="C820" s="60" t="str">
        <f t="shared" si="236"/>
        <v>A.100.36.102</v>
      </c>
      <c r="D820" s="51" t="s">
        <v>1290</v>
      </c>
      <c r="E820" s="62" t="s">
        <v>45</v>
      </c>
      <c r="F820" s="63" t="str">
        <f t="shared" si="237"/>
        <v>TiAl6V4</v>
      </c>
      <c r="G820" s="64">
        <v>21.732949061355434</v>
      </c>
      <c r="H820" s="10">
        <f t="shared" si="238"/>
        <v>21.73294906</v>
      </c>
      <c r="I820" s="65">
        <v>0.49730047629000007</v>
      </c>
      <c r="J820" s="65">
        <v>1.086064790165</v>
      </c>
      <c r="K820" s="65">
        <v>14.923586694900433</v>
      </c>
      <c r="L820" s="65">
        <v>5.2259971</v>
      </c>
      <c r="N820" s="66">
        <v>34.83998066666667</v>
      </c>
      <c r="O820" s="10">
        <f t="shared" si="239"/>
        <v>34.83998067</v>
      </c>
      <c r="Q820" s="67">
        <v>522.77013</v>
      </c>
      <c r="S820" s="68">
        <v>0.85667008</v>
      </c>
      <c r="T820" s="68">
        <v>0.81001929</v>
      </c>
      <c r="U820" s="68">
        <v>0.032974719</v>
      </c>
      <c r="V820" s="68">
        <v>0.013676075</v>
      </c>
      <c r="X820" s="69">
        <v>0.0020345651</v>
      </c>
      <c r="Y820" s="70"/>
      <c r="Z820" s="73" t="s">
        <v>1294</v>
      </c>
    </row>
    <row r="821" ht="12.75" customHeight="1">
      <c r="A821" s="1" t="s">
        <v>1295</v>
      </c>
      <c r="B821" s="2" t="s">
        <v>1068</v>
      </c>
      <c r="C821" s="60" t="str">
        <f t="shared" si="236"/>
        <v>A.100.36.103</v>
      </c>
      <c r="D821" s="51" t="s">
        <v>1290</v>
      </c>
      <c r="E821" s="62" t="s">
        <v>45</v>
      </c>
      <c r="F821" s="63" t="str">
        <f t="shared" si="237"/>
        <v>TiV15SnCrAl3</v>
      </c>
      <c r="G821" s="64">
        <v>23.617644164237074</v>
      </c>
      <c r="H821" s="10">
        <f t="shared" si="238"/>
        <v>23.61764416</v>
      </c>
      <c r="I821" s="65">
        <v>0.9390550396999999</v>
      </c>
      <c r="J821" s="65">
        <v>1.628906883846</v>
      </c>
      <c r="K821" s="65">
        <v>16.032564340691074</v>
      </c>
      <c r="L821" s="65">
        <v>5.0171179</v>
      </c>
      <c r="N821" s="66">
        <v>33.44745266666666</v>
      </c>
      <c r="O821" s="10">
        <f t="shared" si="239"/>
        <v>33.44745267</v>
      </c>
      <c r="Q821" s="67">
        <v>494.6144</v>
      </c>
      <c r="S821" s="68">
        <v>1.0596999</v>
      </c>
      <c r="T821" s="68">
        <v>1.0106759</v>
      </c>
      <c r="U821" s="68">
        <v>0.035094015</v>
      </c>
      <c r="V821" s="68">
        <v>0.013930057</v>
      </c>
      <c r="X821" s="69">
        <v>0.0030302577</v>
      </c>
      <c r="Y821" s="70"/>
      <c r="Z821" s="73" t="s">
        <v>1296</v>
      </c>
    </row>
    <row r="822" ht="12.75" customHeight="1">
      <c r="B822" s="2"/>
      <c r="C822" s="60"/>
      <c r="D822" s="75" t="s">
        <v>1297</v>
      </c>
      <c r="E822" s="62"/>
      <c r="G822" s="10"/>
      <c r="H822" s="10"/>
      <c r="I822" s="10"/>
      <c r="J822" s="10"/>
      <c r="K822" s="10"/>
      <c r="L822" s="10"/>
      <c r="N822" s="10"/>
      <c r="O822" s="10"/>
      <c r="Q822" s="67"/>
      <c r="Y822" s="71"/>
      <c r="Z822" s="48"/>
    </row>
    <row r="823" ht="12.75" customHeight="1">
      <c r="A823" s="1" t="s">
        <v>1298</v>
      </c>
      <c r="B823" s="2" t="s">
        <v>1068</v>
      </c>
      <c r="C823" s="60" t="str">
        <f t="shared" ref="C823:C827" si="240">MID(A823,1,12)</f>
        <v>A.100.38.101</v>
      </c>
      <c r="D823" s="51" t="s">
        <v>1297</v>
      </c>
      <c r="E823" s="62" t="s">
        <v>45</v>
      </c>
      <c r="F823" s="63" t="str">
        <f t="shared" ref="F823:F827" si="241">MID(A823, 21,85)</f>
        <v>G-ZnAlCu</v>
      </c>
      <c r="G823" s="64">
        <v>2.42586068834699</v>
      </c>
      <c r="H823" s="10">
        <f t="shared" ref="H823:H827" si="242">G823</f>
        <v>2.425860688</v>
      </c>
      <c r="I823" s="65">
        <v>0.011745457430000002</v>
      </c>
      <c r="J823" s="65">
        <v>0.3025261672649</v>
      </c>
      <c r="K823" s="65">
        <v>1.4372715036520904</v>
      </c>
      <c r="L823" s="65">
        <v>0.67431756</v>
      </c>
      <c r="N823" s="66">
        <v>4.4954504</v>
      </c>
      <c r="O823" s="10">
        <f t="shared" ref="O823:O827" si="243">N823</f>
        <v>4.4954504</v>
      </c>
      <c r="Q823" s="67">
        <v>83.769126</v>
      </c>
      <c r="S823" s="68">
        <v>0.16864983</v>
      </c>
      <c r="T823" s="68">
        <v>0.15752561</v>
      </c>
      <c r="U823" s="68">
        <v>0.0050817619</v>
      </c>
      <c r="V823" s="68">
        <v>0.006042459</v>
      </c>
      <c r="X823" s="69">
        <v>8.6760331E-4</v>
      </c>
      <c r="Y823" s="70"/>
      <c r="Z823" s="73" t="s">
        <v>1299</v>
      </c>
    </row>
    <row r="824" ht="12.75" customHeight="1">
      <c r="A824" s="1" t="s">
        <v>1300</v>
      </c>
      <c r="B824" s="2" t="s">
        <v>1068</v>
      </c>
      <c r="C824" s="60" t="str">
        <f t="shared" si="240"/>
        <v>A.100.38.102</v>
      </c>
      <c r="D824" s="51" t="s">
        <v>1297</v>
      </c>
      <c r="E824" s="62" t="s">
        <v>45</v>
      </c>
      <c r="F824" s="63" t="str">
        <f t="shared" si="241"/>
        <v>Zamak3</v>
      </c>
      <c r="G824" s="64">
        <v>2.3470935618778244</v>
      </c>
      <c r="H824" s="10">
        <f t="shared" si="242"/>
        <v>2.347093562</v>
      </c>
      <c r="I824" s="65">
        <v>0.009513635895</v>
      </c>
      <c r="J824" s="65">
        <v>0.2979052222504999</v>
      </c>
      <c r="K824" s="65">
        <v>1.3735614337323245</v>
      </c>
      <c r="L824" s="65">
        <v>0.66611327</v>
      </c>
      <c r="N824" s="66">
        <v>4.440755133333333</v>
      </c>
      <c r="O824" s="10">
        <f t="shared" si="243"/>
        <v>4.440755133</v>
      </c>
      <c r="Q824" s="67">
        <v>82.852079</v>
      </c>
      <c r="S824" s="68">
        <v>0.1660941</v>
      </c>
      <c r="T824" s="68">
        <v>0.15509532</v>
      </c>
      <c r="U824" s="68">
        <v>0.0050111832</v>
      </c>
      <c r="V824" s="68">
        <v>0.0059875953</v>
      </c>
      <c r="X824" s="69">
        <v>8.3845289E-4</v>
      </c>
      <c r="Y824" s="70"/>
      <c r="Z824" s="73" t="s">
        <v>1301</v>
      </c>
    </row>
    <row r="825" ht="12.75" customHeight="1">
      <c r="A825" s="1" t="s">
        <v>1302</v>
      </c>
      <c r="B825" s="2" t="s">
        <v>1068</v>
      </c>
      <c r="C825" s="60" t="str">
        <f t="shared" si="240"/>
        <v>A.100.38.103</v>
      </c>
      <c r="D825" s="51" t="s">
        <v>1297</v>
      </c>
      <c r="E825" s="62" t="s">
        <v>45</v>
      </c>
      <c r="F825" s="63" t="str">
        <f t="shared" si="241"/>
        <v>Zamak5</v>
      </c>
      <c r="G825" s="64">
        <v>2.373946002639521</v>
      </c>
      <c r="H825" s="10">
        <f t="shared" si="242"/>
        <v>2.373946003</v>
      </c>
      <c r="I825" s="65">
        <v>0.01027448421</v>
      </c>
      <c r="J825" s="65">
        <v>0.2994805367791</v>
      </c>
      <c r="K825" s="65">
        <v>1.395280791650421</v>
      </c>
      <c r="L825" s="65">
        <v>0.66891019</v>
      </c>
      <c r="N825" s="66">
        <v>4.459401266666666</v>
      </c>
      <c r="O825" s="10">
        <f t="shared" si="243"/>
        <v>4.459401267</v>
      </c>
      <c r="Q825" s="67">
        <v>83.164709</v>
      </c>
      <c r="S825" s="68">
        <v>0.16696537</v>
      </c>
      <c r="T825" s="68">
        <v>0.15592383</v>
      </c>
      <c r="U825" s="68">
        <v>0.0050352441</v>
      </c>
      <c r="V825" s="68">
        <v>0.0060062988</v>
      </c>
      <c r="X825" s="69">
        <v>8.4839053E-4</v>
      </c>
      <c r="Y825" s="70"/>
      <c r="Z825" s="73" t="s">
        <v>1303</v>
      </c>
    </row>
    <row r="826" ht="12.75" customHeight="1">
      <c r="A826" s="1" t="s">
        <v>1304</v>
      </c>
      <c r="B826" s="2" t="s">
        <v>1068</v>
      </c>
      <c r="C826" s="60" t="str">
        <f t="shared" si="240"/>
        <v>A.100.38.104</v>
      </c>
      <c r="D826" s="51" t="s">
        <v>1297</v>
      </c>
      <c r="E826" s="62" t="s">
        <v>45</v>
      </c>
      <c r="F826" s="63" t="str">
        <f t="shared" si="241"/>
        <v>ZnCuTi</v>
      </c>
      <c r="G826" s="64">
        <v>2.506155296938511</v>
      </c>
      <c r="H826" s="10">
        <f t="shared" si="242"/>
        <v>2.506155297</v>
      </c>
      <c r="I826" s="65">
        <v>0.009579513359</v>
      </c>
      <c r="J826" s="65">
        <v>0.3036429588057001</v>
      </c>
      <c r="K826" s="65">
        <v>1.5188410647738106</v>
      </c>
      <c r="L826" s="65">
        <v>0.67409176</v>
      </c>
      <c r="N826" s="66">
        <v>4.493945066666667</v>
      </c>
      <c r="O826" s="10">
        <f t="shared" si="243"/>
        <v>4.493945067</v>
      </c>
      <c r="Q826" s="67">
        <v>85.318309</v>
      </c>
      <c r="S826" s="68">
        <v>0.16893191</v>
      </c>
      <c r="T826" s="68">
        <v>0.15770433</v>
      </c>
      <c r="U826" s="68">
        <v>0.0050794814</v>
      </c>
      <c r="V826" s="68">
        <v>0.0061481037</v>
      </c>
      <c r="X826" s="69">
        <v>8.6362795E-4</v>
      </c>
      <c r="Y826" s="70"/>
      <c r="Z826" s="73" t="s">
        <v>1289</v>
      </c>
    </row>
    <row r="827" ht="12.75" customHeight="1">
      <c r="A827" s="1" t="s">
        <v>1305</v>
      </c>
      <c r="B827" s="2" t="s">
        <v>1068</v>
      </c>
      <c r="C827" s="60" t="str">
        <f t="shared" si="240"/>
        <v>A.100.38.105</v>
      </c>
      <c r="D827" s="51" t="s">
        <v>1297</v>
      </c>
      <c r="E827" s="62" t="s">
        <v>45</v>
      </c>
      <c r="F827" s="63" t="str">
        <f t="shared" si="241"/>
        <v>Zinc (super plastic)</v>
      </c>
      <c r="G827" s="64">
        <v>2.33600946030867</v>
      </c>
      <c r="H827" s="10">
        <f t="shared" si="242"/>
        <v>2.33600946</v>
      </c>
      <c r="I827" s="65">
        <v>0.020347230722999998</v>
      </c>
      <c r="J827" s="65">
        <v>0.28584360863</v>
      </c>
      <c r="K827" s="65">
        <v>1.27618856095567</v>
      </c>
      <c r="L827" s="65">
        <v>0.75363006</v>
      </c>
      <c r="N827" s="66">
        <v>5.0242004</v>
      </c>
      <c r="O827" s="10">
        <f t="shared" si="243"/>
        <v>5.0242004</v>
      </c>
      <c r="Q827" s="67">
        <v>84.142792</v>
      </c>
      <c r="S827" s="68">
        <v>0.17006358</v>
      </c>
      <c r="T827" s="68">
        <v>0.15915262</v>
      </c>
      <c r="U827" s="68">
        <v>0.0054126734</v>
      </c>
      <c r="V827" s="68">
        <v>0.0054982829</v>
      </c>
      <c r="X827" s="69">
        <v>7.8061276E-4</v>
      </c>
      <c r="Y827" s="70"/>
      <c r="Z827" s="73" t="s">
        <v>1289</v>
      </c>
    </row>
    <row r="828" ht="12.75" customHeight="1">
      <c r="B828" s="2"/>
      <c r="C828" s="60"/>
      <c r="D828" s="75" t="s">
        <v>1306</v>
      </c>
      <c r="E828" s="62"/>
      <c r="G828" s="10"/>
      <c r="H828" s="10"/>
      <c r="I828" s="10"/>
      <c r="J828" s="10"/>
      <c r="K828" s="10"/>
      <c r="L828" s="10"/>
      <c r="N828" s="10"/>
      <c r="O828" s="10"/>
      <c r="Q828" s="67"/>
      <c r="Y828" s="71"/>
      <c r="Z828" s="72"/>
    </row>
    <row r="829" ht="12.75" customHeight="1">
      <c r="A829" s="1" t="s">
        <v>1307</v>
      </c>
      <c r="B829" s="2" t="s">
        <v>1068</v>
      </c>
      <c r="C829" s="60" t="str">
        <f t="shared" ref="C829:C835" si="244">MID(A829,1,12)</f>
        <v>A.100.40.101</v>
      </c>
      <c r="D829" s="51" t="s">
        <v>1306</v>
      </c>
      <c r="E829" s="62" t="s">
        <v>45</v>
      </c>
      <c r="F829" s="63" t="str">
        <f t="shared" ref="F829:F835" si="245">MID(A829, 21,85)</f>
        <v>Barium Ferrite magnet, ceramic 4 MGOe</v>
      </c>
      <c r="G829" s="64">
        <v>1.4128198564861028</v>
      </c>
      <c r="H829" s="10">
        <f t="shared" ref="H829:H835" si="246">G829</f>
        <v>1.412819856</v>
      </c>
      <c r="I829" s="65">
        <v>0.053416575673789005</v>
      </c>
      <c r="J829" s="65">
        <v>0.1378581888123138</v>
      </c>
      <c r="K829" s="65">
        <v>0.21774939199999999</v>
      </c>
      <c r="L829" s="65">
        <v>1.0037957</v>
      </c>
      <c r="N829" s="66">
        <v>6.691971333333333</v>
      </c>
      <c r="O829" s="10">
        <f t="shared" ref="O829:O835" si="247">N829</f>
        <v>6.691971333</v>
      </c>
      <c r="Q829" s="67">
        <v>111.647</v>
      </c>
      <c r="S829" s="68">
        <v>0.13368535</v>
      </c>
      <c r="T829" s="68">
        <v>0.12519252</v>
      </c>
      <c r="U829" s="68">
        <v>0.005536211</v>
      </c>
      <c r="V829" s="68">
        <v>0.0029566221</v>
      </c>
      <c r="X829" s="69">
        <v>3.3403748E-4</v>
      </c>
      <c r="Y829" s="70"/>
      <c r="Z829" s="73"/>
    </row>
    <row r="830" ht="12.75" customHeight="1">
      <c r="A830" s="1" t="s">
        <v>1308</v>
      </c>
      <c r="B830" s="2" t="s">
        <v>1068</v>
      </c>
      <c r="C830" s="60" t="str">
        <f t="shared" si="244"/>
        <v>A.100.40.102</v>
      </c>
      <c r="D830" s="51" t="s">
        <v>1306</v>
      </c>
      <c r="E830" s="62" t="s">
        <v>45</v>
      </c>
      <c r="F830" s="63" t="str">
        <f t="shared" si="245"/>
        <v>Neodymium magnet (NdFeB) 50 MGOe</v>
      </c>
      <c r="G830" s="64">
        <v>83.30144678901208</v>
      </c>
      <c r="H830" s="10">
        <f t="shared" si="246"/>
        <v>83.30144679</v>
      </c>
      <c r="I830" s="65">
        <v>0.25341058495</v>
      </c>
      <c r="J830" s="65">
        <v>0.903944812916</v>
      </c>
      <c r="K830" s="65">
        <v>79.44485029114608</v>
      </c>
      <c r="L830" s="65">
        <v>2.6992411</v>
      </c>
      <c r="N830" s="66">
        <v>17.99494066666667</v>
      </c>
      <c r="O830" s="10">
        <f t="shared" si="247"/>
        <v>17.99494067</v>
      </c>
      <c r="Q830" s="67">
        <v>235.89852</v>
      </c>
      <c r="S830" s="68">
        <v>0.51941949</v>
      </c>
      <c r="T830" s="68">
        <v>0.48883958</v>
      </c>
      <c r="U830" s="68">
        <v>0.017670589</v>
      </c>
      <c r="V830" s="68">
        <v>0.012909317</v>
      </c>
      <c r="X830" s="69">
        <v>0.0010549597</v>
      </c>
      <c r="Y830" s="70"/>
      <c r="Z830" s="72"/>
    </row>
    <row r="831" ht="12.75" customHeight="1">
      <c r="A831" s="1" t="s">
        <v>1309</v>
      </c>
      <c r="B831" s="2" t="s">
        <v>1068</v>
      </c>
      <c r="C831" s="60" t="str">
        <f t="shared" si="244"/>
        <v>A.100.40.103</v>
      </c>
      <c r="D831" s="51" t="s">
        <v>1306</v>
      </c>
      <c r="E831" s="62" t="s">
        <v>45</v>
      </c>
      <c r="F831" s="63" t="str">
        <f t="shared" si="245"/>
        <v>Neodymium magnet (NdFeB) 50 MGOe recycled</v>
      </c>
      <c r="G831" s="64">
        <v>4.866636799000105</v>
      </c>
      <c r="H831" s="10">
        <f t="shared" si="246"/>
        <v>4.866636799</v>
      </c>
      <c r="I831" s="65">
        <v>0.034900490297</v>
      </c>
      <c r="J831" s="65">
        <v>0.0912499611458</v>
      </c>
      <c r="K831" s="65">
        <v>4.083570417557305</v>
      </c>
      <c r="L831" s="65">
        <v>0.65691593</v>
      </c>
      <c r="N831" s="66">
        <v>4.379439533333334</v>
      </c>
      <c r="O831" s="10">
        <f t="shared" si="247"/>
        <v>4.379439533</v>
      </c>
      <c r="Q831" s="67">
        <v>78.210323</v>
      </c>
      <c r="S831" s="68">
        <v>0.092248939</v>
      </c>
      <c r="T831" s="68">
        <v>0.086694467</v>
      </c>
      <c r="U831" s="68">
        <v>0.0036934696</v>
      </c>
      <c r="V831" s="68">
        <v>0.0018610022</v>
      </c>
      <c r="X831" s="69">
        <v>2.2902123E-4</v>
      </c>
      <c r="Y831" s="70"/>
      <c r="Z831" s="72"/>
    </row>
    <row r="832" ht="12.75" customHeight="1">
      <c r="A832" s="1" t="s">
        <v>1310</v>
      </c>
      <c r="B832" s="2" t="s">
        <v>1068</v>
      </c>
      <c r="C832" s="60" t="str">
        <f t="shared" si="244"/>
        <v>A.100.40.104</v>
      </c>
      <c r="D832" s="51" t="s">
        <v>1306</v>
      </c>
      <c r="E832" s="62" t="s">
        <v>45</v>
      </c>
      <c r="F832" s="63" t="str">
        <f t="shared" si="245"/>
        <v>Neodymium magnet (NdFeB) corrosion resistant 40 MGOe</v>
      </c>
      <c r="G832" s="64">
        <v>109.13364008769999</v>
      </c>
      <c r="H832" s="10">
        <f t="shared" si="246"/>
        <v>109.1336401</v>
      </c>
      <c r="I832" s="65">
        <v>0.336563771</v>
      </c>
      <c r="J832" s="65">
        <v>1.2095975594069999</v>
      </c>
      <c r="K832" s="65">
        <v>104.41907865729299</v>
      </c>
      <c r="L832" s="65">
        <v>3.1684001</v>
      </c>
      <c r="N832" s="66">
        <v>21.122667333333332</v>
      </c>
      <c r="O832" s="10">
        <f t="shared" si="247"/>
        <v>21.12266733</v>
      </c>
      <c r="Q832" s="67">
        <v>269.58268</v>
      </c>
      <c r="S832" s="68">
        <v>0.67474615</v>
      </c>
      <c r="T832" s="68">
        <v>0.63786317</v>
      </c>
      <c r="U832" s="68">
        <v>0.021521553</v>
      </c>
      <c r="V832" s="68">
        <v>0.015361429</v>
      </c>
      <c r="X832" s="69">
        <v>0.0013076122</v>
      </c>
      <c r="Y832" s="70"/>
      <c r="Z832" s="72"/>
    </row>
    <row r="833" ht="12.75" customHeight="1">
      <c r="A833" s="1" t="s">
        <v>1311</v>
      </c>
      <c r="B833" s="2" t="s">
        <v>1068</v>
      </c>
      <c r="C833" s="60" t="str">
        <f t="shared" si="244"/>
        <v>A.100.40.105</v>
      </c>
      <c r="D833" s="51" t="s">
        <v>1306</v>
      </c>
      <c r="E833" s="62" t="s">
        <v>45</v>
      </c>
      <c r="F833" s="63" t="str">
        <f t="shared" si="245"/>
        <v>Neodymium magnet (NdFeB) corrosion resistant 40 MGOe recycled</v>
      </c>
      <c r="G833" s="64">
        <v>6.179323292778023</v>
      </c>
      <c r="H833" s="10">
        <f t="shared" si="246"/>
        <v>6.179323293</v>
      </c>
      <c r="I833" s="65">
        <v>0.03907630625</v>
      </c>
      <c r="J833" s="65">
        <v>0.1066041496801</v>
      </c>
      <c r="K833" s="65">
        <v>5.353112186847923</v>
      </c>
      <c r="L833" s="65">
        <v>0.68053065</v>
      </c>
      <c r="N833" s="66">
        <v>4.5368710000000005</v>
      </c>
      <c r="O833" s="10">
        <f t="shared" si="247"/>
        <v>4.536871</v>
      </c>
      <c r="Q833" s="67">
        <v>79.907716</v>
      </c>
      <c r="S833" s="68">
        <v>0.10005202</v>
      </c>
      <c r="T833" s="68">
        <v>0.094180319</v>
      </c>
      <c r="U833" s="68">
        <v>0.0038871505</v>
      </c>
      <c r="V833" s="68">
        <v>0.0019845509</v>
      </c>
      <c r="X833" s="69">
        <v>2.4171789E-4</v>
      </c>
      <c r="Y833" s="70"/>
      <c r="Z833" s="72"/>
    </row>
    <row r="834" ht="12.75" customHeight="1">
      <c r="A834" s="1" t="s">
        <v>1312</v>
      </c>
      <c r="B834" s="2" t="s">
        <v>1068</v>
      </c>
      <c r="C834" s="60" t="str">
        <f t="shared" si="244"/>
        <v>A.100.40.106</v>
      </c>
      <c r="D834" s="51" t="s">
        <v>1306</v>
      </c>
      <c r="E834" s="62" t="s">
        <v>45</v>
      </c>
      <c r="F834" s="63" t="str">
        <f t="shared" si="245"/>
        <v>SmCo (1:5) magnet, 20 MGOe</v>
      </c>
      <c r="G834" s="64">
        <v>89.19129775501045</v>
      </c>
      <c r="H834" s="10">
        <f t="shared" si="246"/>
        <v>89.19129776</v>
      </c>
      <c r="I834" s="65">
        <v>2.2211141299999997</v>
      </c>
      <c r="J834" s="65">
        <v>7.889705322837999</v>
      </c>
      <c r="K834" s="65">
        <v>68.27202830217246</v>
      </c>
      <c r="L834" s="65">
        <v>10.80845</v>
      </c>
      <c r="N834" s="66">
        <v>72.05633333333334</v>
      </c>
      <c r="O834" s="10">
        <f t="shared" si="247"/>
        <v>72.05633333</v>
      </c>
      <c r="Q834" s="67">
        <v>735.42672</v>
      </c>
      <c r="S834" s="68">
        <v>4.1300625</v>
      </c>
      <c r="T834" s="68">
        <v>3.9921137</v>
      </c>
      <c r="U834" s="68">
        <v>0.094168835</v>
      </c>
      <c r="V834" s="68">
        <v>0.043779954</v>
      </c>
      <c r="X834" s="69">
        <v>0.0062484092</v>
      </c>
      <c r="Y834" s="70"/>
      <c r="Z834" s="72"/>
    </row>
    <row r="835" ht="12.75" customHeight="1">
      <c r="A835" s="1" t="s">
        <v>1313</v>
      </c>
      <c r="B835" s="2" t="s">
        <v>1068</v>
      </c>
      <c r="C835" s="60" t="str">
        <f t="shared" si="244"/>
        <v>A.100.40.107</v>
      </c>
      <c r="D835" s="51" t="s">
        <v>1306</v>
      </c>
      <c r="E835" s="62" t="s">
        <v>45</v>
      </c>
      <c r="F835" s="63" t="str">
        <f t="shared" si="245"/>
        <v>Nitride magnet (Fe16N2), 20-80 MGOe</v>
      </c>
      <c r="G835" s="64">
        <v>1.5345190459814684</v>
      </c>
      <c r="H835" s="10">
        <f t="shared" si="246"/>
        <v>1.534519046</v>
      </c>
      <c r="I835" s="65">
        <v>0.06056201356505</v>
      </c>
      <c r="J835" s="65">
        <v>0.16172694041641839</v>
      </c>
      <c r="K835" s="65">
        <v>0.224131992</v>
      </c>
      <c r="L835" s="65">
        <v>1.0880981</v>
      </c>
      <c r="N835" s="66">
        <v>7.253987333333334</v>
      </c>
      <c r="O835" s="10">
        <f t="shared" si="247"/>
        <v>7.253987333</v>
      </c>
      <c r="Q835" s="67">
        <v>117.01403</v>
      </c>
      <c r="S835" s="68">
        <v>0.1464644</v>
      </c>
      <c r="T835" s="68">
        <v>0.13707099</v>
      </c>
      <c r="U835" s="68">
        <v>0.0060341445</v>
      </c>
      <c r="V835" s="68">
        <v>0.0033592682</v>
      </c>
      <c r="X835" s="69">
        <v>3.5954163E-4</v>
      </c>
      <c r="Y835" s="70"/>
      <c r="Z835" s="72"/>
    </row>
    <row r="836" ht="12.75" customHeight="1">
      <c r="B836" s="2"/>
      <c r="C836" s="60"/>
      <c r="D836" s="51"/>
      <c r="E836" s="62"/>
      <c r="G836" s="10"/>
      <c r="H836" s="10"/>
      <c r="I836" s="10"/>
      <c r="J836" s="10"/>
      <c r="K836" s="10"/>
      <c r="L836" s="10"/>
      <c r="N836" s="10"/>
      <c r="O836" s="10"/>
      <c r="Q836" s="67"/>
    </row>
    <row r="837" ht="12.75" customHeight="1">
      <c r="B837" s="2"/>
      <c r="C837" s="60"/>
      <c r="D837" s="75" t="s">
        <v>1314</v>
      </c>
      <c r="E837" s="62"/>
      <c r="G837" s="10"/>
      <c r="H837" s="10"/>
      <c r="I837" s="10"/>
      <c r="J837" s="10"/>
      <c r="K837" s="10"/>
      <c r="L837" s="10"/>
      <c r="N837" s="10"/>
      <c r="O837" s="10"/>
      <c r="Q837" s="67"/>
    </row>
    <row r="838" ht="12.75" customHeight="1">
      <c r="A838" s="1" t="s">
        <v>1315</v>
      </c>
      <c r="B838" s="2" t="s">
        <v>1316</v>
      </c>
      <c r="C838" s="60" t="str">
        <f t="shared" ref="C838:C854" si="248">MID(A838,1,12)</f>
        <v>A.120.01.101</v>
      </c>
      <c r="D838" s="51" t="s">
        <v>1314</v>
      </c>
      <c r="E838" s="62" t="s">
        <v>45</v>
      </c>
      <c r="F838" s="63" t="str">
        <f t="shared" ref="F838:F854" si="249">MID(A838, 21,85)</f>
        <v>Recycled paper (testliner and fluting) in Europe</v>
      </c>
      <c r="G838" s="64">
        <v>0.0661952657852656</v>
      </c>
      <c r="H838" s="10">
        <v>0.0661952657852656</v>
      </c>
      <c r="I838" s="65">
        <v>0.009443794905999999</v>
      </c>
      <c r="J838" s="65">
        <v>-0.03260979036</v>
      </c>
      <c r="K838" s="65">
        <v>0.005698553239265604</v>
      </c>
      <c r="L838" s="65">
        <v>0.083662708</v>
      </c>
      <c r="N838" s="66">
        <v>0.5577513866666667</v>
      </c>
      <c r="O838" s="10">
        <v>0.5577513866666667</v>
      </c>
      <c r="Q838" s="67">
        <v>8.0817951</v>
      </c>
      <c r="S838" s="68">
        <v>0.010958925</v>
      </c>
      <c r="T838" s="68">
        <v>0.010047967</v>
      </c>
      <c r="U838" s="68">
        <v>4.6371749E-4</v>
      </c>
      <c r="V838" s="68">
        <v>4.4724115E-4</v>
      </c>
      <c r="X838" s="69">
        <v>2.81045E-5</v>
      </c>
    </row>
    <row r="839" ht="12.75" customHeight="1">
      <c r="A839" s="1" t="s">
        <v>1317</v>
      </c>
      <c r="B839" s="2" t="s">
        <v>1316</v>
      </c>
      <c r="C839" s="60" t="str">
        <f t="shared" si="248"/>
        <v>A.120.01.102</v>
      </c>
      <c r="D839" s="51" t="s">
        <v>1314</v>
      </c>
      <c r="E839" s="62" t="s">
        <v>45</v>
      </c>
      <c r="F839" s="63" t="str">
        <f t="shared" si="249"/>
        <v>Brown paper (kraft liner)</v>
      </c>
      <c r="G839" s="64">
        <v>0.07529573776988263</v>
      </c>
      <c r="H839" s="10">
        <v>0.07529573776988263</v>
      </c>
      <c r="I839" s="65">
        <v>0.008914041276999999</v>
      </c>
      <c r="J839" s="65">
        <v>0.012826955630000001</v>
      </c>
      <c r="K839" s="65">
        <v>0.008297619862882627</v>
      </c>
      <c r="L839" s="65">
        <v>0.045257121</v>
      </c>
      <c r="N839" s="66">
        <v>0.30171414</v>
      </c>
      <c r="O839" s="10">
        <v>0.30171414</v>
      </c>
      <c r="Q839" s="67">
        <v>5.1442714</v>
      </c>
      <c r="S839" s="68">
        <v>0.0077472656</v>
      </c>
      <c r="T839" s="68">
        <v>0.0072373767</v>
      </c>
      <c r="U839" s="68">
        <v>3.0464647E-4</v>
      </c>
      <c r="V839" s="68">
        <v>2.0524246E-4</v>
      </c>
      <c r="X839" s="69">
        <v>2.0017191E-5</v>
      </c>
    </row>
    <row r="840" ht="12.75" customHeight="1">
      <c r="A840" s="1" t="s">
        <v>1318</v>
      </c>
      <c r="B840" s="2" t="s">
        <v>1316</v>
      </c>
      <c r="C840" s="60" t="str">
        <f t="shared" si="248"/>
        <v>A.120.01.103</v>
      </c>
      <c r="D840" s="51" t="s">
        <v>1314</v>
      </c>
      <c r="E840" s="62" t="s">
        <v>729</v>
      </c>
      <c r="F840" s="63" t="str">
        <f t="shared" si="249"/>
        <v>Brown paper (kraft liner) 70 gr/m2</v>
      </c>
      <c r="G840" s="64">
        <v>0.005270701662122785</v>
      </c>
      <c r="H840" s="10">
        <v>0.005270701662122785</v>
      </c>
      <c r="I840" s="65">
        <v>6.2398287835E-4</v>
      </c>
      <c r="J840" s="65">
        <v>8.978868876700001E-4</v>
      </c>
      <c r="K840" s="65">
        <v>5.808333961027838E-4</v>
      </c>
      <c r="L840" s="65">
        <v>0.0031679985</v>
      </c>
      <c r="N840" s="66">
        <v>0.02111999</v>
      </c>
      <c r="O840" s="10">
        <v>0.02111999</v>
      </c>
      <c r="Q840" s="67">
        <v>0.360099</v>
      </c>
      <c r="S840" s="68">
        <v>5.4230859E-4</v>
      </c>
      <c r="T840" s="68">
        <v>5.0661637E-4</v>
      </c>
      <c r="U840" s="68">
        <v>2.1325253E-5</v>
      </c>
      <c r="V840" s="68">
        <v>1.4366972E-5</v>
      </c>
      <c r="X840" s="69">
        <v>1.4012033E-6</v>
      </c>
    </row>
    <row r="841" ht="12.75" customHeight="1">
      <c r="A841" s="1" t="s">
        <v>1319</v>
      </c>
      <c r="B841" s="2" t="s">
        <v>1316</v>
      </c>
      <c r="C841" s="60" t="str">
        <f t="shared" si="248"/>
        <v>A.120.01.104</v>
      </c>
      <c r="D841" s="51" t="s">
        <v>1314</v>
      </c>
      <c r="E841" s="62" t="s">
        <v>45</v>
      </c>
      <c r="F841" s="63" t="str">
        <f t="shared" si="249"/>
        <v>Brown paper (kraft liner) - FSC or wood waste based</v>
      </c>
      <c r="G841" s="64">
        <v>0.07529573776989262</v>
      </c>
      <c r="H841" s="10">
        <v>0.07529573776989262</v>
      </c>
      <c r="I841" s="65">
        <v>0.008914041276999999</v>
      </c>
      <c r="J841" s="65">
        <v>0.012826955630000001</v>
      </c>
      <c r="K841" s="65">
        <v>0.008297619862892628</v>
      </c>
      <c r="L841" s="65">
        <v>0.045257121</v>
      </c>
      <c r="N841" s="66">
        <v>0.30171414</v>
      </c>
      <c r="O841" s="10">
        <v>0.30171414</v>
      </c>
      <c r="Q841" s="67">
        <v>5.1442714</v>
      </c>
      <c r="S841" s="68">
        <v>0.0077472656</v>
      </c>
      <c r="T841" s="68">
        <v>0.0072373767</v>
      </c>
      <c r="U841" s="68">
        <v>3.0464647E-4</v>
      </c>
      <c r="V841" s="68">
        <v>2.0524246E-4</v>
      </c>
      <c r="X841" s="69">
        <v>2.0017191E-5</v>
      </c>
    </row>
    <row r="842" ht="12.75" customHeight="1">
      <c r="A842" s="1" t="s">
        <v>1320</v>
      </c>
      <c r="B842" s="2" t="s">
        <v>1316</v>
      </c>
      <c r="C842" s="60" t="str">
        <f t="shared" si="248"/>
        <v>A.120.01.105</v>
      </c>
      <c r="D842" s="51" t="s">
        <v>1314</v>
      </c>
      <c r="E842" s="62" t="s">
        <v>45</v>
      </c>
      <c r="F842" s="63" t="str">
        <f t="shared" si="249"/>
        <v>Moulded fibre products</v>
      </c>
      <c r="G842" s="64">
        <v>0.047329615276369405</v>
      </c>
      <c r="H842" s="10">
        <v>0.047329615276369405</v>
      </c>
      <c r="I842" s="65">
        <v>0.006752313382999999</v>
      </c>
      <c r="J842" s="65">
        <v>-0.0233159996</v>
      </c>
      <c r="K842" s="65">
        <v>0.004074465493369406</v>
      </c>
      <c r="L842" s="65">
        <v>0.059818836</v>
      </c>
      <c r="N842" s="66">
        <v>0.39879224</v>
      </c>
      <c r="O842" s="10">
        <v>0.39879224</v>
      </c>
      <c r="Q842" s="67">
        <v>5.7784834</v>
      </c>
      <c r="S842" s="68">
        <v>0.0078356317</v>
      </c>
      <c r="T842" s="68">
        <v>0.0071842962</v>
      </c>
      <c r="U842" s="68">
        <v>3.31558E-4</v>
      </c>
      <c r="V842" s="68">
        <v>3.1977742E-4</v>
      </c>
      <c r="X842" s="69">
        <v>2.0094717E-5</v>
      </c>
    </row>
    <row r="843" ht="12.75" customHeight="1">
      <c r="A843" s="1" t="s">
        <v>1321</v>
      </c>
      <c r="B843" s="2" t="s">
        <v>1316</v>
      </c>
      <c r="C843" s="60" t="str">
        <f t="shared" si="248"/>
        <v>A.120.01.106</v>
      </c>
      <c r="D843" s="51" t="s">
        <v>1314</v>
      </c>
      <c r="E843" s="62" t="s">
        <v>45</v>
      </c>
      <c r="F843" s="63" t="str">
        <f t="shared" si="249"/>
        <v>Office paper woodfree uncoated bleached -  FSC or waste wood based</v>
      </c>
      <c r="G843" s="64">
        <v>0.0836106295725699</v>
      </c>
      <c r="H843" s="10">
        <v>0.0836106295725699</v>
      </c>
      <c r="I843" s="65">
        <v>0.009198036941</v>
      </c>
      <c r="J843" s="65">
        <v>0.013664084674000002</v>
      </c>
      <c r="K843" s="65">
        <v>0.009030052957569906</v>
      </c>
      <c r="L843" s="65">
        <v>0.051718455</v>
      </c>
      <c r="N843" s="66">
        <v>0.34478970000000003</v>
      </c>
      <c r="O843" s="10">
        <v>0.34478970000000003</v>
      </c>
      <c r="Q843" s="67">
        <v>5.8314319</v>
      </c>
      <c r="S843" s="68">
        <v>0.0085868521</v>
      </c>
      <c r="T843" s="68">
        <v>0.0080044292</v>
      </c>
      <c r="U843" s="68">
        <v>3.4070909E-4</v>
      </c>
      <c r="V843" s="68">
        <v>2.4171383E-4</v>
      </c>
      <c r="X843" s="69">
        <v>2.220594E-5</v>
      </c>
    </row>
    <row r="844" ht="12.75" customHeight="1">
      <c r="A844" s="1" t="s">
        <v>1322</v>
      </c>
      <c r="B844" s="2" t="s">
        <v>1316</v>
      </c>
      <c r="C844" s="60" t="str">
        <f t="shared" si="248"/>
        <v>A.120.01.107</v>
      </c>
      <c r="D844" s="51" t="s">
        <v>1314</v>
      </c>
      <c r="E844" s="62" t="s">
        <v>729</v>
      </c>
      <c r="F844" s="63" t="str">
        <f t="shared" si="249"/>
        <v>Office paper woodfree uncoated bleached 80 gr/m2</v>
      </c>
      <c r="G844" s="64">
        <v>0.006688850350375993</v>
      </c>
      <c r="H844" s="10">
        <v>0.006688850350375993</v>
      </c>
      <c r="I844" s="65">
        <v>7.358429532699999E-4</v>
      </c>
      <c r="J844" s="65">
        <v>0.0010931267647</v>
      </c>
      <c r="K844" s="65">
        <v>7.224042324059923E-4</v>
      </c>
      <c r="L844" s="65">
        <v>0.0041374764</v>
      </c>
      <c r="N844" s="66">
        <v>0.027583176000000004</v>
      </c>
      <c r="O844" s="10">
        <v>0.027583176000000004</v>
      </c>
      <c r="Q844" s="67">
        <v>0.46651455</v>
      </c>
      <c r="S844" s="68">
        <v>6.8694817E-4</v>
      </c>
      <c r="T844" s="68">
        <v>6.4035433E-4</v>
      </c>
      <c r="U844" s="68">
        <v>2.7256727E-5</v>
      </c>
      <c r="V844" s="68">
        <v>1.9337106E-5</v>
      </c>
      <c r="X844" s="69">
        <v>1.7764752E-6</v>
      </c>
    </row>
    <row r="845" ht="12.75" customHeight="1">
      <c r="A845" s="1" t="s">
        <v>1323</v>
      </c>
      <c r="B845" s="2" t="s">
        <v>1316</v>
      </c>
      <c r="C845" s="60" t="str">
        <f t="shared" si="248"/>
        <v>A.120.01.108</v>
      </c>
      <c r="D845" s="51" t="s">
        <v>1314</v>
      </c>
      <c r="E845" s="62" t="s">
        <v>45</v>
      </c>
      <c r="F845" s="63" t="str">
        <f t="shared" si="249"/>
        <v>Office paper uncoated bleached -  from recycled (office) paper</v>
      </c>
      <c r="G845" s="64">
        <v>0.07451015726694288</v>
      </c>
      <c r="H845" s="10">
        <v>0.07451015726694288</v>
      </c>
      <c r="I845" s="65">
        <v>0.009727790673</v>
      </c>
      <c r="J845" s="65">
        <v>-0.031772661640000005</v>
      </c>
      <c r="K845" s="65">
        <v>0.006430986233942881</v>
      </c>
      <c r="L845" s="65">
        <v>0.090124042</v>
      </c>
      <c r="N845" s="66">
        <v>0.6008269466666667</v>
      </c>
      <c r="O845" s="10">
        <v>0.6008269466666667</v>
      </c>
      <c r="Q845" s="67">
        <v>8.7689555</v>
      </c>
      <c r="S845" s="68">
        <v>0.011798512</v>
      </c>
      <c r="T845" s="68">
        <v>0.010815019</v>
      </c>
      <c r="U845" s="68">
        <v>4.9978011E-4</v>
      </c>
      <c r="V845" s="68">
        <v>4.8371252E-4</v>
      </c>
      <c r="X845" s="69">
        <v>3.0293249E-5</v>
      </c>
    </row>
    <row r="846" ht="12.75" customHeight="1">
      <c r="A846" s="1" t="s">
        <v>1324</v>
      </c>
      <c r="B846" s="2" t="s">
        <v>1316</v>
      </c>
      <c r="C846" s="60" t="str">
        <f t="shared" si="248"/>
        <v>A.120.01.109</v>
      </c>
      <c r="D846" s="51" t="s">
        <v>1314</v>
      </c>
      <c r="E846" s="62" t="s">
        <v>45</v>
      </c>
      <c r="F846" s="63" t="str">
        <f t="shared" si="249"/>
        <v>Semichemical fluting</v>
      </c>
      <c r="G846" s="64">
        <v>0.11034152241037268</v>
      </c>
      <c r="H846" s="10">
        <v>0.11034152241037268</v>
      </c>
      <c r="I846" s="65">
        <v>0.0091373619815</v>
      </c>
      <c r="J846" s="65">
        <v>0.023427388246000002</v>
      </c>
      <c r="K846" s="65">
        <v>0.007083025182872672</v>
      </c>
      <c r="L846" s="65">
        <v>0.070693747</v>
      </c>
      <c r="N846" s="66">
        <v>0.4712916466666667</v>
      </c>
      <c r="O846" s="10">
        <v>0.4712916466666667</v>
      </c>
      <c r="Q846" s="67">
        <v>4.5321074</v>
      </c>
      <c r="S846" s="68">
        <v>0.011897667</v>
      </c>
      <c r="T846" s="68">
        <v>0.01131312</v>
      </c>
      <c r="U846" s="68">
        <v>4.6674066E-4</v>
      </c>
      <c r="V846" s="68">
        <v>1.1780684E-4</v>
      </c>
      <c r="X846" s="69">
        <v>2.6907642E-5</v>
      </c>
    </row>
    <row r="847" ht="12.75" customHeight="1">
      <c r="A847" s="1" t="s">
        <v>1325</v>
      </c>
      <c r="B847" s="2" t="s">
        <v>1316</v>
      </c>
      <c r="C847" s="60" t="str">
        <f t="shared" si="248"/>
        <v>A.120.01.110</v>
      </c>
      <c r="D847" s="51" t="s">
        <v>1314</v>
      </c>
      <c r="E847" s="62" t="s">
        <v>45</v>
      </c>
      <c r="F847" s="63" t="str">
        <f t="shared" si="249"/>
        <v>Semichemical fluting - FCS or wood waste based</v>
      </c>
      <c r="G847" s="64">
        <v>0.11034152241037268</v>
      </c>
      <c r="H847" s="10">
        <v>0.11034152241037268</v>
      </c>
      <c r="I847" s="65">
        <v>0.0091373619815</v>
      </c>
      <c r="J847" s="65">
        <v>0.023427388246000002</v>
      </c>
      <c r="K847" s="65">
        <v>0.007083025182872672</v>
      </c>
      <c r="L847" s="65">
        <v>0.070693747</v>
      </c>
      <c r="N847" s="66">
        <v>0.4712916466666667</v>
      </c>
      <c r="O847" s="10">
        <v>0.4712916466666667</v>
      </c>
      <c r="Q847" s="67">
        <v>4.5321074</v>
      </c>
      <c r="S847" s="68">
        <v>0.011897667</v>
      </c>
      <c r="T847" s="68">
        <v>0.01131312</v>
      </c>
      <c r="U847" s="68">
        <v>4.6674066E-4</v>
      </c>
      <c r="V847" s="68">
        <v>1.1780684E-4</v>
      </c>
      <c r="X847" s="69">
        <v>2.6907642E-5</v>
      </c>
    </row>
    <row r="848" ht="12.75" customHeight="1">
      <c r="A848" s="1" t="s">
        <v>1326</v>
      </c>
      <c r="B848" s="2" t="s">
        <v>1316</v>
      </c>
      <c r="C848" s="60" t="str">
        <f t="shared" si="248"/>
        <v>A.120.01.111</v>
      </c>
      <c r="D848" s="51" t="s">
        <v>1314</v>
      </c>
      <c r="E848" s="62" t="s">
        <v>45</v>
      </c>
      <c r="F848" s="63" t="str">
        <f t="shared" si="249"/>
        <v>Folding Boxboard GC1</v>
      </c>
      <c r="G848" s="64">
        <v>0.10067672665089542</v>
      </c>
      <c r="H848" s="10">
        <v>0.10067672665089542</v>
      </c>
      <c r="I848" s="65">
        <v>0.009813268174</v>
      </c>
      <c r="J848" s="65">
        <v>0.015564470487000001</v>
      </c>
      <c r="K848" s="65">
        <v>0.010277215989895406</v>
      </c>
      <c r="L848" s="65">
        <v>0.065021772</v>
      </c>
      <c r="N848" s="66">
        <v>0.43347848000000005</v>
      </c>
      <c r="O848" s="10">
        <v>0.43347848000000005</v>
      </c>
      <c r="Q848" s="67">
        <v>7.5401828</v>
      </c>
      <c r="S848" s="68">
        <v>0.010533275</v>
      </c>
      <c r="T848" s="68">
        <v>0.0097937214</v>
      </c>
      <c r="U848" s="68">
        <v>4.1582745E-4</v>
      </c>
      <c r="V848" s="68">
        <v>3.2372608E-4</v>
      </c>
      <c r="X848" s="69">
        <v>2.7137607E-5</v>
      </c>
    </row>
    <row r="849" ht="12.75" customHeight="1">
      <c r="A849" s="1" t="s">
        <v>1327</v>
      </c>
      <c r="B849" s="2" t="s">
        <v>1316</v>
      </c>
      <c r="C849" s="60" t="str">
        <f t="shared" si="248"/>
        <v>A.120.01.112</v>
      </c>
      <c r="D849" s="51" t="s">
        <v>1314</v>
      </c>
      <c r="E849" s="62" t="s">
        <v>45</v>
      </c>
      <c r="F849" s="63" t="str">
        <f t="shared" si="249"/>
        <v>Folding Boxboard GC2 or GC3</v>
      </c>
      <c r="G849" s="64">
        <v>0.12785647321904103</v>
      </c>
      <c r="H849" s="10">
        <v>0.12785647321904103</v>
      </c>
      <c r="I849" s="65">
        <v>0.011210264329999999</v>
      </c>
      <c r="J849" s="65">
        <v>0.017642424804000002</v>
      </c>
      <c r="K849" s="65">
        <v>0.01234332108504104</v>
      </c>
      <c r="L849" s="65">
        <v>0.086660463</v>
      </c>
      <c r="N849" s="66">
        <v>0.57773642</v>
      </c>
      <c r="O849" s="10">
        <v>0.57773642</v>
      </c>
      <c r="Q849" s="67">
        <v>10.092599</v>
      </c>
      <c r="S849" s="68">
        <v>0.013346425</v>
      </c>
      <c r="T849" s="68">
        <v>0.012367667</v>
      </c>
      <c r="U849" s="68">
        <v>5.3324147E-4</v>
      </c>
      <c r="V849" s="68">
        <v>4.4551642E-4</v>
      </c>
      <c r="X849" s="69">
        <v>3.4696825E-5</v>
      </c>
    </row>
    <row r="850" ht="12.75" customHeight="1">
      <c r="A850" s="1" t="s">
        <v>1328</v>
      </c>
      <c r="B850" s="2" t="s">
        <v>1316</v>
      </c>
      <c r="C850" s="60" t="str">
        <f t="shared" si="248"/>
        <v>A.120.01.113</v>
      </c>
      <c r="D850" s="51" t="s">
        <v>1314</v>
      </c>
      <c r="E850" s="62" t="s">
        <v>45</v>
      </c>
      <c r="F850" s="63" t="str">
        <f t="shared" si="249"/>
        <v>Paper and board for (fat) food packaging</v>
      </c>
      <c r="G850" s="64">
        <v>0.0924449829901588</v>
      </c>
      <c r="H850" s="10">
        <v>0.0924449829901588</v>
      </c>
      <c r="I850" s="65">
        <v>0.009532112406000002</v>
      </c>
      <c r="J850" s="65">
        <v>0.014735712705999998</v>
      </c>
      <c r="K850" s="65">
        <v>0.009552106878158802</v>
      </c>
      <c r="L850" s="65">
        <v>0.058625051</v>
      </c>
      <c r="N850" s="66">
        <v>0.39083367333333335</v>
      </c>
      <c r="O850" s="10">
        <v>0.39083367333333335</v>
      </c>
      <c r="Q850" s="67">
        <v>6.859894</v>
      </c>
      <c r="S850" s="68">
        <v>0.0097020843</v>
      </c>
      <c r="T850" s="68">
        <v>0.0090343394</v>
      </c>
      <c r="U850" s="68">
        <v>3.8012546E-4</v>
      </c>
      <c r="V850" s="68">
        <v>2.8761942E-4</v>
      </c>
      <c r="X850" s="69">
        <v>2.4970746E-5</v>
      </c>
    </row>
    <row r="851" ht="12.75" customHeight="1">
      <c r="A851" s="1" t="s">
        <v>1329</v>
      </c>
      <c r="B851" s="2" t="s">
        <v>1316</v>
      </c>
      <c r="C851" s="60" t="str">
        <f t="shared" si="248"/>
        <v>A.120.01.114</v>
      </c>
      <c r="D851" s="51" t="s">
        <v>1314</v>
      </c>
      <c r="E851" s="62" t="s">
        <v>45</v>
      </c>
      <c r="F851" s="63" t="str">
        <f t="shared" si="249"/>
        <v>Bamboo paper in Shenzhen produced in Sichuan proxi</v>
      </c>
      <c r="G851" s="64">
        <v>0.07182072881872097</v>
      </c>
      <c r="H851" s="10">
        <v>0.07182072881872097</v>
      </c>
      <c r="I851" s="65">
        <v>0.010112949016</v>
      </c>
      <c r="J851" s="65">
        <v>0.013428098549</v>
      </c>
      <c r="K851" s="65">
        <v>0.00782226625372097</v>
      </c>
      <c r="L851" s="65">
        <v>0.040457415</v>
      </c>
      <c r="N851" s="66">
        <v>0.2697161</v>
      </c>
      <c r="O851" s="10">
        <v>0.2697161</v>
      </c>
      <c r="Q851" s="67">
        <v>4.9597836</v>
      </c>
      <c r="S851" s="68">
        <v>0.0071027728</v>
      </c>
      <c r="T851" s="68">
        <v>0.0065945095</v>
      </c>
      <c r="U851" s="68">
        <v>2.8003065E-4</v>
      </c>
      <c r="V851" s="68">
        <v>2.2823267E-4</v>
      </c>
      <c r="X851" s="69">
        <v>1.8363403E-5</v>
      </c>
    </row>
    <row r="852" ht="12.75" customHeight="1">
      <c r="A852" s="1" t="s">
        <v>1330</v>
      </c>
      <c r="B852" s="2" t="s">
        <v>1316</v>
      </c>
      <c r="C852" s="60" t="str">
        <f t="shared" si="248"/>
        <v>A.120.01.115</v>
      </c>
      <c r="D852" s="51" t="s">
        <v>1314</v>
      </c>
      <c r="E852" s="62" t="s">
        <v>45</v>
      </c>
      <c r="F852" s="63" t="str">
        <f t="shared" si="249"/>
        <v>Solid board (from recycling paper) in Europe</v>
      </c>
      <c r="G852" s="64">
        <v>0.0661952657852656</v>
      </c>
      <c r="H852" s="10">
        <v>0.0661952657852656</v>
      </c>
      <c r="I852" s="65">
        <v>0.009443794905999999</v>
      </c>
      <c r="J852" s="65">
        <v>-0.03260979036</v>
      </c>
      <c r="K852" s="65">
        <v>0.005698553239265604</v>
      </c>
      <c r="L852" s="65">
        <v>0.083662708</v>
      </c>
      <c r="N852" s="66">
        <v>0.5577513866666667</v>
      </c>
      <c r="O852" s="10">
        <v>0.5577513866666667</v>
      </c>
      <c r="Q852" s="67">
        <v>8.081795</v>
      </c>
      <c r="S852" s="68">
        <v>0.010958925</v>
      </c>
      <c r="T852" s="68">
        <v>0.010047967</v>
      </c>
      <c r="U852" s="68">
        <v>4.6371749E-4</v>
      </c>
      <c r="V852" s="68">
        <v>4.4724114E-4</v>
      </c>
      <c r="X852" s="69">
        <v>2.81045E-5</v>
      </c>
    </row>
    <row r="853" ht="12.75" customHeight="1">
      <c r="A853" s="1" t="s">
        <v>1331</v>
      </c>
      <c r="B853" s="2" t="s">
        <v>1316</v>
      </c>
      <c r="C853" s="60" t="str">
        <f t="shared" si="248"/>
        <v>A.120.01.116</v>
      </c>
      <c r="D853" s="51" t="s">
        <v>1314</v>
      </c>
      <c r="E853" s="62" t="s">
        <v>45</v>
      </c>
      <c r="F853" s="63" t="str">
        <f t="shared" si="249"/>
        <v>Sanitary paper (virgin) in Europe</v>
      </c>
      <c r="G853" s="64">
        <v>0.1848589830735699</v>
      </c>
      <c r="H853" s="10">
        <v>0.1848589830735699</v>
      </c>
      <c r="I853" s="65">
        <v>0.013276822408</v>
      </c>
      <c r="J853" s="65">
        <v>0.019509420648</v>
      </c>
      <c r="K853" s="65">
        <v>0.009919040017569904</v>
      </c>
      <c r="L853" s="65">
        <v>0.1421537</v>
      </c>
      <c r="N853" s="66">
        <v>0.9476913333333333</v>
      </c>
      <c r="O853" s="10">
        <v>0.9476913333333333</v>
      </c>
      <c r="Q853" s="67">
        <v>14.764521</v>
      </c>
      <c r="S853" s="68">
        <v>0.019778088</v>
      </c>
      <c r="T853" s="68">
        <v>0.018093392</v>
      </c>
      <c r="U853" s="68">
        <v>8.15014E-4</v>
      </c>
      <c r="V853" s="68">
        <v>8.6968281E-4</v>
      </c>
      <c r="X853" s="69">
        <v>5.1677674E-5</v>
      </c>
    </row>
    <row r="854" ht="12.75" customHeight="1">
      <c r="A854" s="1" t="s">
        <v>1332</v>
      </c>
      <c r="B854" s="2" t="s">
        <v>1316</v>
      </c>
      <c r="C854" s="60" t="str">
        <f t="shared" si="248"/>
        <v>A.120.01.117</v>
      </c>
      <c r="D854" s="51" t="s">
        <v>1314</v>
      </c>
      <c r="E854" s="62" t="s">
        <v>45</v>
      </c>
      <c r="F854" s="63" t="str">
        <f t="shared" si="249"/>
        <v>Sanitary paper (from recycled paper) in Europe</v>
      </c>
      <c r="G854" s="64">
        <v>0.13744831798994286</v>
      </c>
      <c r="H854" s="10">
        <v>0.13744831798994286</v>
      </c>
      <c r="I854" s="65">
        <v>0.012263252186</v>
      </c>
      <c r="J854" s="65">
        <v>-0.02813907405</v>
      </c>
      <c r="K854" s="65">
        <v>0.006983599853942881</v>
      </c>
      <c r="L854" s="65">
        <v>0.14634054</v>
      </c>
      <c r="N854" s="66">
        <v>0.9756036</v>
      </c>
      <c r="O854" s="10">
        <v>0.9756036</v>
      </c>
      <c r="Q854" s="67">
        <v>14.321957</v>
      </c>
      <c r="S854" s="68">
        <v>0.018755226</v>
      </c>
      <c r="T854" s="68">
        <v>0.017086536</v>
      </c>
      <c r="U854" s="68">
        <v>7.946183E-4</v>
      </c>
      <c r="V854" s="68">
        <v>8.7407161E-4</v>
      </c>
      <c r="X854" s="69">
        <v>4.8613516E-5</v>
      </c>
    </row>
    <row r="855" ht="12.75" customHeight="1">
      <c r="B855" s="2"/>
      <c r="C855" s="60"/>
      <c r="D855" s="75" t="s">
        <v>1333</v>
      </c>
      <c r="E855" s="62"/>
      <c r="G855" s="10"/>
      <c r="H855" s="10"/>
      <c r="I855" s="10"/>
      <c r="J855" s="10"/>
      <c r="K855" s="10"/>
      <c r="L855" s="10"/>
      <c r="N855" s="10"/>
      <c r="O855" s="10"/>
      <c r="Q855" s="67"/>
    </row>
    <row r="856" ht="12.75" customHeight="1">
      <c r="A856" s="1" t="s">
        <v>1334</v>
      </c>
      <c r="B856" s="2" t="s">
        <v>1316</v>
      </c>
      <c r="C856" s="60" t="str">
        <f t="shared" ref="C856:C868" si="250">MID(A856,1,12)</f>
        <v>A.120.10.101</v>
      </c>
      <c r="D856" s="51" t="s">
        <v>1333</v>
      </c>
      <c r="E856" s="62" t="s">
        <v>729</v>
      </c>
      <c r="F856" s="63" t="str">
        <f t="shared" ref="F856:F868" si="251">MID(A856, 21,85)</f>
        <v>film HDPE 50 mu</v>
      </c>
      <c r="G856" s="64">
        <v>0.0566349258703</v>
      </c>
      <c r="H856" s="10">
        <f t="shared" ref="H856:H868" si="252">G856</f>
        <v>0.05663492587</v>
      </c>
      <c r="I856" s="65">
        <v>0.001011895483</v>
      </c>
      <c r="J856" s="65">
        <v>0.04014961928</v>
      </c>
      <c r="K856" s="65">
        <v>4.655781073E-4</v>
      </c>
      <c r="L856" s="65">
        <v>0.015007833</v>
      </c>
      <c r="N856" s="66">
        <v>0.10005222</v>
      </c>
      <c r="O856" s="10">
        <f t="shared" ref="O856:O868" si="253">N856</f>
        <v>0.10005222</v>
      </c>
      <c r="Q856" s="67">
        <v>4.3003845</v>
      </c>
      <c r="S856" s="68">
        <v>0.0026592437</v>
      </c>
      <c r="T856" s="68">
        <v>0.0022813814</v>
      </c>
      <c r="U856" s="68">
        <v>8.8764449E-5</v>
      </c>
      <c r="V856" s="68">
        <v>2.8909781E-4</v>
      </c>
      <c r="X856" s="69">
        <v>9.27348E-6</v>
      </c>
    </row>
    <row r="857" ht="12.75" customHeight="1">
      <c r="A857" s="1" t="s">
        <v>1335</v>
      </c>
      <c r="B857" s="2" t="s">
        <v>1316</v>
      </c>
      <c r="C857" s="60" t="str">
        <f t="shared" si="250"/>
        <v>A.120.10.102</v>
      </c>
      <c r="D857" s="51" t="s">
        <v>1333</v>
      </c>
      <c r="E857" s="62" t="s">
        <v>729</v>
      </c>
      <c r="F857" s="63" t="str">
        <f t="shared" si="251"/>
        <v>film LDPE 50 mu</v>
      </c>
      <c r="G857" s="64">
        <v>0.059157816388</v>
      </c>
      <c r="H857" s="10">
        <f t="shared" si="252"/>
        <v>0.05915781639</v>
      </c>
      <c r="I857" s="65">
        <v>0.0023272702700000004</v>
      </c>
      <c r="J857" s="65">
        <v>0.041362769470000005</v>
      </c>
      <c r="K857" s="65">
        <v>4.50875648E-4</v>
      </c>
      <c r="L857" s="65">
        <v>0.015016901</v>
      </c>
      <c r="N857" s="66">
        <v>0.10011267333333333</v>
      </c>
      <c r="O857" s="10">
        <f t="shared" si="253"/>
        <v>0.1001126733</v>
      </c>
      <c r="Q857" s="67">
        <v>4.3034109</v>
      </c>
      <c r="S857" s="68">
        <v>0.0028273828</v>
      </c>
      <c r="T857" s="68">
        <v>0.0024505584</v>
      </c>
      <c r="U857" s="68">
        <v>8.9268953E-5</v>
      </c>
      <c r="V857" s="68">
        <v>2.8755537E-4</v>
      </c>
      <c r="X857" s="69">
        <v>1.0581886E-5</v>
      </c>
    </row>
    <row r="858" ht="12.75" customHeight="1">
      <c r="A858" s="1" t="s">
        <v>1336</v>
      </c>
      <c r="B858" s="2" t="s">
        <v>1316</v>
      </c>
      <c r="C858" s="60" t="str">
        <f t="shared" si="250"/>
        <v>A.120.10.103</v>
      </c>
      <c r="D858" s="51" t="s">
        <v>1333</v>
      </c>
      <c r="E858" s="62" t="s">
        <v>729</v>
      </c>
      <c r="F858" s="63" t="str">
        <f t="shared" si="251"/>
        <v>film PC 50 mu</v>
      </c>
      <c r="G858" s="64">
        <v>0.09013259224087061</v>
      </c>
      <c r="H858" s="10">
        <f t="shared" si="252"/>
        <v>0.09013259224</v>
      </c>
      <c r="I858" s="65">
        <v>0.008730593339999999</v>
      </c>
      <c r="J858" s="65">
        <v>0.04745663722987062</v>
      </c>
      <c r="K858" s="65">
        <v>5.880986709999999E-4</v>
      </c>
      <c r="L858" s="65">
        <v>0.033357263</v>
      </c>
      <c r="N858" s="66">
        <v>0.22238175333333332</v>
      </c>
      <c r="O858" s="10">
        <f t="shared" si="253"/>
        <v>0.2223817533</v>
      </c>
      <c r="Q858" s="67">
        <v>6.9800526</v>
      </c>
      <c r="S858" s="68">
        <v>0.0057526055</v>
      </c>
      <c r="T858" s="68">
        <v>0.0051107011</v>
      </c>
      <c r="U858" s="68">
        <v>1.887477E-4</v>
      </c>
      <c r="V858" s="68">
        <v>4.5315669E-4</v>
      </c>
      <c r="X858" s="69">
        <v>2.4582237E-5</v>
      </c>
    </row>
    <row r="859" ht="12.75" customHeight="1">
      <c r="A859" s="1" t="s">
        <v>1337</v>
      </c>
      <c r="B859" s="2" t="s">
        <v>1316</v>
      </c>
      <c r="C859" s="60" t="str">
        <f t="shared" si="250"/>
        <v>A.120.10.104</v>
      </c>
      <c r="D859" s="51" t="s">
        <v>1333</v>
      </c>
      <c r="E859" s="62" t="s">
        <v>729</v>
      </c>
      <c r="F859" s="63" t="str">
        <f t="shared" si="251"/>
        <v>film PET / PE+EVOH+PE 62 mu for MAP</v>
      </c>
      <c r="G859" s="64">
        <v>0.0795567652816663</v>
      </c>
      <c r="H859" s="10">
        <f t="shared" si="252"/>
        <v>0.07955676528</v>
      </c>
      <c r="I859" s="65">
        <v>0.00300250872</v>
      </c>
      <c r="J859" s="65">
        <v>0.05179134541712</v>
      </c>
      <c r="K859" s="65">
        <v>7.047701445463E-4</v>
      </c>
      <c r="L859" s="65">
        <v>0.024058141</v>
      </c>
      <c r="N859" s="66">
        <v>0.16038760666666668</v>
      </c>
      <c r="O859" s="10">
        <f t="shared" si="253"/>
        <v>0.1603876067</v>
      </c>
      <c r="Q859" s="67">
        <v>5.8808691</v>
      </c>
      <c r="S859" s="68">
        <v>0.0043191029</v>
      </c>
      <c r="T859" s="68">
        <v>0.0037816431</v>
      </c>
      <c r="U859" s="68">
        <v>1.4463008E-4</v>
      </c>
      <c r="V859" s="68">
        <v>3.9282977E-4</v>
      </c>
      <c r="X859" s="69">
        <v>1.4689401E-5</v>
      </c>
    </row>
    <row r="860" ht="12.75" customHeight="1">
      <c r="A860" s="1" t="s">
        <v>1338</v>
      </c>
      <c r="B860" s="2" t="s">
        <v>1316</v>
      </c>
      <c r="C860" s="60" t="str">
        <f t="shared" si="250"/>
        <v>A.120.10.105</v>
      </c>
      <c r="D860" s="51" t="s">
        <v>1333</v>
      </c>
      <c r="E860" s="62" t="s">
        <v>729</v>
      </c>
      <c r="F860" s="63" t="str">
        <f t="shared" si="251"/>
        <v>film PET 50 mu</v>
      </c>
      <c r="G860" s="64">
        <v>0.074094360986</v>
      </c>
      <c r="H860" s="10">
        <f t="shared" si="252"/>
        <v>0.07409436099</v>
      </c>
      <c r="I860" s="65">
        <v>0.002366555039</v>
      </c>
      <c r="J860" s="65">
        <v>0.04521414048</v>
      </c>
      <c r="K860" s="65">
        <v>6.76313467E-4</v>
      </c>
      <c r="L860" s="65">
        <v>0.025837352</v>
      </c>
      <c r="N860" s="66">
        <v>0.17224901333333334</v>
      </c>
      <c r="O860" s="10">
        <f t="shared" si="253"/>
        <v>0.1722490133</v>
      </c>
      <c r="Q860" s="67">
        <v>5.4695203</v>
      </c>
      <c r="S860" s="68">
        <v>0.0046647483</v>
      </c>
      <c r="T860" s="68">
        <v>0.0041353108</v>
      </c>
      <c r="U860" s="68">
        <v>1.6033733E-4</v>
      </c>
      <c r="V860" s="68">
        <v>3.6910024E-4</v>
      </c>
      <c r="X860" s="69">
        <v>1.3708646E-5</v>
      </c>
    </row>
    <row r="861" ht="12.75" customHeight="1">
      <c r="A861" s="1" t="s">
        <v>1339</v>
      </c>
      <c r="B861" s="2" t="s">
        <v>1316</v>
      </c>
      <c r="C861" s="60" t="str">
        <f t="shared" si="250"/>
        <v>A.120.10.106</v>
      </c>
      <c r="D861" s="51" t="s">
        <v>1333</v>
      </c>
      <c r="E861" s="62" t="s">
        <v>729</v>
      </c>
      <c r="F861" s="63" t="str">
        <f t="shared" si="251"/>
        <v>film PET+ALOx / LDPE 62 mu for MAP</v>
      </c>
      <c r="G861" s="64">
        <v>0.07813059166017605</v>
      </c>
      <c r="H861" s="10">
        <f t="shared" si="252"/>
        <v>0.07813059166</v>
      </c>
      <c r="I861" s="65">
        <v>0.0030483996400000003</v>
      </c>
      <c r="J861" s="65">
        <v>0.052234184537459</v>
      </c>
      <c r="K861" s="65">
        <v>8.9749948271705E-4</v>
      </c>
      <c r="L861" s="65">
        <v>0.021950508</v>
      </c>
      <c r="N861" s="66">
        <v>0.14633672</v>
      </c>
      <c r="O861" s="10">
        <f t="shared" si="253"/>
        <v>0.14633672</v>
      </c>
      <c r="Q861" s="67">
        <v>5.7215353</v>
      </c>
      <c r="S861" s="68">
        <v>0.0041402646</v>
      </c>
      <c r="T861" s="68">
        <v>0.0036251745</v>
      </c>
      <c r="U861" s="68">
        <v>1.3487834E-4</v>
      </c>
      <c r="V861" s="68">
        <v>3.8021173E-4</v>
      </c>
      <c r="X861" s="69">
        <v>1.4265488E-5</v>
      </c>
    </row>
    <row r="862" ht="12.75" customHeight="1">
      <c r="A862" s="1" t="s">
        <v>1340</v>
      </c>
      <c r="B862" s="2" t="s">
        <v>1316</v>
      </c>
      <c r="C862" s="60" t="str">
        <f t="shared" si="250"/>
        <v>A.120.10.107</v>
      </c>
      <c r="D862" s="51" t="s">
        <v>1333</v>
      </c>
      <c r="E862" s="62" t="s">
        <v>729</v>
      </c>
      <c r="F862" s="63" t="str">
        <f t="shared" si="251"/>
        <v>film PET+PVOH / LDPE 62 mu for MAP</v>
      </c>
      <c r="G862" s="64">
        <v>0.078459709061</v>
      </c>
      <c r="H862" s="10">
        <f t="shared" si="252"/>
        <v>0.07845970906</v>
      </c>
      <c r="I862" s="65">
        <v>0.00309683196</v>
      </c>
      <c r="J862" s="65">
        <v>0.05275267163</v>
      </c>
      <c r="K862" s="65">
        <v>6.84027471E-4</v>
      </c>
      <c r="L862" s="65">
        <v>0.021926178</v>
      </c>
      <c r="N862" s="66">
        <v>0.14617452</v>
      </c>
      <c r="O862" s="10">
        <f t="shared" si="253"/>
        <v>0.14617452</v>
      </c>
      <c r="Q862" s="67">
        <v>5.7896582</v>
      </c>
      <c r="S862" s="68">
        <v>0.0041720949</v>
      </c>
      <c r="T862" s="68">
        <v>0.0036511769</v>
      </c>
      <c r="U862" s="68">
        <v>1.3556479E-4</v>
      </c>
      <c r="V862" s="68">
        <v>3.8535328E-4</v>
      </c>
      <c r="X862" s="69">
        <v>1.4391253E-5</v>
      </c>
    </row>
    <row r="863" ht="12.75" customHeight="1">
      <c r="A863" s="1" t="s">
        <v>1341</v>
      </c>
      <c r="B863" s="2" t="s">
        <v>1316</v>
      </c>
      <c r="C863" s="60" t="str">
        <f t="shared" si="250"/>
        <v>A.120.10.108</v>
      </c>
      <c r="D863" s="51" t="s">
        <v>1333</v>
      </c>
      <c r="E863" s="62" t="s">
        <v>729</v>
      </c>
      <c r="F863" s="63" t="str">
        <f t="shared" si="251"/>
        <v>film PLA (biobased) 50 mu</v>
      </c>
      <c r="G863" s="64">
        <v>0.04264668516771</v>
      </c>
      <c r="H863" s="10">
        <f t="shared" si="252"/>
        <v>0.04264668517</v>
      </c>
      <c r="I863" s="65">
        <v>0.001667785954</v>
      </c>
      <c r="J863" s="65">
        <v>0.0024713495097099998</v>
      </c>
      <c r="K863" s="65">
        <v>9.72879704E-4</v>
      </c>
      <c r="L863" s="65">
        <v>0.03753467</v>
      </c>
      <c r="N863" s="66">
        <v>0.25023113333333336</v>
      </c>
      <c r="O863" s="10">
        <f t="shared" si="253"/>
        <v>0.2502311333</v>
      </c>
      <c r="Q863" s="67">
        <v>5.1516334</v>
      </c>
      <c r="S863" s="68">
        <v>0.0046484694</v>
      </c>
      <c r="T863" s="68">
        <v>0.004207132</v>
      </c>
      <c r="U863" s="68">
        <v>1.9719552E-4</v>
      </c>
      <c r="V863" s="68">
        <v>2.4414185E-4</v>
      </c>
      <c r="X863" s="69">
        <v>1.2212824E-5</v>
      </c>
    </row>
    <row r="864" ht="12.75" customHeight="1">
      <c r="A864" s="1" t="s">
        <v>1342</v>
      </c>
      <c r="B864" s="2" t="s">
        <v>1316</v>
      </c>
      <c r="C864" s="60" t="str">
        <f t="shared" si="250"/>
        <v>A.120.10.109</v>
      </c>
      <c r="D864" s="51" t="s">
        <v>1333</v>
      </c>
      <c r="E864" s="62" t="s">
        <v>729</v>
      </c>
      <c r="F864" s="63" t="str">
        <f t="shared" si="251"/>
        <v>film PP 50 mu</v>
      </c>
      <c r="G864" s="64">
        <v>0.057131945083200006</v>
      </c>
      <c r="H864" s="10">
        <f t="shared" si="252"/>
        <v>0.05713194508</v>
      </c>
      <c r="I864" s="65">
        <v>9.339455749999999E-4</v>
      </c>
      <c r="J864" s="65">
        <v>0.04253635068</v>
      </c>
      <c r="K864" s="65">
        <v>4.4597482820000003E-4</v>
      </c>
      <c r="L864" s="65">
        <v>0.013215674</v>
      </c>
      <c r="N864" s="66">
        <v>0.08810449333333334</v>
      </c>
      <c r="O864" s="10">
        <f t="shared" si="253"/>
        <v>0.08810449333</v>
      </c>
      <c r="Q864" s="67">
        <v>4.0086596</v>
      </c>
      <c r="S864" s="68">
        <v>0.0023560362</v>
      </c>
      <c r="T864" s="68">
        <v>0.0020075611</v>
      </c>
      <c r="U864" s="68">
        <v>7.9067373E-5</v>
      </c>
      <c r="V864" s="68">
        <v>2.6940778E-4</v>
      </c>
      <c r="X864" s="69">
        <v>9.2117929E-6</v>
      </c>
    </row>
    <row r="865" ht="12.75" customHeight="1">
      <c r="A865" s="1" t="s">
        <v>1343</v>
      </c>
      <c r="B865" s="2" t="s">
        <v>1316</v>
      </c>
      <c r="C865" s="60" t="str">
        <f t="shared" si="250"/>
        <v>A.120.10.110</v>
      </c>
      <c r="D865" s="51" t="s">
        <v>1333</v>
      </c>
      <c r="E865" s="62" t="s">
        <v>729</v>
      </c>
      <c r="F865" s="63" t="str">
        <f t="shared" si="251"/>
        <v>film PP+PVDC 62 mu for MAP</v>
      </c>
      <c r="G865" s="64">
        <v>0.155853523192</v>
      </c>
      <c r="H865" s="10">
        <f t="shared" si="252"/>
        <v>0.1558535232</v>
      </c>
      <c r="I865" s="65">
        <v>0.06358189682</v>
      </c>
      <c r="J865" s="65">
        <v>0.0575922111</v>
      </c>
      <c r="K865" s="65">
        <v>0.002915971272</v>
      </c>
      <c r="L865" s="65">
        <v>0.031763444</v>
      </c>
      <c r="N865" s="66">
        <v>0.21175629333333335</v>
      </c>
      <c r="O865" s="10">
        <f t="shared" si="253"/>
        <v>0.2117562933</v>
      </c>
      <c r="Q865" s="67">
        <v>5.8792785</v>
      </c>
      <c r="S865" s="68">
        <v>0.006800856</v>
      </c>
      <c r="T865" s="68">
        <v>0.0062241095</v>
      </c>
      <c r="U865" s="68">
        <v>2.0505685E-4</v>
      </c>
      <c r="V865" s="68">
        <v>3.7168972E-4</v>
      </c>
      <c r="X865" s="69">
        <v>9.8025169E-5</v>
      </c>
    </row>
    <row r="866" ht="12.75" customHeight="1">
      <c r="A866" s="1" t="s">
        <v>1344</v>
      </c>
      <c r="B866" s="2" t="s">
        <v>1316</v>
      </c>
      <c r="C866" s="60" t="str">
        <f t="shared" si="250"/>
        <v>A.120.10.111</v>
      </c>
      <c r="D866" s="51" t="s">
        <v>1333</v>
      </c>
      <c r="E866" s="62" t="s">
        <v>729</v>
      </c>
      <c r="F866" s="63" t="str">
        <f t="shared" si="251"/>
        <v>film PS (shrink) 50 mu</v>
      </c>
      <c r="G866" s="64">
        <v>0.06772953499172374</v>
      </c>
      <c r="H866" s="10">
        <f t="shared" si="252"/>
        <v>0.06772953499</v>
      </c>
      <c r="I866" s="65">
        <v>0.002105189855</v>
      </c>
      <c r="J866" s="65">
        <v>0.045687153801723744</v>
      </c>
      <c r="K866" s="65">
        <v>5.14586335E-4</v>
      </c>
      <c r="L866" s="65">
        <v>0.019422605</v>
      </c>
      <c r="N866" s="66">
        <v>0.12948403333333333</v>
      </c>
      <c r="O866" s="10">
        <f t="shared" si="253"/>
        <v>0.1294840333</v>
      </c>
      <c r="Q866" s="67">
        <v>4.9572028</v>
      </c>
      <c r="S866" s="68">
        <v>0.0029589847</v>
      </c>
      <c r="T866" s="68">
        <v>0.0025168344</v>
      </c>
      <c r="U866" s="68">
        <v>1.0892979E-4</v>
      </c>
      <c r="V866" s="68">
        <v>3.3322055E-4</v>
      </c>
      <c r="X866" s="69">
        <v>1.0721405E-5</v>
      </c>
    </row>
    <row r="867" ht="12.75" customHeight="1">
      <c r="A867" s="1" t="s">
        <v>1345</v>
      </c>
      <c r="B867" s="2" t="s">
        <v>1316</v>
      </c>
      <c r="C867" s="60" t="str">
        <f t="shared" si="250"/>
        <v>A.120.10.112</v>
      </c>
      <c r="D867" s="51" t="s">
        <v>1333</v>
      </c>
      <c r="E867" s="62" t="s">
        <v>729</v>
      </c>
      <c r="F867" s="63" t="str">
        <f t="shared" si="251"/>
        <v>film PVC (stiff shrink) 50 mu</v>
      </c>
      <c r="G867" s="64">
        <v>0.071953279297</v>
      </c>
      <c r="H867" s="10">
        <f t="shared" si="252"/>
        <v>0.0719532793</v>
      </c>
      <c r="I867" s="65">
        <v>0.0045730549700000005</v>
      </c>
      <c r="J867" s="65">
        <v>0.03985230321</v>
      </c>
      <c r="K867" s="65">
        <v>6.861151169999999E-4</v>
      </c>
      <c r="L867" s="65">
        <v>0.026841806</v>
      </c>
      <c r="N867" s="66">
        <v>0.17894537333333332</v>
      </c>
      <c r="O867" s="10">
        <f t="shared" si="253"/>
        <v>0.1789453733</v>
      </c>
      <c r="Q867" s="67">
        <v>4.9379603</v>
      </c>
      <c r="S867" s="68">
        <v>0.0050721982</v>
      </c>
      <c r="T867" s="68">
        <v>0.0045889608</v>
      </c>
      <c r="U867" s="68">
        <v>1.7242934E-4</v>
      </c>
      <c r="V867" s="68">
        <v>3.1080799E-4</v>
      </c>
      <c r="X867" s="69">
        <v>1.511719E-5</v>
      </c>
    </row>
    <row r="868" ht="12.75" customHeight="1">
      <c r="A868" s="1" t="s">
        <v>1346</v>
      </c>
      <c r="B868" s="2" t="s">
        <v>1316</v>
      </c>
      <c r="C868" s="60" t="str">
        <f t="shared" si="250"/>
        <v>A.120.10.113</v>
      </c>
      <c r="D868" s="51" t="s">
        <v>1333</v>
      </c>
      <c r="E868" s="62" t="s">
        <v>729</v>
      </c>
      <c r="F868" s="63" t="str">
        <f t="shared" si="251"/>
        <v>Printing of multilayer film - UV Inkjet</v>
      </c>
      <c r="G868" s="64">
        <v>0.022999233409999997</v>
      </c>
      <c r="H868" s="10">
        <f t="shared" si="252"/>
        <v>0.02299923341</v>
      </c>
      <c r="I868" s="65">
        <v>0.0019123435999999997</v>
      </c>
      <c r="J868" s="65">
        <v>0.011704840349999999</v>
      </c>
      <c r="K868" s="65">
        <v>0.0018047399599999997</v>
      </c>
      <c r="L868" s="65">
        <v>0.0075773095</v>
      </c>
      <c r="N868" s="66">
        <v>0.05051539666666666</v>
      </c>
      <c r="O868" s="10">
        <f t="shared" si="253"/>
        <v>0.05051539667</v>
      </c>
      <c r="Q868" s="67">
        <v>1.2585137</v>
      </c>
      <c r="S868" s="68">
        <v>0.0014320136</v>
      </c>
      <c r="T868" s="68">
        <v>0.0013225322</v>
      </c>
      <c r="U868" s="68">
        <v>4.7533333E-5</v>
      </c>
      <c r="V868" s="68">
        <v>6.1948126E-5</v>
      </c>
      <c r="X868" s="69">
        <v>4.3820276E-6</v>
      </c>
    </row>
    <row r="869" ht="12.75" customHeight="1">
      <c r="B869" s="2"/>
      <c r="C869" s="60"/>
      <c r="D869" s="75" t="s">
        <v>1347</v>
      </c>
      <c r="E869" s="62"/>
      <c r="G869" s="10"/>
      <c r="H869" s="10"/>
      <c r="I869" s="10"/>
      <c r="J869" s="10"/>
      <c r="K869" s="10"/>
      <c r="L869" s="10"/>
      <c r="N869" s="10"/>
      <c r="O869" s="10"/>
      <c r="Q869" s="67"/>
    </row>
    <row r="870" ht="12.75" customHeight="1">
      <c r="A870" s="1" t="s">
        <v>1348</v>
      </c>
      <c r="B870" s="2" t="s">
        <v>1316</v>
      </c>
      <c r="C870" s="60" t="str">
        <f t="shared" ref="C870:C872" si="254">MID(A870,1,12)</f>
        <v>A.120.20.101</v>
      </c>
      <c r="D870" s="51" t="s">
        <v>1347</v>
      </c>
      <c r="E870" s="62" t="s">
        <v>887</v>
      </c>
      <c r="F870" s="63" t="str">
        <f t="shared" ref="F870:F872" si="255">MID(A870, 21,85)</f>
        <v>MAP Carbon Dioxide gas at 1 bar 0 degr C</v>
      </c>
      <c r="G870" s="64">
        <v>0.1662038810432</v>
      </c>
      <c r="H870" s="10">
        <f t="shared" ref="H870:H872" si="256">G870</f>
        <v>0.166203881</v>
      </c>
      <c r="I870" s="65">
        <v>0.00605439446</v>
      </c>
      <c r="J870" s="65">
        <v>0.0101851814932</v>
      </c>
      <c r="K870" s="65">
        <v>0.012636295090000001</v>
      </c>
      <c r="L870" s="65">
        <v>0.13732801</v>
      </c>
      <c r="N870" s="66">
        <v>0.9155200666666667</v>
      </c>
      <c r="O870" s="10">
        <f t="shared" ref="O870:O872" si="257">N870</f>
        <v>0.9155200667</v>
      </c>
      <c r="Q870" s="67">
        <v>15.144107</v>
      </c>
      <c r="S870" s="68">
        <v>0.01717343</v>
      </c>
      <c r="T870" s="68">
        <v>0.015747906</v>
      </c>
      <c r="U870" s="68">
        <v>7.2794312E-4</v>
      </c>
      <c r="V870" s="68">
        <v>6.9758081E-4</v>
      </c>
      <c r="X870" s="69">
        <v>4.540976E-5</v>
      </c>
    </row>
    <row r="871" ht="12.75" customHeight="1">
      <c r="A871" s="1" t="s">
        <v>1349</v>
      </c>
      <c r="B871" s="2" t="s">
        <v>1316</v>
      </c>
      <c r="C871" s="60" t="str">
        <f t="shared" si="254"/>
        <v>A.120.20.102</v>
      </c>
      <c r="D871" s="51" t="s">
        <v>1347</v>
      </c>
      <c r="E871" s="62" t="s">
        <v>887</v>
      </c>
      <c r="F871" s="63" t="str">
        <f t="shared" si="255"/>
        <v>MAP Nitrogen gas at 1 bar 0 degr C</v>
      </c>
      <c r="G871" s="64">
        <v>0.05541999231535488</v>
      </c>
      <c r="H871" s="10">
        <f t="shared" si="256"/>
        <v>0.05541999232</v>
      </c>
      <c r="I871" s="65">
        <v>0.00185948528363</v>
      </c>
      <c r="J871" s="65">
        <v>0.0037403046364999997</v>
      </c>
      <c r="K871" s="65">
        <v>0.008913427395224879</v>
      </c>
      <c r="L871" s="65">
        <v>0.040906775</v>
      </c>
      <c r="N871" s="66">
        <v>0.2727118333333333</v>
      </c>
      <c r="O871" s="10">
        <f t="shared" si="257"/>
        <v>0.2727118333</v>
      </c>
      <c r="Q871" s="67">
        <v>5.1959551</v>
      </c>
      <c r="S871" s="68">
        <v>0.0052060915</v>
      </c>
      <c r="T871" s="68">
        <v>0.0048866259</v>
      </c>
      <c r="U871" s="68">
        <v>2.2057205E-4</v>
      </c>
      <c r="V871" s="68">
        <v>9.8893513E-5</v>
      </c>
      <c r="X871" s="69">
        <v>1.3849721E-5</v>
      </c>
    </row>
    <row r="872" ht="12.75" customHeight="1">
      <c r="A872" s="1" t="s">
        <v>1350</v>
      </c>
      <c r="B872" s="2" t="s">
        <v>1316</v>
      </c>
      <c r="C872" s="60" t="str">
        <f t="shared" si="254"/>
        <v>A.120.20.103</v>
      </c>
      <c r="D872" s="51" t="s">
        <v>1347</v>
      </c>
      <c r="E872" s="62" t="s">
        <v>887</v>
      </c>
      <c r="F872" s="63" t="str">
        <f t="shared" si="255"/>
        <v>MAP Oxygen gas at 1 bar 0 degr C</v>
      </c>
      <c r="G872" s="64">
        <v>0.0917626520731088</v>
      </c>
      <c r="H872" s="10">
        <f t="shared" si="256"/>
        <v>0.09176265207</v>
      </c>
      <c r="I872" s="65">
        <v>0.0030250037568299998</v>
      </c>
      <c r="J872" s="65">
        <v>0.006139754588600001</v>
      </c>
      <c r="K872" s="65">
        <v>0.014696539727678792</v>
      </c>
      <c r="L872" s="65">
        <v>0.067901354</v>
      </c>
      <c r="N872" s="66">
        <v>0.45267569333333335</v>
      </c>
      <c r="O872" s="10">
        <f t="shared" si="257"/>
        <v>0.4526756933</v>
      </c>
      <c r="Q872" s="67">
        <v>8.6296097</v>
      </c>
      <c r="S872" s="68">
        <v>0.0086354592</v>
      </c>
      <c r="T872" s="68">
        <v>0.0081072658</v>
      </c>
      <c r="U872" s="68">
        <v>3.6594471E-4</v>
      </c>
      <c r="V872" s="68">
        <v>1.6224865E-4</v>
      </c>
      <c r="X872" s="69">
        <v>2.2970969E-5</v>
      </c>
    </row>
    <row r="873" ht="12.75" customHeight="1">
      <c r="B873" s="2"/>
      <c r="C873" s="60"/>
      <c r="D873" s="75" t="s">
        <v>1351</v>
      </c>
      <c r="E873" s="62"/>
      <c r="G873" s="10"/>
      <c r="H873" s="10"/>
      <c r="I873" s="10"/>
      <c r="J873" s="10"/>
      <c r="K873" s="10"/>
      <c r="L873" s="10"/>
      <c r="N873" s="10"/>
      <c r="O873" s="10"/>
      <c r="Q873" s="67"/>
    </row>
    <row r="874" ht="12.75" customHeight="1">
      <c r="A874" s="1" t="s">
        <v>1352</v>
      </c>
      <c r="B874" s="2" t="s">
        <v>1316</v>
      </c>
      <c r="C874" s="60" t="str">
        <f t="shared" ref="C874:C879" si="258">MID(A874,1,12)</f>
        <v>A.120.30.101</v>
      </c>
      <c r="D874" s="51" t="s">
        <v>1353</v>
      </c>
      <c r="E874" s="62" t="s">
        <v>45</v>
      </c>
      <c r="F874" s="63" t="str">
        <f t="shared" ref="F874:F879" si="259">MID(A874, 21,85)</f>
        <v>Mycelium composite protective packaging - Grown Bio 121 kg/m3</v>
      </c>
      <c r="G874" s="64">
        <v>0.04884303718859545</v>
      </c>
      <c r="H874" s="10">
        <f t="shared" ref="H874:H879" si="260">G874</f>
        <v>0.04884303719</v>
      </c>
      <c r="I874" s="65">
        <v>0.00533356709</v>
      </c>
      <c r="J874" s="65">
        <v>0.009476576863500001</v>
      </c>
      <c r="K874" s="65">
        <v>0.002421075235095455</v>
      </c>
      <c r="L874" s="65">
        <v>0.031611818</v>
      </c>
      <c r="N874" s="66">
        <v>0.21074545333333333</v>
      </c>
      <c r="O874" s="10">
        <f t="shared" ref="O874:O879" si="261">N874</f>
        <v>0.2107454533</v>
      </c>
      <c r="Q874" s="67">
        <v>2.362404</v>
      </c>
      <c r="S874" s="68">
        <v>0.0047792139</v>
      </c>
      <c r="T874" s="68">
        <v>0.004411934</v>
      </c>
      <c r="U874" s="68">
        <v>2.6915666E-4</v>
      </c>
      <c r="V874" s="68">
        <v>9.8123229E-5</v>
      </c>
      <c r="X874" s="69">
        <v>1.2905103E-5</v>
      </c>
      <c r="Y874" s="82"/>
    </row>
    <row r="875" ht="12.75" customHeight="1">
      <c r="A875" s="1" t="s">
        <v>1354</v>
      </c>
      <c r="B875" s="2" t="s">
        <v>1316</v>
      </c>
      <c r="C875" s="60" t="str">
        <f t="shared" si="258"/>
        <v>A.120.30.102</v>
      </c>
      <c r="D875" s="51" t="s">
        <v>1353</v>
      </c>
      <c r="E875" s="62" t="s">
        <v>45</v>
      </c>
      <c r="F875" s="63" t="str">
        <f t="shared" si="259"/>
        <v>Paperfoam</v>
      </c>
      <c r="G875" s="64">
        <v>0.15719434545536</v>
      </c>
      <c r="H875" s="10">
        <f t="shared" si="260"/>
        <v>0.1571943455</v>
      </c>
      <c r="I875" s="65">
        <v>0.006023099326</v>
      </c>
      <c r="J875" s="65">
        <v>0.01976181672</v>
      </c>
      <c r="K875" s="65">
        <v>0.01922692940936</v>
      </c>
      <c r="L875" s="65">
        <v>0.1121825</v>
      </c>
      <c r="N875" s="66">
        <v>0.7478833333333333</v>
      </c>
      <c r="O875" s="10">
        <f t="shared" si="261"/>
        <v>0.7478833333</v>
      </c>
      <c r="Q875" s="67">
        <v>19.233497</v>
      </c>
      <c r="S875" s="68">
        <v>0.01485548</v>
      </c>
      <c r="T875" s="68">
        <v>0.013688636</v>
      </c>
      <c r="U875" s="68">
        <v>6.5081722E-4</v>
      </c>
      <c r="V875" s="68">
        <v>5.1602638E-4</v>
      </c>
      <c r="X875" s="69">
        <v>3.9731967E-5</v>
      </c>
      <c r="Y875" s="82"/>
    </row>
    <row r="876" ht="12.75" customHeight="1">
      <c r="A876" s="1" t="s">
        <v>1355</v>
      </c>
      <c r="B876" s="2" t="s">
        <v>1316</v>
      </c>
      <c r="C876" s="60" t="str">
        <f t="shared" si="258"/>
        <v>A.120.30.103</v>
      </c>
      <c r="D876" s="51" t="s">
        <v>1353</v>
      </c>
      <c r="E876" s="62" t="s">
        <v>45</v>
      </c>
      <c r="F876" s="63" t="str">
        <f t="shared" si="259"/>
        <v>Stonepaper from Taiwan in Rotterdam</v>
      </c>
      <c r="G876" s="64">
        <v>0.448725102127254</v>
      </c>
      <c r="H876" s="10">
        <f t="shared" si="260"/>
        <v>0.4487251021</v>
      </c>
      <c r="I876" s="65">
        <v>0.01565983833</v>
      </c>
      <c r="J876" s="65">
        <v>0.228573420476</v>
      </c>
      <c r="K876" s="65">
        <v>0.019104123321254052</v>
      </c>
      <c r="L876" s="65">
        <v>0.18538772</v>
      </c>
      <c r="N876" s="66">
        <v>1.2359181333333333</v>
      </c>
      <c r="O876" s="10">
        <f t="shared" si="261"/>
        <v>1.235918133</v>
      </c>
      <c r="Q876" s="67">
        <v>31.565688</v>
      </c>
      <c r="S876" s="68">
        <v>0.029972796</v>
      </c>
      <c r="T876" s="68">
        <v>0.027020136</v>
      </c>
      <c r="U876" s="68">
        <v>0.0010767509</v>
      </c>
      <c r="V876" s="68">
        <v>0.0018759091</v>
      </c>
      <c r="X876" s="69">
        <v>8.58358E-5</v>
      </c>
      <c r="Y876" s="77"/>
      <c r="Z876" s="73" t="s">
        <v>1356</v>
      </c>
    </row>
    <row r="877" ht="12.75" customHeight="1">
      <c r="A877" s="1" t="s">
        <v>1357</v>
      </c>
      <c r="B877" s="2" t="s">
        <v>1316</v>
      </c>
      <c r="C877" s="60" t="str">
        <f t="shared" si="258"/>
        <v>A.120.30.104</v>
      </c>
      <c r="D877" s="51" t="s">
        <v>1353</v>
      </c>
      <c r="E877" s="62" t="s">
        <v>45</v>
      </c>
      <c r="F877" s="63" t="str">
        <f t="shared" si="259"/>
        <v>Stonepaper from Germany in Rotterdam</v>
      </c>
      <c r="G877" s="64">
        <v>0.3625624321261496</v>
      </c>
      <c r="H877" s="10">
        <f t="shared" si="260"/>
        <v>0.3625624321</v>
      </c>
      <c r="I877" s="65">
        <v>0.00822655909</v>
      </c>
      <c r="J877" s="65">
        <v>0.21595424359600002</v>
      </c>
      <c r="K877" s="65">
        <v>0.009259229440149595</v>
      </c>
      <c r="L877" s="65">
        <v>0.1291224</v>
      </c>
      <c r="N877" s="66">
        <v>0.860816</v>
      </c>
      <c r="O877" s="10">
        <f t="shared" si="261"/>
        <v>0.860816</v>
      </c>
      <c r="Q877" s="67">
        <v>28.978607</v>
      </c>
      <c r="S877" s="68">
        <v>0.02063181</v>
      </c>
      <c r="T877" s="68">
        <v>0.018192524</v>
      </c>
      <c r="U877" s="68">
        <v>7.4248262E-4</v>
      </c>
      <c r="V877" s="68">
        <v>0.0016968031</v>
      </c>
      <c r="X877" s="69">
        <v>6.4359689E-5</v>
      </c>
      <c r="Y877" s="77"/>
      <c r="Z877" s="73" t="s">
        <v>1356</v>
      </c>
    </row>
    <row r="878" ht="12.75" customHeight="1">
      <c r="A878" s="1" t="s">
        <v>1358</v>
      </c>
      <c r="B878" s="2" t="s">
        <v>1316</v>
      </c>
      <c r="C878" s="60" t="str">
        <f t="shared" si="258"/>
        <v>A.120.30.105</v>
      </c>
      <c r="D878" s="51" t="s">
        <v>1353</v>
      </c>
      <c r="E878" s="87" t="s">
        <v>1359</v>
      </c>
      <c r="F878" s="63" t="str">
        <f t="shared" si="259"/>
        <v>pallet Euro 1 Euro 2 Euro 3 and ISO wood per round trip (30)</v>
      </c>
      <c r="G878" s="64">
        <v>0.05592218448594606</v>
      </c>
      <c r="H878" s="10">
        <f t="shared" si="260"/>
        <v>0.05592218449</v>
      </c>
      <c r="I878" s="65">
        <v>0.0024986501755</v>
      </c>
      <c r="J878" s="65">
        <v>0.0072850286591</v>
      </c>
      <c r="K878" s="65">
        <v>0.009186126651346063</v>
      </c>
      <c r="L878" s="65">
        <v>0.036952379</v>
      </c>
      <c r="N878" s="66">
        <v>0.24634919333333336</v>
      </c>
      <c r="O878" s="10">
        <f t="shared" si="261"/>
        <v>0.2463491933</v>
      </c>
      <c r="Q878" s="67">
        <v>21.786791</v>
      </c>
      <c r="S878" s="68">
        <v>0.0052691068</v>
      </c>
      <c r="T878" s="68">
        <v>0.0048960417</v>
      </c>
      <c r="U878" s="68">
        <v>2.1054867E-4</v>
      </c>
      <c r="V878" s="68">
        <v>1.6251647E-4</v>
      </c>
      <c r="X878" s="69">
        <v>1.2344098E-5</v>
      </c>
      <c r="Y878" s="77"/>
    </row>
    <row r="879" ht="12.75" customHeight="1">
      <c r="A879" s="1" t="s">
        <v>1360</v>
      </c>
      <c r="B879" s="2" t="s">
        <v>1316</v>
      </c>
      <c r="C879" s="60" t="str">
        <f t="shared" si="258"/>
        <v>A.120.30.106</v>
      </c>
      <c r="D879" s="51" t="s">
        <v>1353</v>
      </c>
      <c r="E879" s="62" t="s">
        <v>45</v>
      </c>
      <c r="F879" s="63" t="str">
        <f t="shared" si="259"/>
        <v>Ca(Alg)2 bioplastic from seaweed alginate (compostable)</v>
      </c>
      <c r="G879" s="64">
        <v>2.144052268663674</v>
      </c>
      <c r="H879" s="10">
        <f t="shared" si="260"/>
        <v>2.144052269</v>
      </c>
      <c r="I879" s="65">
        <v>0.13062735139999998</v>
      </c>
      <c r="J879" s="65">
        <v>0.23801586535900002</v>
      </c>
      <c r="K879" s="65">
        <v>0.056549051904673624</v>
      </c>
      <c r="L879" s="65">
        <v>1.71886</v>
      </c>
      <c r="N879" s="66">
        <v>11.459066666666667</v>
      </c>
      <c r="O879" s="10">
        <f t="shared" si="261"/>
        <v>11.45906667</v>
      </c>
      <c r="Q879" s="67">
        <v>237.89766</v>
      </c>
      <c r="S879" s="68">
        <v>0.24669598</v>
      </c>
      <c r="T879" s="68">
        <v>0.22243381</v>
      </c>
      <c r="U879" s="68">
        <v>0.0096231234</v>
      </c>
      <c r="V879" s="68">
        <v>0.014639041</v>
      </c>
      <c r="X879" s="69">
        <v>6.6844325E-4</v>
      </c>
      <c r="Y879" s="77"/>
    </row>
    <row r="880" ht="12.75" customHeight="1">
      <c r="B880" s="2"/>
      <c r="C880" s="60"/>
      <c r="D880" s="51"/>
      <c r="E880" s="62"/>
      <c r="G880" s="10"/>
      <c r="H880" s="10"/>
      <c r="I880" s="10"/>
      <c r="J880" s="10"/>
      <c r="K880" s="10"/>
      <c r="L880" s="10"/>
      <c r="N880" s="10"/>
      <c r="O880" s="10"/>
      <c r="Q880" s="67"/>
      <c r="Y880" s="74"/>
      <c r="Z880" s="48"/>
    </row>
    <row r="881" ht="12.75" customHeight="1">
      <c r="B881" s="2"/>
      <c r="C881" s="60"/>
      <c r="D881" s="75" t="s">
        <v>1361</v>
      </c>
      <c r="E881" s="62"/>
      <c r="G881" s="10"/>
      <c r="H881" s="10"/>
      <c r="I881" s="10"/>
      <c r="J881" s="10"/>
      <c r="K881" s="10"/>
      <c r="L881" s="10"/>
      <c r="N881" s="10"/>
      <c r="O881" s="10"/>
      <c r="Q881" s="67"/>
      <c r="Y881" s="74"/>
      <c r="Z881" s="72"/>
    </row>
    <row r="882" ht="12.75" customHeight="1">
      <c r="A882" s="1" t="s">
        <v>1362</v>
      </c>
      <c r="B882" s="2" t="s">
        <v>1363</v>
      </c>
      <c r="C882" s="60" t="str">
        <f t="shared" ref="C882:C893" si="262">MID(A882,1,12)</f>
        <v>A.130.01.101</v>
      </c>
      <c r="D882" s="51" t="s">
        <v>1361</v>
      </c>
      <c r="E882" s="87" t="s">
        <v>685</v>
      </c>
      <c r="F882" s="63" t="str">
        <f t="shared" ref="F882:F893" si="263">MID(A882, 21,85)</f>
        <v>bio-HDPE (Polyethylene) - not biodegradable - from ethanol (Brazil Braskem)</v>
      </c>
      <c r="G882" s="64">
        <v>2.20421796406</v>
      </c>
      <c r="H882" s="10">
        <f t="shared" ref="H882:H893" si="264">G882</f>
        <v>2.204217964</v>
      </c>
      <c r="I882" s="65">
        <v>0.25049575206</v>
      </c>
      <c r="J882" s="65">
        <v>1.734722212</v>
      </c>
      <c r="K882" s="65">
        <v>0.0</v>
      </c>
      <c r="L882" s="65">
        <v>0.219</v>
      </c>
      <c r="N882" s="66">
        <v>1.46</v>
      </c>
      <c r="O882" s="10">
        <f t="shared" ref="O882:O893" si="265">N882</f>
        <v>1.46</v>
      </c>
      <c r="Q882" s="67">
        <v>18.8053</v>
      </c>
      <c r="S882" s="68">
        <v>0.1751058</v>
      </c>
      <c r="T882" s="68">
        <v>0.17070998</v>
      </c>
      <c r="U882" s="68">
        <v>0.0040694496</v>
      </c>
      <c r="V882" s="68">
        <v>3.2637083E-4</v>
      </c>
      <c r="X882" s="69">
        <v>3.4774785E-4</v>
      </c>
      <c r="Y882" s="88"/>
      <c r="Z882" s="73" t="s">
        <v>1364</v>
      </c>
    </row>
    <row r="883" ht="12.75" customHeight="1">
      <c r="A883" s="1" t="s">
        <v>1365</v>
      </c>
      <c r="B883" s="2" t="s">
        <v>1363</v>
      </c>
      <c r="C883" s="60" t="str">
        <f t="shared" si="262"/>
        <v>A.130.01.102</v>
      </c>
      <c r="D883" s="51" t="s">
        <v>1361</v>
      </c>
      <c r="E883" s="62" t="s">
        <v>45</v>
      </c>
      <c r="F883" s="63" t="str">
        <f t="shared" si="263"/>
        <v>CA (Cellulose polymers) - biodegradable</v>
      </c>
      <c r="G883" s="64">
        <v>0.88879967748</v>
      </c>
      <c r="H883" s="10">
        <f t="shared" si="264"/>
        <v>0.8887996775</v>
      </c>
      <c r="I883" s="65">
        <v>0.04926190809</v>
      </c>
      <c r="J883" s="65">
        <v>0.07393915748</v>
      </c>
      <c r="K883" s="65">
        <v>0.07220588190999999</v>
      </c>
      <c r="L883" s="65">
        <v>0.69339273</v>
      </c>
      <c r="N883" s="66">
        <v>4.622618200000001</v>
      </c>
      <c r="O883" s="10">
        <f t="shared" si="265"/>
        <v>4.6226182</v>
      </c>
      <c r="Q883" s="67">
        <v>118.80604</v>
      </c>
      <c r="S883" s="68">
        <v>0.093349093</v>
      </c>
      <c r="T883" s="68">
        <v>0.081962106</v>
      </c>
      <c r="U883" s="68">
        <v>0.0037574837</v>
      </c>
      <c r="V883" s="68">
        <v>0.0076295034</v>
      </c>
      <c r="X883" s="69">
        <v>2.9337395E-4</v>
      </c>
      <c r="Y883" s="88"/>
      <c r="Z883" s="73" t="s">
        <v>1366</v>
      </c>
    </row>
    <row r="884" ht="12.75" customHeight="1">
      <c r="A884" s="1" t="s">
        <v>1367</v>
      </c>
      <c r="B884" s="2" t="s">
        <v>1363</v>
      </c>
      <c r="C884" s="60" t="str">
        <f t="shared" si="262"/>
        <v>A.130.01.103</v>
      </c>
      <c r="D884" s="51" t="s">
        <v>1361</v>
      </c>
      <c r="E884" s="62" t="s">
        <v>45</v>
      </c>
      <c r="F884" s="63" t="str">
        <f t="shared" si="263"/>
        <v>PA-11 (Nylon-11) - bio-based not biodegradable</v>
      </c>
      <c r="G884" s="64">
        <v>1.4118301667</v>
      </c>
      <c r="H884" s="10">
        <f t="shared" si="264"/>
        <v>1.411830167</v>
      </c>
      <c r="I884" s="65">
        <v>0.0805332307</v>
      </c>
      <c r="J884" s="65">
        <v>0.786046936</v>
      </c>
      <c r="K884" s="65">
        <v>0.0</v>
      </c>
      <c r="L884" s="65">
        <v>0.54525</v>
      </c>
      <c r="N884" s="66">
        <v>3.6350000000000002</v>
      </c>
      <c r="O884" s="10">
        <f t="shared" si="265"/>
        <v>3.635</v>
      </c>
      <c r="Q884" s="67">
        <v>66.0698</v>
      </c>
      <c r="S884" s="68">
        <v>0.11512964</v>
      </c>
      <c r="T884" s="68">
        <v>0.11109173</v>
      </c>
      <c r="U884" s="68">
        <v>0.0035137193</v>
      </c>
      <c r="V884" s="68">
        <v>5.2419024E-4</v>
      </c>
      <c r="X884" s="69">
        <v>2.1414722E-4</v>
      </c>
      <c r="Y884" s="88"/>
      <c r="Z884" s="73" t="s">
        <v>1368</v>
      </c>
    </row>
    <row r="885" ht="12.75" customHeight="1">
      <c r="A885" s="1" t="s">
        <v>1369</v>
      </c>
      <c r="B885" s="2" t="s">
        <v>1363</v>
      </c>
      <c r="C885" s="60" t="str">
        <f t="shared" si="262"/>
        <v>A.130.01.104</v>
      </c>
      <c r="D885" s="51" t="s">
        <v>1361</v>
      </c>
      <c r="E885" s="62" t="s">
        <v>45</v>
      </c>
      <c r="F885" s="63" t="str">
        <f t="shared" si="263"/>
        <v>bio-PET (Polyethylene terephthalate) from sugarcane - not biodegradable</v>
      </c>
      <c r="G885" s="64">
        <v>1.0120634871</v>
      </c>
      <c r="H885" s="10">
        <f t="shared" si="264"/>
        <v>1.012063487</v>
      </c>
      <c r="I885" s="65">
        <v>0.0323407074</v>
      </c>
      <c r="J885" s="65">
        <v>0.6512227797</v>
      </c>
      <c r="K885" s="65">
        <v>0.0</v>
      </c>
      <c r="L885" s="65">
        <v>0.3285</v>
      </c>
      <c r="N885" s="66">
        <v>2.1900000000000004</v>
      </c>
      <c r="O885" s="10">
        <f t="shared" si="265"/>
        <v>2.19</v>
      </c>
      <c r="Q885" s="67">
        <v>74.0007</v>
      </c>
      <c r="S885" s="68">
        <v>0.060678488</v>
      </c>
      <c r="T885" s="68">
        <v>0.054451145</v>
      </c>
      <c r="U885" s="68">
        <v>0.0020763339</v>
      </c>
      <c r="V885" s="68">
        <v>0.0041510089</v>
      </c>
      <c r="X885" s="69">
        <v>1.7006286E-4</v>
      </c>
      <c r="Y885" s="88"/>
      <c r="Z885" s="73" t="s">
        <v>1370</v>
      </c>
    </row>
    <row r="886" ht="12.75" customHeight="1">
      <c r="A886" s="1" t="s">
        <v>1371</v>
      </c>
      <c r="B886" s="2" t="s">
        <v>1363</v>
      </c>
      <c r="C886" s="60" t="str">
        <f t="shared" si="262"/>
        <v>A.130.01.105</v>
      </c>
      <c r="D886" s="51" t="s">
        <v>1361</v>
      </c>
      <c r="E886" s="62" t="s">
        <v>45</v>
      </c>
      <c r="F886" s="63" t="str">
        <f t="shared" si="263"/>
        <v>PHA and PHB (Polyhydroxyalkanoates) from wastewater sludge - biodegradable)</v>
      </c>
      <c r="G886" s="64">
        <v>0.46129844995360003</v>
      </c>
      <c r="H886" s="10">
        <f t="shared" si="264"/>
        <v>0.46129845</v>
      </c>
      <c r="I886" s="65">
        <v>0.016405093011</v>
      </c>
      <c r="J886" s="65">
        <v>0.0286358744426</v>
      </c>
      <c r="K886" s="65">
        <v>0.0420255825</v>
      </c>
      <c r="L886" s="65">
        <v>0.3742319</v>
      </c>
      <c r="N886" s="66">
        <v>2.4948793333333334</v>
      </c>
      <c r="O886" s="10">
        <f t="shared" si="265"/>
        <v>2.494879333</v>
      </c>
      <c r="Q886" s="67">
        <v>69.831071</v>
      </c>
      <c r="S886" s="68">
        <v>0.046919803</v>
      </c>
      <c r="T886" s="68">
        <v>0.043202108</v>
      </c>
      <c r="U886" s="68">
        <v>0.001988893</v>
      </c>
      <c r="V886" s="68">
        <v>0.0017288019</v>
      </c>
      <c r="X886" s="69">
        <v>1.2418727E-4</v>
      </c>
      <c r="Y886" s="88"/>
      <c r="Z886" s="73" t="s">
        <v>1372</v>
      </c>
    </row>
    <row r="887" ht="12.75" customHeight="1">
      <c r="A887" s="1" t="s">
        <v>1373</v>
      </c>
      <c r="B887" s="2" t="s">
        <v>1363</v>
      </c>
      <c r="C887" s="60" t="str">
        <f t="shared" si="262"/>
        <v>A.130.01.106</v>
      </c>
      <c r="D887" s="51" t="s">
        <v>1361</v>
      </c>
      <c r="E887" s="62" t="s">
        <v>45</v>
      </c>
      <c r="F887" s="63" t="str">
        <f t="shared" si="263"/>
        <v>PLA (Polylactide) of corn stover - biodegradable</v>
      </c>
      <c r="G887" s="64">
        <v>0.594335020599</v>
      </c>
      <c r="H887" s="10">
        <f t="shared" si="264"/>
        <v>0.5943350206</v>
      </c>
      <c r="I887" s="65">
        <v>0.023701053229999998</v>
      </c>
      <c r="J887" s="65">
        <v>0.033966141819</v>
      </c>
      <c r="K887" s="65">
        <v>0.00516573555</v>
      </c>
      <c r="L887" s="65">
        <v>0.53150209</v>
      </c>
      <c r="N887" s="66">
        <v>3.543347266666667</v>
      </c>
      <c r="O887" s="10">
        <f t="shared" si="265"/>
        <v>3.543347267</v>
      </c>
      <c r="Q887" s="67">
        <v>73.408489</v>
      </c>
      <c r="S887" s="68">
        <v>0.065679604</v>
      </c>
      <c r="T887" s="68">
        <v>0.059244213</v>
      </c>
      <c r="U887" s="68">
        <v>0.0027863817</v>
      </c>
      <c r="V887" s="68">
        <v>0.0036490089</v>
      </c>
      <c r="X887" s="69">
        <v>1.7236998E-4</v>
      </c>
      <c r="Y887" s="88"/>
      <c r="Z887" s="73" t="s">
        <v>1374</v>
      </c>
    </row>
    <row r="888" ht="12.75" customHeight="1">
      <c r="A888" s="1" t="s">
        <v>1375</v>
      </c>
      <c r="B888" s="2" t="s">
        <v>1363</v>
      </c>
      <c r="C888" s="60" t="str">
        <f t="shared" si="262"/>
        <v>A.130.01.107</v>
      </c>
      <c r="D888" s="51" t="s">
        <v>1361</v>
      </c>
      <c r="E888" s="62" t="s">
        <v>45</v>
      </c>
      <c r="F888" s="63" t="str">
        <f t="shared" si="263"/>
        <v>PBS-Starch 50%-50% blend - biodegradable</v>
      </c>
      <c r="G888" s="64">
        <v>0.4227904416778382</v>
      </c>
      <c r="H888" s="10">
        <f t="shared" si="264"/>
        <v>0.4227904417</v>
      </c>
      <c r="I888" s="65">
        <v>0.02753805829</v>
      </c>
      <c r="J888" s="65">
        <v>0.058122203277</v>
      </c>
      <c r="K888" s="65">
        <v>0.014571350110838198</v>
      </c>
      <c r="L888" s="65">
        <v>0.32255883</v>
      </c>
      <c r="N888" s="66">
        <v>2.1503922</v>
      </c>
      <c r="O888" s="10">
        <f t="shared" si="265"/>
        <v>2.1503922</v>
      </c>
      <c r="Q888" s="67">
        <v>78.643974</v>
      </c>
      <c r="S888" s="68">
        <v>0.050041818</v>
      </c>
      <c r="T888" s="68">
        <v>0.044573703</v>
      </c>
      <c r="U888" s="68">
        <v>0.0019441768</v>
      </c>
      <c r="V888" s="68">
        <v>0.0035239374</v>
      </c>
      <c r="X888" s="69">
        <v>1.4905268E-4</v>
      </c>
      <c r="Y888" s="88"/>
      <c r="Z888" s="73" t="s">
        <v>1376</v>
      </c>
    </row>
    <row r="889" ht="12.75" customHeight="1">
      <c r="A889" s="1" t="s">
        <v>1377</v>
      </c>
      <c r="B889" s="2" t="s">
        <v>1363</v>
      </c>
      <c r="C889" s="60" t="str">
        <f t="shared" si="262"/>
        <v>A.130.01.108</v>
      </c>
      <c r="D889" s="51" t="s">
        <v>1361</v>
      </c>
      <c r="E889" s="62" t="s">
        <v>45</v>
      </c>
      <c r="F889" s="63" t="str">
        <f t="shared" si="263"/>
        <v>PBS (Polybutylene succinate) - biodegradable</v>
      </c>
      <c r="G889" s="64">
        <v>0.7213322752074766</v>
      </c>
      <c r="H889" s="10">
        <f t="shared" si="264"/>
        <v>0.7213322752</v>
      </c>
      <c r="I889" s="65">
        <v>0.05060127625</v>
      </c>
      <c r="J889" s="65">
        <v>0.10118636833099999</v>
      </c>
      <c r="K889" s="65">
        <v>0.016277910626476547</v>
      </c>
      <c r="L889" s="65">
        <v>0.55326672</v>
      </c>
      <c r="N889" s="66">
        <v>3.6884448</v>
      </c>
      <c r="O889" s="10">
        <f t="shared" si="265"/>
        <v>3.6884448</v>
      </c>
      <c r="Q889" s="67">
        <v>130.12878</v>
      </c>
      <c r="S889" s="68">
        <v>0.088197681</v>
      </c>
      <c r="T889" s="68">
        <v>0.078323486</v>
      </c>
      <c r="U889" s="68">
        <v>0.003363079</v>
      </c>
      <c r="V889" s="68">
        <v>0.006511116</v>
      </c>
      <c r="X889" s="69">
        <v>2.6651769E-4</v>
      </c>
      <c r="Y889" s="88"/>
      <c r="Z889" s="73" t="s">
        <v>1376</v>
      </c>
    </row>
    <row r="890" ht="12.75" customHeight="1">
      <c r="A890" s="1" t="s">
        <v>1378</v>
      </c>
      <c r="B890" s="2" t="s">
        <v>1363</v>
      </c>
      <c r="C890" s="60" t="str">
        <f t="shared" si="262"/>
        <v>A.130.01.109</v>
      </c>
      <c r="D890" s="51" t="s">
        <v>1361</v>
      </c>
      <c r="E890" s="62" t="s">
        <v>45</v>
      </c>
      <c r="F890" s="63" t="str">
        <f t="shared" si="263"/>
        <v>PBAT (polybutylene adipate-co-terephthalate) -  biodegradable</v>
      </c>
      <c r="G890" s="64">
        <v>0.7444420686506277</v>
      </c>
      <c r="H890" s="10">
        <f t="shared" si="264"/>
        <v>0.7444420687</v>
      </c>
      <c r="I890" s="65">
        <v>0.027929289770000004</v>
      </c>
      <c r="J890" s="65">
        <v>0.08815888702799998</v>
      </c>
      <c r="K890" s="65">
        <v>0.025693611852627654</v>
      </c>
      <c r="L890" s="65">
        <v>0.60266028</v>
      </c>
      <c r="N890" s="66">
        <v>4.017735200000001</v>
      </c>
      <c r="O890" s="10">
        <f t="shared" si="265"/>
        <v>4.0177352</v>
      </c>
      <c r="Q890" s="67">
        <v>109.76156</v>
      </c>
      <c r="S890" s="68">
        <v>0.090350204</v>
      </c>
      <c r="T890" s="68">
        <v>0.081651643</v>
      </c>
      <c r="U890" s="68">
        <v>0.0033599418</v>
      </c>
      <c r="V890" s="68">
        <v>0.0053386187</v>
      </c>
      <c r="X890" s="69">
        <v>2.3529164E-4</v>
      </c>
      <c r="Y890" s="88"/>
      <c r="Z890" s="73" t="s">
        <v>1379</v>
      </c>
    </row>
    <row r="891" ht="12.75" customHeight="1">
      <c r="A891" s="1" t="s">
        <v>1380</v>
      </c>
      <c r="B891" s="2" t="s">
        <v>1363</v>
      </c>
      <c r="C891" s="60" t="str">
        <f t="shared" si="262"/>
        <v>A.130.01.110</v>
      </c>
      <c r="D891" s="51" t="s">
        <v>1361</v>
      </c>
      <c r="E891" s="62" t="s">
        <v>45</v>
      </c>
      <c r="F891" s="63" t="str">
        <f t="shared" si="263"/>
        <v>bio-PE (Polyethylene) from agricultural waste - not biodegradable</v>
      </c>
      <c r="G891" s="64">
        <v>1.0478845085562996</v>
      </c>
      <c r="H891" s="10">
        <f t="shared" si="264"/>
        <v>1.047884509</v>
      </c>
      <c r="I891" s="65">
        <v>0.0082504605</v>
      </c>
      <c r="J891" s="65">
        <v>0.7923396467389999</v>
      </c>
      <c r="K891" s="65">
        <v>0.001797281317299598</v>
      </c>
      <c r="L891" s="65">
        <v>0.24549712</v>
      </c>
      <c r="N891" s="66">
        <v>1.6366474666666668</v>
      </c>
      <c r="O891" s="10">
        <f t="shared" si="265"/>
        <v>1.636647467</v>
      </c>
      <c r="Q891" s="67">
        <v>75.88373</v>
      </c>
      <c r="S891" s="68">
        <v>0.032273109</v>
      </c>
      <c r="T891" s="68">
        <v>0.032145989</v>
      </c>
      <c r="U891" s="68">
        <v>0.001337655</v>
      </c>
      <c r="V891" s="68">
        <v>-0.0012105355</v>
      </c>
      <c r="X891" s="69">
        <v>4.1933632E-5</v>
      </c>
      <c r="Y891" s="88"/>
      <c r="Z891" s="73" t="s">
        <v>1364</v>
      </c>
    </row>
    <row r="892" ht="12.75" customHeight="1">
      <c r="A892" s="1" t="s">
        <v>1381</v>
      </c>
      <c r="B892" s="2" t="s">
        <v>1363</v>
      </c>
      <c r="C892" s="60" t="str">
        <f t="shared" si="262"/>
        <v>A.130.01.111</v>
      </c>
      <c r="D892" s="51" t="s">
        <v>1361</v>
      </c>
      <c r="E892" s="62" t="s">
        <v>45</v>
      </c>
      <c r="F892" s="63" t="str">
        <f t="shared" si="263"/>
        <v>bio-PP (Polypropylene) from agricultural waste - not biodegradable</v>
      </c>
      <c r="G892" s="64">
        <v>1.1112174189662996</v>
      </c>
      <c r="H892" s="10">
        <f t="shared" si="264"/>
        <v>1.111217419</v>
      </c>
      <c r="I892" s="65">
        <v>0.007473674129999999</v>
      </c>
      <c r="J892" s="65">
        <v>0.881949353519</v>
      </c>
      <c r="K892" s="65">
        <v>0.001797281317299598</v>
      </c>
      <c r="L892" s="65">
        <v>0.21999711</v>
      </c>
      <c r="N892" s="66">
        <v>1.4666474</v>
      </c>
      <c r="O892" s="10">
        <f t="shared" si="265"/>
        <v>1.4666474</v>
      </c>
      <c r="Q892" s="67">
        <v>73.475729</v>
      </c>
      <c r="S892" s="68">
        <v>0.02810032</v>
      </c>
      <c r="T892" s="68">
        <v>0.028239128</v>
      </c>
      <c r="U892" s="68">
        <v>0.0012066742</v>
      </c>
      <c r="V892" s="68">
        <v>-0.0013454815</v>
      </c>
      <c r="X892" s="69">
        <v>4.9671425E-5</v>
      </c>
      <c r="Y892" s="77"/>
      <c r="Z892" s="73" t="s">
        <v>1382</v>
      </c>
    </row>
    <row r="893" ht="12.75" customHeight="1">
      <c r="A893" s="1" t="s">
        <v>1383</v>
      </c>
      <c r="B893" s="2" t="s">
        <v>1363</v>
      </c>
      <c r="C893" s="60" t="str">
        <f t="shared" si="262"/>
        <v>A.130.01.112</v>
      </c>
      <c r="D893" s="51" t="s">
        <v>1361</v>
      </c>
      <c r="E893" s="62" t="s">
        <v>45</v>
      </c>
      <c r="F893" s="63" t="str">
        <f t="shared" si="263"/>
        <v>PEF (Polyethylene furan-2,5-dicarboxylate) from sugarcane - not biodegradable</v>
      </c>
      <c r="G893" s="64">
        <v>0.7245971929755</v>
      </c>
      <c r="H893" s="10">
        <f t="shared" si="264"/>
        <v>0.724597193</v>
      </c>
      <c r="I893" s="65">
        <v>0.006283535031</v>
      </c>
      <c r="J893" s="65">
        <v>0.5776249773345</v>
      </c>
      <c r="K893" s="65">
        <v>0.00136952061</v>
      </c>
      <c r="L893" s="65">
        <v>0.13931916</v>
      </c>
      <c r="N893" s="66">
        <v>0.9287944</v>
      </c>
      <c r="O893" s="10">
        <f t="shared" si="265"/>
        <v>0.9287944</v>
      </c>
      <c r="Q893" s="67">
        <v>47.761785</v>
      </c>
      <c r="S893" s="68">
        <v>0.017240553</v>
      </c>
      <c r="T893" s="68">
        <v>0.015542456</v>
      </c>
      <c r="U893" s="68">
        <v>7.3068594E-4</v>
      </c>
      <c r="V893" s="68">
        <v>9.6741167E-4</v>
      </c>
      <c r="X893" s="69">
        <v>4.5402401E-5</v>
      </c>
      <c r="Y893" s="77"/>
      <c r="Z893" s="73" t="s">
        <v>1384</v>
      </c>
    </row>
    <row r="894" ht="12.75" customHeight="1">
      <c r="B894" s="2"/>
      <c r="C894" s="60"/>
      <c r="D894" s="75" t="s">
        <v>1385</v>
      </c>
      <c r="E894" s="62"/>
      <c r="G894" s="10"/>
      <c r="H894" s="10"/>
      <c r="I894" s="10"/>
      <c r="J894" s="10"/>
      <c r="K894" s="10"/>
      <c r="L894" s="10"/>
      <c r="N894" s="10"/>
      <c r="O894" s="10"/>
      <c r="Q894" s="67"/>
      <c r="Y894" s="74"/>
      <c r="Z894" s="72"/>
    </row>
    <row r="895" ht="12.75" customHeight="1">
      <c r="A895" s="1" t="s">
        <v>1386</v>
      </c>
      <c r="B895" s="2" t="s">
        <v>1363</v>
      </c>
      <c r="C895" s="60" t="str">
        <f t="shared" ref="C895:C930" si="266">MID(A895,1,12)</f>
        <v>A.130.03.091</v>
      </c>
      <c r="D895" s="51" t="s">
        <v>1385</v>
      </c>
      <c r="E895" s="62" t="s">
        <v>45</v>
      </c>
      <c r="F895" s="63" t="str">
        <f t="shared" ref="F895:F930" si="267">MID(A895, 21,85)</f>
        <v> rABS - mechanical recycled in China - ex transport</v>
      </c>
      <c r="G895" s="64">
        <v>0.082353321451</v>
      </c>
      <c r="H895" s="10">
        <f t="shared" ref="H895:H930" si="268">G895</f>
        <v>0.08235332145</v>
      </c>
      <c r="I895" s="65">
        <v>0.010905137131</v>
      </c>
      <c r="J895" s="65">
        <v>0.002461032289</v>
      </c>
      <c r="K895" s="65">
        <v>7.06323031E-4</v>
      </c>
      <c r="L895" s="65">
        <v>0.068280829</v>
      </c>
      <c r="N895" s="66">
        <v>0.4552055266666667</v>
      </c>
      <c r="O895" s="10">
        <f t="shared" ref="O895:O930" si="269">N895</f>
        <v>0.4552055267</v>
      </c>
      <c r="Q895" s="67">
        <v>5.8586241</v>
      </c>
      <c r="S895" s="68">
        <v>0.008000855</v>
      </c>
      <c r="T895" s="68">
        <v>0.0074135767</v>
      </c>
      <c r="U895" s="68">
        <v>3.5848702E-4</v>
      </c>
      <c r="V895" s="68">
        <v>2.2879129E-4</v>
      </c>
      <c r="X895" s="69">
        <v>2.62218E-5</v>
      </c>
      <c r="Y895" s="88"/>
      <c r="Z895" s="72"/>
    </row>
    <row r="896" ht="12.75" customHeight="1">
      <c r="A896" s="1" t="s">
        <v>1387</v>
      </c>
      <c r="B896" s="2" t="s">
        <v>1363</v>
      </c>
      <c r="C896" s="60" t="str">
        <f t="shared" si="266"/>
        <v>A.130.03.092</v>
      </c>
      <c r="D896" s="51" t="s">
        <v>1385</v>
      </c>
      <c r="E896" s="62" t="s">
        <v>45</v>
      </c>
      <c r="F896" s="63" t="str">
        <f t="shared" si="267"/>
        <v> rPE - mechanical recycled in China - ex transport</v>
      </c>
      <c r="G896" s="64">
        <v>0.07502446626848</v>
      </c>
      <c r="H896" s="10">
        <f t="shared" si="268"/>
        <v>0.07502446627</v>
      </c>
      <c r="I896" s="65">
        <v>0.008583558554000002</v>
      </c>
      <c r="J896" s="65">
        <v>0.0024855329224800003</v>
      </c>
      <c r="K896" s="65">
        <v>7.447457920000001E-4</v>
      </c>
      <c r="L896" s="65">
        <v>0.063210629</v>
      </c>
      <c r="N896" s="66">
        <v>0.4214041933333334</v>
      </c>
      <c r="O896" s="10">
        <f t="shared" si="269"/>
        <v>0.4214041933</v>
      </c>
      <c r="Q896" s="67">
        <v>5.5167683</v>
      </c>
      <c r="S896" s="68">
        <v>0.0074516598</v>
      </c>
      <c r="T896" s="68">
        <v>0.0068840246</v>
      </c>
      <c r="U896" s="68">
        <v>3.3003359E-4</v>
      </c>
      <c r="V896" s="68">
        <v>2.3760158E-4</v>
      </c>
      <c r="X896" s="69">
        <v>2.4015613E-5</v>
      </c>
      <c r="Y896" s="88"/>
      <c r="Z896" s="72"/>
    </row>
    <row r="897" ht="12.75" customHeight="1">
      <c r="A897" s="1" t="s">
        <v>1388</v>
      </c>
      <c r="B897" s="2" t="s">
        <v>1363</v>
      </c>
      <c r="C897" s="60" t="str">
        <f t="shared" si="266"/>
        <v>A.130.03.093</v>
      </c>
      <c r="D897" s="51" t="s">
        <v>1385</v>
      </c>
      <c r="E897" s="62" t="s">
        <v>45</v>
      </c>
      <c r="F897" s="63" t="str">
        <f t="shared" si="267"/>
        <v> rPET - mechanical recycled in China - ex transport</v>
      </c>
      <c r="G897" s="64">
        <v>0.07496500204648</v>
      </c>
      <c r="H897" s="10">
        <f t="shared" si="268"/>
        <v>0.07496500205</v>
      </c>
      <c r="I897" s="65">
        <v>0.009642235211000001</v>
      </c>
      <c r="J897" s="65">
        <v>0.0024655443654799996</v>
      </c>
      <c r="K897" s="65">
        <v>7.2324547E-4</v>
      </c>
      <c r="L897" s="65">
        <v>0.062133977</v>
      </c>
      <c r="N897" s="66">
        <v>0.4142265133333333</v>
      </c>
      <c r="O897" s="10">
        <f t="shared" si="269"/>
        <v>0.4142265133</v>
      </c>
      <c r="Q897" s="67">
        <v>5.4331952</v>
      </c>
      <c r="S897" s="68">
        <v>0.0073318111</v>
      </c>
      <c r="T897" s="68">
        <v>0.006769548</v>
      </c>
      <c r="U897" s="68">
        <v>3.2583089E-4</v>
      </c>
      <c r="V897" s="68">
        <v>2.3643216E-4</v>
      </c>
      <c r="X897" s="69">
        <v>2.4115226E-5</v>
      </c>
      <c r="Y897" s="88"/>
      <c r="Z897" s="72"/>
    </row>
    <row r="898" ht="12.75" customHeight="1">
      <c r="A898" s="1" t="s">
        <v>1389</v>
      </c>
      <c r="B898" s="2" t="s">
        <v>1363</v>
      </c>
      <c r="C898" s="60" t="str">
        <f t="shared" si="266"/>
        <v>A.130.03.094</v>
      </c>
      <c r="D898" s="51" t="s">
        <v>1385</v>
      </c>
      <c r="E898" s="62" t="s">
        <v>45</v>
      </c>
      <c r="F898" s="63" t="str">
        <f t="shared" si="267"/>
        <v> rPP - mechanical recycled in China - ex transport</v>
      </c>
      <c r="G898" s="64">
        <v>0.07663104234796</v>
      </c>
      <c r="H898" s="10">
        <f t="shared" si="268"/>
        <v>0.07663104235</v>
      </c>
      <c r="I898" s="65">
        <v>0.008460347302</v>
      </c>
      <c r="J898" s="65">
        <v>0.0023309562879600004</v>
      </c>
      <c r="K898" s="65">
        <v>7.604067579999999E-4</v>
      </c>
      <c r="L898" s="65">
        <v>0.065079332</v>
      </c>
      <c r="N898" s="66">
        <v>0.43386221333333336</v>
      </c>
      <c r="O898" s="10">
        <f t="shared" si="269"/>
        <v>0.4338622133</v>
      </c>
      <c r="Q898" s="67">
        <v>5.5739178</v>
      </c>
      <c r="S898" s="68">
        <v>0.0076181577</v>
      </c>
      <c r="T898" s="68">
        <v>0.0070631244</v>
      </c>
      <c r="U898" s="68">
        <v>3.3974156E-4</v>
      </c>
      <c r="V898" s="68">
        <v>2.1529181E-4</v>
      </c>
      <c r="X898" s="69">
        <v>2.4087394E-5</v>
      </c>
      <c r="Y898" s="88"/>
      <c r="Z898" s="72"/>
    </row>
    <row r="899" ht="12.75" customHeight="1">
      <c r="A899" s="1" t="s">
        <v>1390</v>
      </c>
      <c r="B899" s="2" t="s">
        <v>1363</v>
      </c>
      <c r="C899" s="60" t="str">
        <f t="shared" si="266"/>
        <v>A.130.03.095</v>
      </c>
      <c r="D899" s="51" t="s">
        <v>1385</v>
      </c>
      <c r="E899" s="62" t="s">
        <v>45</v>
      </c>
      <c r="F899" s="63" t="str">
        <f t="shared" si="267"/>
        <v> rPS - mechanical recycled in China - ex transport</v>
      </c>
      <c r="G899" s="64">
        <v>0.06871530923796</v>
      </c>
      <c r="H899" s="10">
        <f t="shared" si="268"/>
        <v>0.06871530924</v>
      </c>
      <c r="I899" s="65">
        <v>0.009483017135</v>
      </c>
      <c r="J899" s="65">
        <v>0.00201938998796</v>
      </c>
      <c r="K899" s="65">
        <v>6.206311149999999E-4</v>
      </c>
      <c r="L899" s="65">
        <v>0.056592271</v>
      </c>
      <c r="N899" s="66">
        <v>0.37728180666666666</v>
      </c>
      <c r="O899" s="10">
        <f t="shared" si="269"/>
        <v>0.3772818067</v>
      </c>
      <c r="Q899" s="67">
        <v>4.845319</v>
      </c>
      <c r="S899" s="68">
        <v>0.0066276594</v>
      </c>
      <c r="T899" s="68">
        <v>0.0061424541</v>
      </c>
      <c r="U899" s="68">
        <v>2.9846025E-4</v>
      </c>
      <c r="V899" s="68">
        <v>1.8674508E-4</v>
      </c>
      <c r="X899" s="69">
        <v>2.1538644E-5</v>
      </c>
      <c r="Y899" s="88"/>
      <c r="Z899" s="72"/>
    </row>
    <row r="900" ht="12.75" customHeight="1">
      <c r="A900" s="1" t="s">
        <v>1391</v>
      </c>
      <c r="B900" s="2" t="s">
        <v>1363</v>
      </c>
      <c r="C900" s="60" t="str">
        <f t="shared" si="266"/>
        <v>A.130.03.096</v>
      </c>
      <c r="D900" s="51" t="s">
        <v>1385</v>
      </c>
      <c r="E900" s="62" t="s">
        <v>45</v>
      </c>
      <c r="F900" s="63" t="str">
        <f t="shared" si="267"/>
        <v> rPVC - mechanical recycled in China - ex transport</v>
      </c>
      <c r="G900" s="64">
        <v>0.08609269453059</v>
      </c>
      <c r="H900" s="10">
        <f t="shared" si="268"/>
        <v>0.08609269453</v>
      </c>
      <c r="I900" s="65">
        <v>0.011286855004</v>
      </c>
      <c r="J900" s="65">
        <v>0.0028674745565900003</v>
      </c>
      <c r="K900" s="65">
        <v>8.798869699999999E-4</v>
      </c>
      <c r="L900" s="65">
        <v>0.071058478</v>
      </c>
      <c r="N900" s="66">
        <v>0.47372318666666663</v>
      </c>
      <c r="O900" s="10">
        <f t="shared" si="269"/>
        <v>0.4737231867</v>
      </c>
      <c r="Q900" s="67">
        <v>6.234531</v>
      </c>
      <c r="S900" s="68">
        <v>0.0083961009</v>
      </c>
      <c r="T900" s="68">
        <v>0.0077468202</v>
      </c>
      <c r="U900" s="68">
        <v>3.7308864E-4</v>
      </c>
      <c r="V900" s="68">
        <v>2.7619203E-4</v>
      </c>
      <c r="X900" s="69">
        <v>2.7694745E-5</v>
      </c>
      <c r="Y900" s="88"/>
      <c r="Z900" s="72"/>
    </row>
    <row r="901" ht="12.75" customHeight="1">
      <c r="A901" s="1" t="s">
        <v>1392</v>
      </c>
      <c r="B901" s="2" t="s">
        <v>1363</v>
      </c>
      <c r="C901" s="60" t="str">
        <f t="shared" si="266"/>
        <v>A.130.03.101</v>
      </c>
      <c r="D901" s="51" t="s">
        <v>1385</v>
      </c>
      <c r="E901" s="62" t="s">
        <v>45</v>
      </c>
      <c r="F901" s="63" t="str">
        <f t="shared" si="267"/>
        <v>average rPET/rPE/rPP - mechanical recycled in EU - ex transport</v>
      </c>
      <c r="G901" s="64">
        <v>0.05640312169092</v>
      </c>
      <c r="H901" s="10">
        <f t="shared" si="268"/>
        <v>0.05640312169</v>
      </c>
      <c r="I901" s="65">
        <v>0.009125545698</v>
      </c>
      <c r="J901" s="65">
        <v>0.0031951650229200003</v>
      </c>
      <c r="K901" s="65">
        <v>0.00682314397</v>
      </c>
      <c r="L901" s="65">
        <v>0.037259267</v>
      </c>
      <c r="N901" s="66">
        <v>0.24839511333333333</v>
      </c>
      <c r="O901" s="10">
        <f t="shared" si="269"/>
        <v>0.2483951133</v>
      </c>
      <c r="Q901" s="67">
        <v>5.0827655</v>
      </c>
      <c r="S901" s="68">
        <v>0.0047791656</v>
      </c>
      <c r="T901" s="68">
        <v>0.0043526561</v>
      </c>
      <c r="U901" s="68">
        <v>2.0261275E-4</v>
      </c>
      <c r="V901" s="68">
        <v>2.2389668E-4</v>
      </c>
      <c r="X901" s="69">
        <v>1.8369803E-5</v>
      </c>
      <c r="Y901" s="88"/>
      <c r="Z901" s="72"/>
    </row>
    <row r="902" ht="12.75" customHeight="1">
      <c r="A902" s="1" t="s">
        <v>1393</v>
      </c>
      <c r="B902" s="2" t="s">
        <v>1363</v>
      </c>
      <c r="C902" s="60" t="str">
        <f t="shared" si="266"/>
        <v>A.130.03.102</v>
      </c>
      <c r="D902" s="51" t="s">
        <v>1385</v>
      </c>
      <c r="E902" s="62" t="s">
        <v>45</v>
      </c>
      <c r="F902" s="63" t="str">
        <f t="shared" si="267"/>
        <v> rPVC - mechanical recycled in EU - ex transport</v>
      </c>
      <c r="G902" s="64">
        <v>0.06709653669059</v>
      </c>
      <c r="H902" s="10">
        <f t="shared" si="268"/>
        <v>0.06709653669</v>
      </c>
      <c r="I902" s="65">
        <v>0.011615853704</v>
      </c>
      <c r="J902" s="65">
        <v>0.00368409075659</v>
      </c>
      <c r="K902" s="65">
        <v>0.00711069523</v>
      </c>
      <c r="L902" s="65">
        <v>0.044685897</v>
      </c>
      <c r="N902" s="66">
        <v>0.29790598</v>
      </c>
      <c r="O902" s="10">
        <f t="shared" si="269"/>
        <v>0.29790598</v>
      </c>
      <c r="Q902" s="67">
        <v>5.8529574</v>
      </c>
      <c r="S902" s="68">
        <v>0.0057018219</v>
      </c>
      <c r="T902" s="68">
        <v>0.005186069</v>
      </c>
      <c r="U902" s="68">
        <v>2.4325252E-4</v>
      </c>
      <c r="V902" s="68">
        <v>2.7250042E-4</v>
      </c>
      <c r="X902" s="69">
        <v>2.2063427E-5</v>
      </c>
      <c r="Y902" s="88"/>
      <c r="Z902" s="72"/>
    </row>
    <row r="903" ht="12.75" customHeight="1">
      <c r="A903" s="1" t="s">
        <v>1394</v>
      </c>
      <c r="B903" s="2" t="s">
        <v>1363</v>
      </c>
      <c r="C903" s="60" t="str">
        <f t="shared" si="266"/>
        <v>A.130.03.103</v>
      </c>
      <c r="D903" s="51" t="s">
        <v>1385</v>
      </c>
      <c r="E903" s="62" t="s">
        <v>45</v>
      </c>
      <c r="F903" s="63" t="str">
        <f t="shared" si="267"/>
        <v>ABS (Acrylonitrile butadiene styrene) chemical upcycled</v>
      </c>
      <c r="G903" s="64">
        <v>0.537492757060146</v>
      </c>
      <c r="H903" s="10">
        <f t="shared" si="268"/>
        <v>0.5374927571</v>
      </c>
      <c r="I903" s="65">
        <v>0.04544534463</v>
      </c>
      <c r="J903" s="65">
        <v>0.12196304371100002</v>
      </c>
      <c r="K903" s="65">
        <v>-0.0014059812808540203</v>
      </c>
      <c r="L903" s="65">
        <v>0.37149035</v>
      </c>
      <c r="N903" s="66">
        <v>2.4766023333333336</v>
      </c>
      <c r="O903" s="10">
        <f t="shared" si="269"/>
        <v>2.476602333</v>
      </c>
      <c r="Q903" s="67">
        <v>46.016868</v>
      </c>
      <c r="S903" s="68">
        <v>0.053517754</v>
      </c>
      <c r="T903" s="68">
        <v>0.048134661</v>
      </c>
      <c r="U903" s="68">
        <v>0.002080081</v>
      </c>
      <c r="V903" s="68">
        <v>0.0033030113</v>
      </c>
      <c r="X903" s="69">
        <v>1.6537524E-4</v>
      </c>
      <c r="Y903" s="88"/>
      <c r="Z903" s="72"/>
    </row>
    <row r="904" ht="12.75" customHeight="1">
      <c r="A904" s="1" t="s">
        <v>1395</v>
      </c>
      <c r="B904" s="2" t="s">
        <v>1363</v>
      </c>
      <c r="C904" s="60" t="str">
        <f t="shared" si="266"/>
        <v>A.130.03.104</v>
      </c>
      <c r="D904" s="51" t="s">
        <v>1385</v>
      </c>
      <c r="E904" s="62" t="s">
        <v>45</v>
      </c>
      <c r="F904" s="63" t="str">
        <f t="shared" si="267"/>
        <v>CA (Cellelose Acetate tetra) chemical upcycled</v>
      </c>
      <c r="G904" s="64">
        <v>0.8887996875799999</v>
      </c>
      <c r="H904" s="10">
        <f t="shared" si="268"/>
        <v>0.8887996876</v>
      </c>
      <c r="I904" s="65">
        <v>0.04926190819</v>
      </c>
      <c r="J904" s="65">
        <v>0.07393915748</v>
      </c>
      <c r="K904" s="65">
        <v>0.07220588190999999</v>
      </c>
      <c r="L904" s="65">
        <v>0.69339274</v>
      </c>
      <c r="N904" s="66">
        <v>4.622618266666667</v>
      </c>
      <c r="O904" s="10">
        <f t="shared" si="269"/>
        <v>4.622618267</v>
      </c>
      <c r="Q904" s="67">
        <v>118.80604</v>
      </c>
      <c r="S904" s="68">
        <v>0.093349093</v>
      </c>
      <c r="T904" s="68">
        <v>0.081962106</v>
      </c>
      <c r="U904" s="68">
        <v>0.0037574837</v>
      </c>
      <c r="V904" s="68">
        <v>0.0076295034</v>
      </c>
      <c r="X904" s="69">
        <v>2.9337395E-4</v>
      </c>
      <c r="Y904" s="88"/>
      <c r="Z904" s="72"/>
    </row>
    <row r="905" ht="12.75" customHeight="1">
      <c r="A905" s="1" t="s">
        <v>1396</v>
      </c>
      <c r="B905" s="2" t="s">
        <v>1363</v>
      </c>
      <c r="C905" s="60" t="str">
        <f t="shared" si="266"/>
        <v>A.130.03.105</v>
      </c>
      <c r="D905" s="51" t="s">
        <v>1385</v>
      </c>
      <c r="E905" s="62" t="s">
        <v>45</v>
      </c>
      <c r="F905" s="63" t="str">
        <f t="shared" si="267"/>
        <v>EVA (Ethylene vinyl acetate) chemical upcycled</v>
      </c>
      <c r="G905" s="64">
        <v>0.453952903138</v>
      </c>
      <c r="H905" s="10">
        <f t="shared" si="268"/>
        <v>0.4539529031</v>
      </c>
      <c r="I905" s="65">
        <v>0.027371457114</v>
      </c>
      <c r="J905" s="65">
        <v>0.079297472824</v>
      </c>
      <c r="K905" s="65">
        <v>0.0096642732</v>
      </c>
      <c r="L905" s="65">
        <v>0.3376197</v>
      </c>
      <c r="N905" s="66">
        <v>2.250798</v>
      </c>
      <c r="O905" s="10">
        <f t="shared" si="269"/>
        <v>2.250798</v>
      </c>
      <c r="Q905" s="67">
        <v>35.926771</v>
      </c>
      <c r="S905" s="68">
        <v>0.059276026</v>
      </c>
      <c r="T905" s="68">
        <v>0.054865518</v>
      </c>
      <c r="U905" s="68">
        <v>0.0022517807</v>
      </c>
      <c r="V905" s="68">
        <v>0.0021587268</v>
      </c>
      <c r="X905" s="69">
        <v>1.3502848E-4</v>
      </c>
      <c r="Y905" s="88"/>
      <c r="Z905" s="72"/>
    </row>
    <row r="906" ht="12.75" customHeight="1">
      <c r="A906" s="1" t="s">
        <v>1397</v>
      </c>
      <c r="B906" s="2" t="s">
        <v>1363</v>
      </c>
      <c r="C906" s="60" t="str">
        <f t="shared" si="266"/>
        <v>A.130.03.106</v>
      </c>
      <c r="D906" s="51" t="s">
        <v>1385</v>
      </c>
      <c r="E906" s="62" t="s">
        <v>45</v>
      </c>
      <c r="F906" s="63" t="str">
        <f t="shared" si="267"/>
        <v>Flexible Polymeer Foam (PE) chemical upcycled</v>
      </c>
      <c r="G906" s="64">
        <v>0.351821612966146</v>
      </c>
      <c r="H906" s="10">
        <f t="shared" si="268"/>
        <v>0.351821613</v>
      </c>
      <c r="I906" s="65">
        <v>0.03732288389999999</v>
      </c>
      <c r="J906" s="65">
        <v>0.07601290795400001</v>
      </c>
      <c r="K906" s="65">
        <v>-0.00124954888785402</v>
      </c>
      <c r="L906" s="65">
        <v>0.23973537</v>
      </c>
      <c r="N906" s="66">
        <v>1.5982358</v>
      </c>
      <c r="O906" s="10">
        <f t="shared" si="269"/>
        <v>1.5982358</v>
      </c>
      <c r="Q906" s="67">
        <v>36.170052</v>
      </c>
      <c r="S906" s="68">
        <v>0.039044156</v>
      </c>
      <c r="T906" s="68">
        <v>0.035245739</v>
      </c>
      <c r="U906" s="68">
        <v>0.0013184549</v>
      </c>
      <c r="V906" s="68">
        <v>0.0024799621</v>
      </c>
      <c r="X906" s="69">
        <v>1.3250113E-4</v>
      </c>
      <c r="Y906" s="88"/>
      <c r="Z906" s="48"/>
    </row>
    <row r="907" ht="12.75" customHeight="1">
      <c r="A907" s="1" t="s">
        <v>1398</v>
      </c>
      <c r="B907" s="2" t="s">
        <v>1363</v>
      </c>
      <c r="C907" s="60" t="str">
        <f t="shared" si="266"/>
        <v>A.130.03.107</v>
      </c>
      <c r="D907" s="51" t="s">
        <v>1385</v>
      </c>
      <c r="E907" s="62" t="s">
        <v>45</v>
      </c>
      <c r="F907" s="63" t="str">
        <f t="shared" si="267"/>
        <v>Ionomer chemical upcycled</v>
      </c>
      <c r="G907" s="64">
        <v>2.573535838271146</v>
      </c>
      <c r="H907" s="10">
        <f t="shared" si="268"/>
        <v>2.573535838</v>
      </c>
      <c r="I907" s="65">
        <v>0.18139071199999998</v>
      </c>
      <c r="J907" s="65">
        <v>0.6922730284179999</v>
      </c>
      <c r="K907" s="65">
        <v>0.0033520978531459775</v>
      </c>
      <c r="L907" s="65">
        <v>1.69652</v>
      </c>
      <c r="N907" s="66">
        <v>11.310133333333335</v>
      </c>
      <c r="O907" s="10">
        <f t="shared" si="269"/>
        <v>11.31013333</v>
      </c>
      <c r="Q907" s="67">
        <v>132.26821</v>
      </c>
      <c r="S907" s="68">
        <v>0.36666588</v>
      </c>
      <c r="T907" s="68">
        <v>0.34549793</v>
      </c>
      <c r="U907" s="68">
        <v>0.011766894</v>
      </c>
      <c r="V907" s="68">
        <v>0.0094010513</v>
      </c>
      <c r="X907" s="69">
        <v>6.9271736E-4</v>
      </c>
      <c r="Y907" s="88"/>
      <c r="Z907" s="48"/>
    </row>
    <row r="908" ht="12.75" customHeight="1">
      <c r="A908" s="1" t="s">
        <v>1399</v>
      </c>
      <c r="B908" s="2" t="s">
        <v>1363</v>
      </c>
      <c r="C908" s="60" t="str">
        <f t="shared" si="266"/>
        <v>A.130.03.108</v>
      </c>
      <c r="D908" s="51" t="s">
        <v>1385</v>
      </c>
      <c r="E908" s="62" t="s">
        <v>45</v>
      </c>
      <c r="F908" s="63" t="str">
        <f t="shared" si="267"/>
        <v>PA-11 (Nylon-11) chemical upcycled - not biodegradable</v>
      </c>
      <c r="G908" s="64">
        <v>0.7995301667000001</v>
      </c>
      <c r="H908" s="10">
        <f t="shared" si="268"/>
        <v>0.7995301667</v>
      </c>
      <c r="I908" s="65">
        <v>0.0805332307</v>
      </c>
      <c r="J908" s="65">
        <v>0.17374693600000002</v>
      </c>
      <c r="K908" s="65">
        <v>0.0</v>
      </c>
      <c r="L908" s="65">
        <v>0.54525</v>
      </c>
      <c r="N908" s="66">
        <v>3.6350000000000002</v>
      </c>
      <c r="O908" s="10">
        <f t="shared" si="269"/>
        <v>3.635</v>
      </c>
      <c r="Q908" s="67">
        <v>66.0698</v>
      </c>
      <c r="S908" s="68">
        <v>0.11512964</v>
      </c>
      <c r="T908" s="68">
        <v>0.11109173</v>
      </c>
      <c r="U908" s="68">
        <v>0.0035137193</v>
      </c>
      <c r="V908" s="68">
        <v>5.2419024E-4</v>
      </c>
      <c r="X908" s="69">
        <v>2.1414722E-4</v>
      </c>
      <c r="Y908" s="88"/>
      <c r="Z908" s="48"/>
    </row>
    <row r="909" ht="12.75" customHeight="1">
      <c r="A909" s="1" t="s">
        <v>1400</v>
      </c>
      <c r="B909" s="2" t="s">
        <v>1363</v>
      </c>
      <c r="C909" s="60" t="str">
        <f t="shared" si="266"/>
        <v>A.130.03.109</v>
      </c>
      <c r="D909" s="51" t="s">
        <v>1385</v>
      </c>
      <c r="E909" s="62" t="s">
        <v>45</v>
      </c>
      <c r="F909" s="63" t="str">
        <f t="shared" si="267"/>
        <v>PA (Nylons) chemical upcycled</v>
      </c>
      <c r="G909" s="64">
        <v>0.8118369724653459</v>
      </c>
      <c r="H909" s="10">
        <f t="shared" si="268"/>
        <v>0.8118369725</v>
      </c>
      <c r="I909" s="65">
        <v>0.03155496303</v>
      </c>
      <c r="J909" s="65">
        <v>0.088288951323</v>
      </c>
      <c r="K909" s="65">
        <v>5.214381123459796E-4</v>
      </c>
      <c r="L909" s="65">
        <v>0.69147162</v>
      </c>
      <c r="N909" s="66">
        <v>4.6098108</v>
      </c>
      <c r="O909" s="10">
        <f t="shared" si="269"/>
        <v>4.6098108</v>
      </c>
      <c r="Q909" s="67">
        <v>62.497481</v>
      </c>
      <c r="S909" s="68">
        <v>0.082524469</v>
      </c>
      <c r="T909" s="68">
        <v>0.074810763</v>
      </c>
      <c r="U909" s="68">
        <v>0.0035669971</v>
      </c>
      <c r="V909" s="68">
        <v>0.0041467084</v>
      </c>
      <c r="X909" s="69">
        <v>2.2511677E-4</v>
      </c>
      <c r="Y909" s="88"/>
      <c r="Z909" s="48"/>
    </row>
    <row r="910" ht="12.75" customHeight="1">
      <c r="A910" s="1" t="s">
        <v>1401</v>
      </c>
      <c r="B910" s="2" t="s">
        <v>1363</v>
      </c>
      <c r="C910" s="60" t="str">
        <f t="shared" si="266"/>
        <v>A.130.03.110</v>
      </c>
      <c r="D910" s="51" t="s">
        <v>1385</v>
      </c>
      <c r="E910" s="62" t="s">
        <v>45</v>
      </c>
      <c r="F910" s="63" t="str">
        <f t="shared" si="267"/>
        <v>PC (Polycarbonate) chemical upclycled</v>
      </c>
      <c r="G910" s="64">
        <v>0.658669320435146</v>
      </c>
      <c r="H910" s="10">
        <f t="shared" si="268"/>
        <v>0.6586693204</v>
      </c>
      <c r="I910" s="65">
        <v>0.1333088109</v>
      </c>
      <c r="J910" s="65">
        <v>0.021465523722999997</v>
      </c>
      <c r="K910" s="65">
        <v>-7.141341878540215E-4</v>
      </c>
      <c r="L910" s="65">
        <v>0.50460912</v>
      </c>
      <c r="N910" s="66">
        <v>3.3640608000000003</v>
      </c>
      <c r="O910" s="10">
        <f t="shared" si="269"/>
        <v>3.3640608</v>
      </c>
      <c r="Q910" s="67">
        <v>62.732563</v>
      </c>
      <c r="S910" s="68">
        <v>0.078159309</v>
      </c>
      <c r="T910" s="68">
        <v>0.071395434</v>
      </c>
      <c r="U910" s="68">
        <v>0.0027145627</v>
      </c>
      <c r="V910" s="68">
        <v>0.0040493129</v>
      </c>
      <c r="X910" s="69">
        <v>3.2422442E-4</v>
      </c>
      <c r="Y910" s="88"/>
      <c r="Z910" s="48"/>
    </row>
    <row r="911" ht="12.75" customHeight="1">
      <c r="A911" s="1" t="s">
        <v>1402</v>
      </c>
      <c r="B911" s="2" t="s">
        <v>1363</v>
      </c>
      <c r="C911" s="60" t="str">
        <f t="shared" si="266"/>
        <v>A.130.03.111</v>
      </c>
      <c r="D911" s="51" t="s">
        <v>1385</v>
      </c>
      <c r="E911" s="62" t="s">
        <v>45</v>
      </c>
      <c r="F911" s="63" t="str">
        <f t="shared" si="267"/>
        <v>bio-PE (Polyethylene) chemical upcycled - non biodegradable</v>
      </c>
      <c r="G911" s="64">
        <v>0.25809634665514597</v>
      </c>
      <c r="H911" s="10">
        <f t="shared" si="268"/>
        <v>0.2580963467</v>
      </c>
      <c r="I911" s="65">
        <v>0.0080331149</v>
      </c>
      <c r="J911" s="65">
        <v>0.022077410743</v>
      </c>
      <c r="K911" s="65">
        <v>-0.0012495489878540213</v>
      </c>
      <c r="L911" s="65">
        <v>0.22923537</v>
      </c>
      <c r="N911" s="66">
        <v>1.5282358</v>
      </c>
      <c r="O911" s="10">
        <f t="shared" si="269"/>
        <v>1.5282358</v>
      </c>
      <c r="Q911" s="67">
        <v>33.152052</v>
      </c>
      <c r="S911" s="68">
        <v>0.033563391</v>
      </c>
      <c r="T911" s="68">
        <v>0.030001812</v>
      </c>
      <c r="U911" s="68">
        <v>0.0012465507</v>
      </c>
      <c r="V911" s="68">
        <v>0.0023150281</v>
      </c>
      <c r="X911" s="69">
        <v>9.7691295E-5</v>
      </c>
      <c r="Y911" s="88"/>
      <c r="Z911" s="48"/>
    </row>
    <row r="912" ht="12.75" customHeight="1">
      <c r="A912" s="1" t="s">
        <v>1403</v>
      </c>
      <c r="B912" s="2" t="s">
        <v>1363</v>
      </c>
      <c r="C912" s="60" t="str">
        <f t="shared" si="266"/>
        <v>A.130.03.112</v>
      </c>
      <c r="D912" s="51" t="s">
        <v>1385</v>
      </c>
      <c r="E912" s="62" t="s">
        <v>45</v>
      </c>
      <c r="F912" s="63" t="str">
        <f t="shared" si="267"/>
        <v>PE (HDPE  High density Polyethylene) chemical upcycled</v>
      </c>
      <c r="G912" s="64">
        <v>0.25809634665514597</v>
      </c>
      <c r="H912" s="10">
        <f t="shared" si="268"/>
        <v>0.2580963467</v>
      </c>
      <c r="I912" s="65">
        <v>0.0080331149</v>
      </c>
      <c r="J912" s="65">
        <v>0.022077410743</v>
      </c>
      <c r="K912" s="65">
        <v>-0.0012495489878540213</v>
      </c>
      <c r="L912" s="65">
        <v>0.22923537</v>
      </c>
      <c r="N912" s="66">
        <v>1.5282358</v>
      </c>
      <c r="O912" s="10">
        <f t="shared" si="269"/>
        <v>1.5282358</v>
      </c>
      <c r="Q912" s="67">
        <v>33.152052</v>
      </c>
      <c r="S912" s="68">
        <v>0.033563391</v>
      </c>
      <c r="T912" s="68">
        <v>0.030001812</v>
      </c>
      <c r="U912" s="68">
        <v>0.0012465507</v>
      </c>
      <c r="V912" s="68">
        <v>0.0023150281</v>
      </c>
      <c r="X912" s="69">
        <v>9.7691295E-5</v>
      </c>
      <c r="Y912" s="88"/>
      <c r="Z912" s="48"/>
    </row>
    <row r="913" ht="12.75" customHeight="1">
      <c r="A913" s="1" t="s">
        <v>1404</v>
      </c>
      <c r="B913" s="2" t="s">
        <v>1363</v>
      </c>
      <c r="C913" s="60" t="str">
        <f t="shared" si="266"/>
        <v>A.130.03.113</v>
      </c>
      <c r="D913" s="51" t="s">
        <v>1385</v>
      </c>
      <c r="E913" s="62" t="s">
        <v>45</v>
      </c>
      <c r="F913" s="63" t="str">
        <f t="shared" si="267"/>
        <v>PET (Polyethylene terephthalate) chemical upcycled</v>
      </c>
      <c r="G913" s="64">
        <v>0.2720825960259406</v>
      </c>
      <c r="H913" s="10">
        <f t="shared" si="268"/>
        <v>0.272082596</v>
      </c>
      <c r="I913" s="65">
        <v>0.016625612854</v>
      </c>
      <c r="J913" s="65">
        <v>0.05966083749</v>
      </c>
      <c r="K913" s="65">
        <v>0.006710005681940565</v>
      </c>
      <c r="L913" s="65">
        <v>0.18908614</v>
      </c>
      <c r="N913" s="66">
        <v>1.2605742666666668</v>
      </c>
      <c r="O913" s="10">
        <f t="shared" si="269"/>
        <v>1.260574267</v>
      </c>
      <c r="Q913" s="67">
        <v>17.037678</v>
      </c>
      <c r="S913" s="68">
        <v>0.036207465</v>
      </c>
      <c r="T913" s="68">
        <v>0.033802076</v>
      </c>
      <c r="U913" s="68">
        <v>0.0012306359</v>
      </c>
      <c r="V913" s="68">
        <v>0.0011747534</v>
      </c>
      <c r="X913" s="69">
        <v>7.3635693E-5</v>
      </c>
      <c r="Y913" s="88"/>
      <c r="Z913" s="72"/>
    </row>
    <row r="914" ht="12.75" customHeight="1">
      <c r="A914" s="1" t="s">
        <v>1405</v>
      </c>
      <c r="B914" s="2" t="s">
        <v>1363</v>
      </c>
      <c r="C914" s="60" t="str">
        <f t="shared" si="266"/>
        <v>A.130.03.114</v>
      </c>
      <c r="D914" s="51" t="s">
        <v>1385</v>
      </c>
      <c r="E914" s="62" t="s">
        <v>45</v>
      </c>
      <c r="F914" s="63" t="str">
        <f t="shared" si="267"/>
        <v>PHA and PHB (Polyhydroxyalkanoates) chemical upcycled - biodegradeble</v>
      </c>
      <c r="G914" s="64">
        <v>0.46129844995360003</v>
      </c>
      <c r="H914" s="10">
        <f t="shared" si="268"/>
        <v>0.46129845</v>
      </c>
      <c r="I914" s="65">
        <v>0.016405093011</v>
      </c>
      <c r="J914" s="65">
        <v>0.0286358744426</v>
      </c>
      <c r="K914" s="65">
        <v>0.0420255825</v>
      </c>
      <c r="L914" s="65">
        <v>0.3742319</v>
      </c>
      <c r="N914" s="66">
        <v>2.4948793333333334</v>
      </c>
      <c r="O914" s="10">
        <f t="shared" si="269"/>
        <v>2.494879333</v>
      </c>
      <c r="Q914" s="67">
        <v>69.831071</v>
      </c>
      <c r="S914" s="68">
        <v>0.046919803</v>
      </c>
      <c r="T914" s="68">
        <v>0.043202108</v>
      </c>
      <c r="U914" s="68">
        <v>0.001988893</v>
      </c>
      <c r="V914" s="68">
        <v>0.0017288019</v>
      </c>
      <c r="X914" s="69">
        <v>1.2418727E-4</v>
      </c>
      <c r="Y914" s="88"/>
      <c r="Z914" s="72"/>
    </row>
    <row r="915" ht="12.75" customHeight="1">
      <c r="A915" s="1" t="s">
        <v>1406</v>
      </c>
      <c r="B915" s="2" t="s">
        <v>1363</v>
      </c>
      <c r="C915" s="60" t="str">
        <f t="shared" si="266"/>
        <v>A.130.03.115</v>
      </c>
      <c r="D915" s="51" t="s">
        <v>1385</v>
      </c>
      <c r="E915" s="62" t="s">
        <v>45</v>
      </c>
      <c r="F915" s="63" t="str">
        <f t="shared" si="267"/>
        <v>PLA (Polylactide - starch based) chemical upcycled - biodegradeble</v>
      </c>
      <c r="G915" s="64">
        <v>0.594335020599</v>
      </c>
      <c r="H915" s="10">
        <f t="shared" si="268"/>
        <v>0.5943350206</v>
      </c>
      <c r="I915" s="65">
        <v>0.023701053229999998</v>
      </c>
      <c r="J915" s="65">
        <v>0.033966141819</v>
      </c>
      <c r="K915" s="65">
        <v>0.00516573555</v>
      </c>
      <c r="L915" s="65">
        <v>0.53150209</v>
      </c>
      <c r="N915" s="66">
        <v>3.543347266666667</v>
      </c>
      <c r="O915" s="10">
        <f t="shared" si="269"/>
        <v>3.543347267</v>
      </c>
      <c r="Q915" s="67">
        <v>73.408489</v>
      </c>
      <c r="S915" s="68">
        <v>0.065679604</v>
      </c>
      <c r="T915" s="68">
        <v>0.059244213</v>
      </c>
      <c r="U915" s="68">
        <v>0.0027863817</v>
      </c>
      <c r="V915" s="68">
        <v>0.0036490089</v>
      </c>
      <c r="X915" s="69">
        <v>1.7236998E-4</v>
      </c>
      <c r="Y915" s="88"/>
      <c r="Z915" s="72"/>
    </row>
    <row r="916" ht="12.75" customHeight="1">
      <c r="A916" s="1" t="s">
        <v>1407</v>
      </c>
      <c r="B916" s="2" t="s">
        <v>1363</v>
      </c>
      <c r="C916" s="60" t="str">
        <f t="shared" si="266"/>
        <v>A.130.03.116</v>
      </c>
      <c r="D916" s="51" t="s">
        <v>1385</v>
      </c>
      <c r="E916" s="62" t="s">
        <v>45</v>
      </c>
      <c r="F916" s="63" t="str">
        <f t="shared" si="267"/>
        <v>PMMA (Polymethyl methacrylate) chemical upcycled</v>
      </c>
      <c r="G916" s="64">
        <v>0.6144821742461459</v>
      </c>
      <c r="H916" s="10">
        <f t="shared" si="268"/>
        <v>0.6144821742</v>
      </c>
      <c r="I916" s="65">
        <v>0.056329032109999996</v>
      </c>
      <c r="J916" s="65">
        <v>-0.08502882357600001</v>
      </c>
      <c r="K916" s="65">
        <v>0.0012215957121459796</v>
      </c>
      <c r="L916" s="65">
        <v>0.64196037</v>
      </c>
      <c r="N916" s="66">
        <v>4.2797358</v>
      </c>
      <c r="O916" s="10">
        <f t="shared" si="269"/>
        <v>4.2797358</v>
      </c>
      <c r="Q916" s="67">
        <v>64.614488</v>
      </c>
      <c r="S916" s="68">
        <v>0.09105128</v>
      </c>
      <c r="T916" s="68">
        <v>0.082837364</v>
      </c>
      <c r="U916" s="68">
        <v>0.0035942983</v>
      </c>
      <c r="V916" s="68">
        <v>0.0046196178</v>
      </c>
      <c r="X916" s="69">
        <v>2.1318971E-4</v>
      </c>
      <c r="Y916" s="88"/>
      <c r="Z916" s="72"/>
    </row>
    <row r="917" ht="12.75" customHeight="1">
      <c r="A917" s="1" t="s">
        <v>1408</v>
      </c>
      <c r="B917" s="2" t="s">
        <v>1363</v>
      </c>
      <c r="C917" s="60" t="str">
        <f t="shared" si="266"/>
        <v>A.130.03.117</v>
      </c>
      <c r="D917" s="51" t="s">
        <v>1385</v>
      </c>
      <c r="E917" s="62" t="s">
        <v>45</v>
      </c>
      <c r="F917" s="63" t="str">
        <f t="shared" si="267"/>
        <v>POM (Polyoxymethylene) chemical upcycled</v>
      </c>
      <c r="G917" s="64">
        <v>0.660108492767746</v>
      </c>
      <c r="H917" s="10">
        <f t="shared" si="268"/>
        <v>0.6601084928</v>
      </c>
      <c r="I917" s="65">
        <v>0.005823428292599999</v>
      </c>
      <c r="J917" s="65">
        <v>0.046044093023000006</v>
      </c>
      <c r="K917" s="65">
        <v>0.003140851452145979</v>
      </c>
      <c r="L917" s="65">
        <v>0.60510012</v>
      </c>
      <c r="N917" s="66">
        <v>4.0340008</v>
      </c>
      <c r="O917" s="10">
        <f t="shared" si="269"/>
        <v>4.0340008</v>
      </c>
      <c r="Q917" s="67">
        <v>70.019083</v>
      </c>
      <c r="S917" s="68">
        <v>0.08359523</v>
      </c>
      <c r="T917" s="68">
        <v>0.075369458</v>
      </c>
      <c r="U917" s="68">
        <v>0.0033066323</v>
      </c>
      <c r="V917" s="68">
        <v>0.0049191405</v>
      </c>
      <c r="X917" s="69">
        <v>2.1058933E-4</v>
      </c>
      <c r="Y917" s="88"/>
      <c r="Z917" s="72"/>
    </row>
    <row r="918" ht="12.75" customHeight="1">
      <c r="A918" s="1" t="s">
        <v>1409</v>
      </c>
      <c r="B918" s="2" t="s">
        <v>1363</v>
      </c>
      <c r="C918" s="60" t="str">
        <f t="shared" si="266"/>
        <v>A.130.03.118</v>
      </c>
      <c r="D918" s="51" t="s">
        <v>1385</v>
      </c>
      <c r="E918" s="62" t="s">
        <v>45</v>
      </c>
      <c r="F918" s="63" t="str">
        <f t="shared" si="267"/>
        <v>PP (Polypropylene) chemical upcycled</v>
      </c>
      <c r="G918" s="64">
        <v>0.321429259606146</v>
      </c>
      <c r="H918" s="10">
        <f t="shared" si="268"/>
        <v>0.3214292596</v>
      </c>
      <c r="I918" s="65">
        <v>0.007256328479999999</v>
      </c>
      <c r="J918" s="65">
        <v>0.111687110014</v>
      </c>
      <c r="K918" s="65">
        <v>-0.00124954888785402</v>
      </c>
      <c r="L918" s="65">
        <v>0.20373537</v>
      </c>
      <c r="N918" s="66">
        <v>1.3582358</v>
      </c>
      <c r="O918" s="10">
        <f t="shared" si="269"/>
        <v>1.3582358</v>
      </c>
      <c r="Q918" s="67">
        <v>30.720051</v>
      </c>
      <c r="S918" s="68">
        <v>0.029360329</v>
      </c>
      <c r="T918" s="68">
        <v>0.026094951</v>
      </c>
      <c r="U918" s="68">
        <v>0.0011155699</v>
      </c>
      <c r="V918" s="68">
        <v>0.0021498084</v>
      </c>
      <c r="X918" s="69">
        <v>1.0491712E-4</v>
      </c>
      <c r="Y918" s="88"/>
      <c r="Z918" s="72"/>
    </row>
    <row r="919" ht="12.75" customHeight="1">
      <c r="A919" s="1" t="s">
        <v>1410</v>
      </c>
      <c r="B919" s="2" t="s">
        <v>1363</v>
      </c>
      <c r="C919" s="60" t="str">
        <f t="shared" si="266"/>
        <v>A.130.03.119</v>
      </c>
      <c r="D919" s="51" t="s">
        <v>1385</v>
      </c>
      <c r="E919" s="62" t="s">
        <v>45</v>
      </c>
      <c r="F919" s="63" t="str">
        <f t="shared" si="267"/>
        <v>PS (Polystyrene) chemical upcycled</v>
      </c>
      <c r="G919" s="64">
        <v>0.297921834235146</v>
      </c>
      <c r="H919" s="10">
        <f t="shared" si="268"/>
        <v>0.2979218342</v>
      </c>
      <c r="I919" s="65">
        <v>0.026659802259999997</v>
      </c>
      <c r="J919" s="65">
        <v>-0.015446778677000002</v>
      </c>
      <c r="K919" s="65">
        <v>-0.0018838093478540214</v>
      </c>
      <c r="L919" s="65">
        <v>0.28859262</v>
      </c>
      <c r="N919" s="66">
        <v>1.9239508000000003</v>
      </c>
      <c r="O919" s="10">
        <f t="shared" si="269"/>
        <v>1.9239508</v>
      </c>
      <c r="Q919" s="67">
        <v>34.231063</v>
      </c>
      <c r="S919" s="68">
        <v>0.033971022</v>
      </c>
      <c r="T919" s="68">
        <v>0.030141524</v>
      </c>
      <c r="U919" s="68">
        <v>0.0014721299</v>
      </c>
      <c r="V919" s="68">
        <v>0.0023573676</v>
      </c>
      <c r="X919" s="69">
        <v>1.0377418E-4</v>
      </c>
      <c r="Y919" s="88"/>
      <c r="Z919" s="72"/>
    </row>
    <row r="920" ht="12.75" customHeight="1">
      <c r="A920" s="1" t="s">
        <v>1411</v>
      </c>
      <c r="B920" s="2" t="s">
        <v>1363</v>
      </c>
      <c r="C920" s="60" t="str">
        <f t="shared" si="266"/>
        <v>A.130.03.120</v>
      </c>
      <c r="D920" s="51" t="s">
        <v>1385</v>
      </c>
      <c r="E920" s="62" t="s">
        <v>45</v>
      </c>
      <c r="F920" s="63" t="str">
        <f t="shared" si="267"/>
        <v>PTFE (Teflon) chemical upcycled</v>
      </c>
      <c r="G920" s="64">
        <v>2.427225501401182</v>
      </c>
      <c r="H920" s="10">
        <f t="shared" si="268"/>
        <v>2.427225501</v>
      </c>
      <c r="I920" s="65">
        <v>0.15575332269999997</v>
      </c>
      <c r="J920" s="65">
        <v>0.33083147346799996</v>
      </c>
      <c r="K920" s="65">
        <v>0.0034148052331820786</v>
      </c>
      <c r="L920" s="65">
        <v>1.9372259</v>
      </c>
      <c r="N920" s="66">
        <v>12.914839333333335</v>
      </c>
      <c r="O920" s="10">
        <f t="shared" si="269"/>
        <v>12.91483933</v>
      </c>
      <c r="Q920" s="67">
        <v>167.55231</v>
      </c>
      <c r="S920" s="68">
        <v>0.32170151</v>
      </c>
      <c r="T920" s="68">
        <v>0.30021314</v>
      </c>
      <c r="U920" s="68">
        <v>0.011906289</v>
      </c>
      <c r="V920" s="68">
        <v>0.0095820723</v>
      </c>
      <c r="X920" s="69">
        <v>6.8283979E-4</v>
      </c>
      <c r="Y920" s="77"/>
      <c r="Z920" s="48"/>
    </row>
    <row r="921" ht="12.75" customHeight="1">
      <c r="A921" s="1" t="s">
        <v>1412</v>
      </c>
      <c r="B921" s="2" t="s">
        <v>1363</v>
      </c>
      <c r="C921" s="60" t="str">
        <f t="shared" si="266"/>
        <v>A.130.03.121</v>
      </c>
      <c r="D921" s="51" t="s">
        <v>1385</v>
      </c>
      <c r="E921" s="62" t="s">
        <v>45</v>
      </c>
      <c r="F921" s="63" t="str">
        <f t="shared" si="267"/>
        <v>PTT (Polyltrimethylene terephthalate) chemical upcycled</v>
      </c>
      <c r="G921" s="64">
        <v>0.6153020521391459</v>
      </c>
      <c r="H921" s="10">
        <f t="shared" si="268"/>
        <v>0.6153020521</v>
      </c>
      <c r="I921" s="65">
        <v>0.01867421919</v>
      </c>
      <c r="J921" s="65">
        <v>0.014146489885999997</v>
      </c>
      <c r="K921" s="65">
        <v>0.007408033063145978</v>
      </c>
      <c r="L921" s="65">
        <v>0.57507331</v>
      </c>
      <c r="N921" s="66">
        <v>3.8338220666666665</v>
      </c>
      <c r="O921" s="10">
        <f t="shared" si="269"/>
        <v>3.833822067</v>
      </c>
      <c r="Q921" s="67">
        <v>49.1561</v>
      </c>
      <c r="S921" s="68">
        <v>0.065714804</v>
      </c>
      <c r="T921" s="68">
        <v>0.059343012</v>
      </c>
      <c r="U921" s="68">
        <v>0.0029189145</v>
      </c>
      <c r="V921" s="68">
        <v>0.0034528775</v>
      </c>
      <c r="X921" s="69">
        <v>1.708201E-4</v>
      </c>
      <c r="Y921" s="77"/>
      <c r="Z921" s="48"/>
    </row>
    <row r="922" ht="12.75" customHeight="1">
      <c r="A922" s="1" t="s">
        <v>1413</v>
      </c>
      <c r="B922" s="2" t="s">
        <v>1363</v>
      </c>
      <c r="C922" s="60" t="str">
        <f t="shared" si="266"/>
        <v>A.130.03.122</v>
      </c>
      <c r="D922" s="51" t="s">
        <v>1385</v>
      </c>
      <c r="E922" s="62" t="s">
        <v>45</v>
      </c>
      <c r="F922" s="63" t="str">
        <f t="shared" si="267"/>
        <v>PUR (Polyurethane) chemical upcycled</v>
      </c>
      <c r="G922" s="64">
        <v>0.617474420337146</v>
      </c>
      <c r="H922" s="10">
        <f t="shared" si="268"/>
        <v>0.6174744203</v>
      </c>
      <c r="I922" s="65">
        <v>0.03966343238</v>
      </c>
      <c r="J922" s="65">
        <v>0.03581343432399999</v>
      </c>
      <c r="K922" s="65">
        <v>0.015968833633145982</v>
      </c>
      <c r="L922" s="65">
        <v>0.52602872</v>
      </c>
      <c r="N922" s="66">
        <v>3.5068581333333335</v>
      </c>
      <c r="O922" s="10">
        <f t="shared" si="269"/>
        <v>3.506858133</v>
      </c>
      <c r="Q922" s="67">
        <v>60.685002</v>
      </c>
      <c r="S922" s="68">
        <v>0.066758433</v>
      </c>
      <c r="T922" s="68">
        <v>0.060680535</v>
      </c>
      <c r="U922" s="68">
        <v>0.0027818458</v>
      </c>
      <c r="V922" s="68">
        <v>0.0032960519</v>
      </c>
      <c r="X922" s="69">
        <v>2.1209979E-4</v>
      </c>
      <c r="Y922" s="77"/>
      <c r="Z922" s="72"/>
    </row>
    <row r="923" ht="12.75" customHeight="1">
      <c r="A923" s="1" t="s">
        <v>1414</v>
      </c>
      <c r="B923" s="2" t="s">
        <v>1363</v>
      </c>
      <c r="C923" s="60" t="str">
        <f t="shared" si="266"/>
        <v>A.130.03.123</v>
      </c>
      <c r="D923" s="51" t="s">
        <v>1385</v>
      </c>
      <c r="E923" s="62" t="s">
        <v>45</v>
      </c>
      <c r="F923" s="63" t="str">
        <f t="shared" si="267"/>
        <v>PVC (Polyvinylchloride) chemical upcycled</v>
      </c>
      <c r="G923" s="64">
        <v>0.6217151944961459</v>
      </c>
      <c r="H923" s="10">
        <f t="shared" si="268"/>
        <v>0.6217151945</v>
      </c>
      <c r="I923" s="65">
        <v>0.061136580999999995</v>
      </c>
      <c r="J923" s="65">
        <v>0.20217188622399998</v>
      </c>
      <c r="K923" s="65">
        <v>0.00329735727214598</v>
      </c>
      <c r="L923" s="65">
        <v>0.35510937</v>
      </c>
      <c r="N923" s="66">
        <v>2.3673958</v>
      </c>
      <c r="O923" s="10">
        <f t="shared" si="269"/>
        <v>2.3673958</v>
      </c>
      <c r="Q923" s="67">
        <v>45.266894</v>
      </c>
      <c r="S923" s="68">
        <v>0.06378293</v>
      </c>
      <c r="T923" s="68">
        <v>0.058597638</v>
      </c>
      <c r="U923" s="68">
        <v>0.0022409655</v>
      </c>
      <c r="V923" s="68">
        <v>0.0029443267</v>
      </c>
      <c r="X923" s="69">
        <v>1.7585035E-4</v>
      </c>
      <c r="Y923" s="77"/>
      <c r="Z923" s="72"/>
    </row>
    <row r="924" ht="12.75" customHeight="1">
      <c r="A924" s="1" t="s">
        <v>1415</v>
      </c>
      <c r="B924" s="2" t="s">
        <v>1363</v>
      </c>
      <c r="C924" s="60" t="str">
        <f t="shared" si="266"/>
        <v>A.130.03.124</v>
      </c>
      <c r="D924" s="51" t="s">
        <v>1385</v>
      </c>
      <c r="E924" s="62" t="s">
        <v>45</v>
      </c>
      <c r="F924" s="63" t="str">
        <f t="shared" si="267"/>
        <v>Starch-PBS 50%-50% blend chemical upcycled - biodegradeble</v>
      </c>
      <c r="G924" s="64">
        <v>0.4227904416778382</v>
      </c>
      <c r="H924" s="10">
        <f t="shared" si="268"/>
        <v>0.4227904417</v>
      </c>
      <c r="I924" s="65">
        <v>0.02753805829</v>
      </c>
      <c r="J924" s="65">
        <v>0.058122203277</v>
      </c>
      <c r="K924" s="65">
        <v>0.014571350110838198</v>
      </c>
      <c r="L924" s="65">
        <v>0.32255883</v>
      </c>
      <c r="N924" s="66">
        <v>2.1503922</v>
      </c>
      <c r="O924" s="10">
        <f t="shared" si="269"/>
        <v>2.1503922</v>
      </c>
      <c r="Q924" s="67">
        <v>78.643974</v>
      </c>
      <c r="S924" s="68">
        <v>0.050041818</v>
      </c>
      <c r="T924" s="68">
        <v>0.044573703</v>
      </c>
      <c r="U924" s="68">
        <v>0.0019441768</v>
      </c>
      <c r="V924" s="68">
        <v>0.0035239374</v>
      </c>
      <c r="X924" s="69">
        <v>1.4905268E-4</v>
      </c>
      <c r="Y924" s="77"/>
      <c r="Z924" s="48"/>
    </row>
    <row r="925" ht="12.75" customHeight="1">
      <c r="A925" s="1" t="s">
        <v>1416</v>
      </c>
      <c r="B925" s="2" t="s">
        <v>1363</v>
      </c>
      <c r="C925" s="60" t="str">
        <f t="shared" si="266"/>
        <v>A.130.03.125</v>
      </c>
      <c r="D925" s="51" t="s">
        <v>1385</v>
      </c>
      <c r="E925" s="62" t="s">
        <v>45</v>
      </c>
      <c r="F925" s="63" t="str">
        <f t="shared" si="267"/>
        <v>PBS  chemical upcycled - biodegradeble</v>
      </c>
      <c r="G925" s="64">
        <v>0.7213322752074766</v>
      </c>
      <c r="H925" s="10">
        <f t="shared" si="268"/>
        <v>0.7213322752</v>
      </c>
      <c r="I925" s="65">
        <v>0.05060127625</v>
      </c>
      <c r="J925" s="65">
        <v>0.10118636833099999</v>
      </c>
      <c r="K925" s="65">
        <v>0.016277910626476547</v>
      </c>
      <c r="L925" s="65">
        <v>0.55326672</v>
      </c>
      <c r="N925" s="66">
        <v>3.6884448</v>
      </c>
      <c r="O925" s="10">
        <f t="shared" si="269"/>
        <v>3.6884448</v>
      </c>
      <c r="Q925" s="67">
        <v>130.12878</v>
      </c>
      <c r="S925" s="68">
        <v>0.088197681</v>
      </c>
      <c r="T925" s="68">
        <v>0.078323486</v>
      </c>
      <c r="U925" s="68">
        <v>0.003363079</v>
      </c>
      <c r="V925" s="68">
        <v>0.006511116</v>
      </c>
      <c r="X925" s="69">
        <v>2.6651769E-4</v>
      </c>
      <c r="Y925" s="77"/>
      <c r="Z925" s="48"/>
    </row>
    <row r="926" ht="12.75" customHeight="1">
      <c r="A926" s="1" t="s">
        <v>1417</v>
      </c>
      <c r="B926" s="2" t="s">
        <v>1363</v>
      </c>
      <c r="C926" s="60" t="str">
        <f t="shared" si="266"/>
        <v>A.130.03.126</v>
      </c>
      <c r="D926" s="51" t="s">
        <v>1385</v>
      </c>
      <c r="E926" s="62" t="s">
        <v>45</v>
      </c>
      <c r="F926" s="63" t="str">
        <f t="shared" si="267"/>
        <v>PBAT (polybutylene adipate-co-terephthalate) chemical upcycled - biodegradeble</v>
      </c>
      <c r="G926" s="64">
        <v>0.7444420686506277</v>
      </c>
      <c r="H926" s="10">
        <f t="shared" si="268"/>
        <v>0.7444420687</v>
      </c>
      <c r="I926" s="65">
        <v>0.027929289770000004</v>
      </c>
      <c r="J926" s="65">
        <v>0.08815888702799998</v>
      </c>
      <c r="K926" s="65">
        <v>0.025693611852627654</v>
      </c>
      <c r="L926" s="65">
        <v>0.60266028</v>
      </c>
      <c r="N926" s="66">
        <v>4.017735200000001</v>
      </c>
      <c r="O926" s="10">
        <f t="shared" si="269"/>
        <v>4.0177352</v>
      </c>
      <c r="Q926" s="67">
        <v>109.76156</v>
      </c>
      <c r="S926" s="68">
        <v>0.090350204</v>
      </c>
      <c r="T926" s="68">
        <v>0.081651643</v>
      </c>
      <c r="U926" s="68">
        <v>0.0033599418</v>
      </c>
      <c r="V926" s="68">
        <v>0.0053386187</v>
      </c>
      <c r="X926" s="69">
        <v>2.3529164E-4</v>
      </c>
      <c r="Y926" s="82"/>
    </row>
    <row r="927" ht="12.75" customHeight="1">
      <c r="A927" s="1" t="s">
        <v>1418</v>
      </c>
      <c r="B927" s="2" t="s">
        <v>1363</v>
      </c>
      <c r="C927" s="60" t="str">
        <f t="shared" si="266"/>
        <v>A.130.03.127</v>
      </c>
      <c r="D927" s="51" t="s">
        <v>1385</v>
      </c>
      <c r="E927" s="62" t="s">
        <v>45</v>
      </c>
      <c r="F927" s="63" t="str">
        <f t="shared" si="267"/>
        <v>PAN (Polyacrylonitrile fibres) chemical upcycled</v>
      </c>
      <c r="G927" s="64">
        <v>0.808793889486146</v>
      </c>
      <c r="H927" s="10">
        <f t="shared" si="268"/>
        <v>0.8087938895</v>
      </c>
      <c r="I927" s="65">
        <v>0.0012022038510000003</v>
      </c>
      <c r="J927" s="65">
        <v>0.080105864623</v>
      </c>
      <c r="K927" s="65">
        <v>-0.0012495489878540213</v>
      </c>
      <c r="L927" s="65">
        <v>0.72873537</v>
      </c>
      <c r="N927" s="66">
        <v>4.8582358</v>
      </c>
      <c r="O927" s="10">
        <f t="shared" si="269"/>
        <v>4.8582358</v>
      </c>
      <c r="Q927" s="67">
        <v>48.803052</v>
      </c>
      <c r="S927" s="68">
        <v>0.1069977</v>
      </c>
      <c r="T927" s="68">
        <v>0.099350392</v>
      </c>
      <c r="U927" s="68">
        <v>0.0041473977</v>
      </c>
      <c r="V927" s="68">
        <v>0.0034999111</v>
      </c>
      <c r="X927" s="69">
        <v>2.1525556E-4</v>
      </c>
      <c r="Y927" s="82"/>
    </row>
    <row r="928" ht="12.75" customHeight="1">
      <c r="A928" s="1" t="s">
        <v>1419</v>
      </c>
      <c r="B928" s="2" t="s">
        <v>1363</v>
      </c>
      <c r="C928" s="60" t="str">
        <f t="shared" si="266"/>
        <v>A.130.03.128</v>
      </c>
      <c r="D928" s="51" t="s">
        <v>1385</v>
      </c>
      <c r="E928" s="62" t="s">
        <v>45</v>
      </c>
      <c r="F928" s="63" t="str">
        <f t="shared" si="267"/>
        <v>bio-PP (Polypropylene) chemical upcycled - not biodegradable</v>
      </c>
      <c r="G928" s="64">
        <v>0.321429260915146</v>
      </c>
      <c r="H928" s="10">
        <f t="shared" si="268"/>
        <v>0.3214292609</v>
      </c>
      <c r="I928" s="65">
        <v>0.007256328479999999</v>
      </c>
      <c r="J928" s="65">
        <v>0.111687111423</v>
      </c>
      <c r="K928" s="65">
        <v>-0.0012495489878540213</v>
      </c>
      <c r="L928" s="65">
        <v>0.20373537</v>
      </c>
      <c r="N928" s="66">
        <v>1.3582358</v>
      </c>
      <c r="O928" s="10">
        <f t="shared" si="269"/>
        <v>1.3582358</v>
      </c>
      <c r="Q928" s="67">
        <v>30.720051</v>
      </c>
      <c r="S928" s="68">
        <v>0.029360329</v>
      </c>
      <c r="T928" s="68">
        <v>0.026094951</v>
      </c>
      <c r="U928" s="68">
        <v>0.0011155699</v>
      </c>
      <c r="V928" s="68">
        <v>0.0021498085</v>
      </c>
      <c r="X928" s="69">
        <v>1.0491712E-4</v>
      </c>
      <c r="Y928" s="82"/>
    </row>
    <row r="929" ht="12.75" customHeight="1">
      <c r="A929" s="1" t="s">
        <v>1420</v>
      </c>
      <c r="B929" s="2" t="s">
        <v>1363</v>
      </c>
      <c r="C929" s="60" t="str">
        <f t="shared" si="266"/>
        <v>A.130.03.129</v>
      </c>
      <c r="D929" s="51" t="s">
        <v>1385</v>
      </c>
      <c r="E929" s="62" t="s">
        <v>45</v>
      </c>
      <c r="F929" s="63" t="str">
        <f t="shared" si="267"/>
        <v>bio-PET (Polyethylene terephthalate) chemical upcycled - not biodegradable</v>
      </c>
      <c r="G929" s="64">
        <v>0.2720825960259406</v>
      </c>
      <c r="H929" s="10">
        <f t="shared" si="268"/>
        <v>0.272082596</v>
      </c>
      <c r="I929" s="65">
        <v>0.016625612854</v>
      </c>
      <c r="J929" s="65">
        <v>0.05966083749</v>
      </c>
      <c r="K929" s="65">
        <v>0.006710005681940565</v>
      </c>
      <c r="L929" s="65">
        <v>0.18908614</v>
      </c>
      <c r="N929" s="66">
        <v>1.2605742666666668</v>
      </c>
      <c r="O929" s="10">
        <f t="shared" si="269"/>
        <v>1.260574267</v>
      </c>
      <c r="Q929" s="67">
        <v>17.037678</v>
      </c>
      <c r="S929" s="68">
        <v>0.036207465</v>
      </c>
      <c r="T929" s="68">
        <v>0.033802076</v>
      </c>
      <c r="U929" s="68">
        <v>0.0012306359</v>
      </c>
      <c r="V929" s="68">
        <v>0.0011747534</v>
      </c>
      <c r="X929" s="69">
        <v>7.3635693E-5</v>
      </c>
      <c r="Y929" s="82"/>
    </row>
    <row r="930" ht="12.75" customHeight="1">
      <c r="A930" s="1" t="s">
        <v>1421</v>
      </c>
      <c r="B930" s="2" t="s">
        <v>1363</v>
      </c>
      <c r="C930" s="60" t="str">
        <f t="shared" si="266"/>
        <v>A.130.03.130</v>
      </c>
      <c r="D930" s="51" t="s">
        <v>1385</v>
      </c>
      <c r="E930" s="62" t="s">
        <v>45</v>
      </c>
      <c r="F930" s="63" t="str">
        <f t="shared" si="267"/>
        <v>PEF (Polyethylene furan-2.5-dicarboxylate) chemical upcycled - not biodegradeble</v>
      </c>
      <c r="G930" s="64">
        <v>0.7245971929755</v>
      </c>
      <c r="H930" s="10">
        <f t="shared" si="268"/>
        <v>0.724597193</v>
      </c>
      <c r="I930" s="65">
        <v>0.006283535031</v>
      </c>
      <c r="J930" s="65">
        <v>0.5776249773345</v>
      </c>
      <c r="K930" s="65">
        <v>0.00136952061</v>
      </c>
      <c r="L930" s="65">
        <v>0.13931916</v>
      </c>
      <c r="N930" s="66">
        <v>0.9287944</v>
      </c>
      <c r="O930" s="10">
        <f t="shared" si="269"/>
        <v>0.9287944</v>
      </c>
      <c r="Q930" s="67">
        <v>47.761785</v>
      </c>
      <c r="S930" s="68">
        <v>0.017240553</v>
      </c>
      <c r="T930" s="68">
        <v>0.015542456</v>
      </c>
      <c r="U930" s="68">
        <v>7.3068594E-4</v>
      </c>
      <c r="V930" s="68">
        <v>9.6741167E-4</v>
      </c>
      <c r="X930" s="69">
        <v>4.5402401E-5</v>
      </c>
      <c r="Y930" s="82"/>
    </row>
    <row r="931" ht="12.75" customHeight="1">
      <c r="B931" s="2"/>
      <c r="C931" s="60"/>
      <c r="D931" s="75" t="s">
        <v>1422</v>
      </c>
      <c r="E931" s="62"/>
      <c r="G931" s="10"/>
      <c r="H931" s="10"/>
      <c r="I931" s="10"/>
      <c r="J931" s="10"/>
      <c r="K931" s="10"/>
      <c r="L931" s="10"/>
      <c r="N931" s="10"/>
      <c r="O931" s="10"/>
      <c r="Q931" s="67"/>
    </row>
    <row r="932" ht="12.75" customHeight="1">
      <c r="A932" s="1" t="s">
        <v>1423</v>
      </c>
      <c r="B932" s="2" t="s">
        <v>1363</v>
      </c>
      <c r="C932" s="60" t="str">
        <f t="shared" ref="C932:C943" si="270">MID(A932,1,12)</f>
        <v>A.130.05.100</v>
      </c>
      <c r="D932" s="51" t="s">
        <v>1422</v>
      </c>
      <c r="E932" s="62" t="s">
        <v>45</v>
      </c>
      <c r="F932" s="63" t="str">
        <f t="shared" ref="F932:F943" si="271">MID(A932, 21,85)</f>
        <v>BR (butadiene rubber)</v>
      </c>
      <c r="G932" s="64">
        <v>1.77399444225512</v>
      </c>
      <c r="H932" s="10">
        <f t="shared" ref="H932:H943" si="272">G932</f>
        <v>1.773994442</v>
      </c>
      <c r="I932" s="65">
        <v>0.12397512958512</v>
      </c>
      <c r="J932" s="65">
        <v>1.03336455167</v>
      </c>
      <c r="K932" s="65">
        <v>0.022054761</v>
      </c>
      <c r="L932" s="65">
        <v>0.5946</v>
      </c>
      <c r="N932" s="66">
        <v>3.9640000000000004</v>
      </c>
      <c r="O932" s="10">
        <f t="shared" ref="O932:O943" si="273">N932</f>
        <v>3.964</v>
      </c>
      <c r="Q932" s="67">
        <v>106.81064</v>
      </c>
      <c r="S932" s="68">
        <v>0.11668319</v>
      </c>
      <c r="T932" s="68">
        <v>0.1053013</v>
      </c>
      <c r="U932" s="68">
        <v>0.0039535646</v>
      </c>
      <c r="V932" s="68">
        <v>0.0074283216</v>
      </c>
      <c r="X932" s="69">
        <v>3.1032885E-4</v>
      </c>
      <c r="Y932" s="88"/>
      <c r="Z932" s="73" t="s">
        <v>1424</v>
      </c>
    </row>
    <row r="933" ht="12.75" customHeight="1">
      <c r="A933" s="1" t="s">
        <v>1425</v>
      </c>
      <c r="B933" s="2" t="s">
        <v>1363</v>
      </c>
      <c r="C933" s="60" t="str">
        <f t="shared" si="270"/>
        <v>A.130.05.101</v>
      </c>
      <c r="D933" s="51" t="s">
        <v>1422</v>
      </c>
      <c r="E933" s="62" t="s">
        <v>45</v>
      </c>
      <c r="F933" s="63" t="str">
        <f t="shared" si="271"/>
        <v>Tires (SBR plus Carbon black plus steel)</v>
      </c>
      <c r="G933" s="64">
        <v>0.999479145212</v>
      </c>
      <c r="H933" s="10">
        <f t="shared" si="272"/>
        <v>0.9994791452</v>
      </c>
      <c r="I933" s="65">
        <v>0.07227281602999999</v>
      </c>
      <c r="J933" s="65">
        <v>0.470052786722</v>
      </c>
      <c r="K933" s="65">
        <v>0.015762772459999998</v>
      </c>
      <c r="L933" s="65">
        <v>0.44139077</v>
      </c>
      <c r="N933" s="66">
        <v>2.942605133333333</v>
      </c>
      <c r="O933" s="10">
        <f t="shared" si="273"/>
        <v>2.942605133</v>
      </c>
      <c r="Q933" s="67">
        <v>84.420918</v>
      </c>
      <c r="S933" s="68">
        <v>0.079202975</v>
      </c>
      <c r="T933" s="68">
        <v>0.070482193</v>
      </c>
      <c r="U933" s="68">
        <v>0.0027999047</v>
      </c>
      <c r="V933" s="68">
        <v>0.0059208777</v>
      </c>
      <c r="X933" s="69">
        <v>2.2625144E-4</v>
      </c>
      <c r="Y933" s="88"/>
      <c r="Z933" s="73" t="s">
        <v>1426</v>
      </c>
    </row>
    <row r="934" ht="12.75" customHeight="1">
      <c r="A934" s="1" t="s">
        <v>1427</v>
      </c>
      <c r="B934" s="2" t="s">
        <v>1363</v>
      </c>
      <c r="C934" s="60" t="str">
        <f t="shared" si="270"/>
        <v>A.130.05.102</v>
      </c>
      <c r="D934" s="51" t="s">
        <v>1422</v>
      </c>
      <c r="E934" s="62" t="s">
        <v>45</v>
      </c>
      <c r="F934" s="63" t="str">
        <f t="shared" si="271"/>
        <v>EPDM (ethylene propylene diene monomer rubber)</v>
      </c>
      <c r="G934" s="64">
        <v>1.583109636063</v>
      </c>
      <c r="H934" s="10">
        <f t="shared" si="272"/>
        <v>1.583109636</v>
      </c>
      <c r="I934" s="65">
        <v>0.0514616441</v>
      </c>
      <c r="J934" s="65">
        <v>1.006647991963</v>
      </c>
      <c r="K934" s="65">
        <v>0.0</v>
      </c>
      <c r="L934" s="65">
        <v>0.525</v>
      </c>
      <c r="N934" s="66">
        <v>3.5000000000000004</v>
      </c>
      <c r="O934" s="10">
        <f t="shared" si="273"/>
        <v>3.5</v>
      </c>
      <c r="Q934" s="67">
        <v>93.87</v>
      </c>
      <c r="S934" s="68">
        <v>0.078795903</v>
      </c>
      <c r="T934" s="68">
        <v>0.069839389</v>
      </c>
      <c r="U934" s="68">
        <v>0.0029619132</v>
      </c>
      <c r="V934" s="68">
        <v>0.0059946012</v>
      </c>
      <c r="X934" s="69">
        <v>2.6218233E-4</v>
      </c>
      <c r="Y934" s="88"/>
      <c r="Z934" s="73" t="s">
        <v>1428</v>
      </c>
    </row>
    <row r="935" ht="12.75" customHeight="1">
      <c r="A935" s="1" t="s">
        <v>1429</v>
      </c>
      <c r="B935" s="2" t="s">
        <v>1363</v>
      </c>
      <c r="C935" s="60" t="str">
        <f t="shared" si="270"/>
        <v>A.130.05.103</v>
      </c>
      <c r="D935" s="51" t="s">
        <v>1422</v>
      </c>
      <c r="E935" s="62" t="s">
        <v>45</v>
      </c>
      <c r="F935" s="63" t="str">
        <f t="shared" si="271"/>
        <v>EVA (ethylene vinyl acetate rubber)</v>
      </c>
      <c r="G935" s="64">
        <v>1.01632388127</v>
      </c>
      <c r="H935" s="10">
        <f t="shared" si="272"/>
        <v>1.016323881</v>
      </c>
      <c r="I935" s="65">
        <v>0.03435940074</v>
      </c>
      <c r="J935" s="65">
        <v>0.68114494853</v>
      </c>
      <c r="K935" s="65">
        <v>0.008747452</v>
      </c>
      <c r="L935" s="65">
        <v>0.29207208</v>
      </c>
      <c r="N935" s="66">
        <v>1.9471472</v>
      </c>
      <c r="O935" s="10">
        <f t="shared" si="273"/>
        <v>1.9471472</v>
      </c>
      <c r="Q935" s="67">
        <v>72.16438</v>
      </c>
      <c r="S935" s="68">
        <v>0.062981144</v>
      </c>
      <c r="T935" s="68">
        <v>0.056101573</v>
      </c>
      <c r="U935" s="68">
        <v>0.00214076</v>
      </c>
      <c r="V935" s="68">
        <v>0.0047388104</v>
      </c>
      <c r="X935" s="69">
        <v>1.7881184E-4</v>
      </c>
      <c r="Y935" s="88"/>
      <c r="Z935" s="73" t="s">
        <v>1430</v>
      </c>
    </row>
    <row r="936" ht="12.75" customHeight="1">
      <c r="A936" s="1" t="s">
        <v>1431</v>
      </c>
      <c r="B936" s="2" t="s">
        <v>1363</v>
      </c>
      <c r="C936" s="60" t="str">
        <f t="shared" si="270"/>
        <v>A.130.05.104</v>
      </c>
      <c r="D936" s="51" t="s">
        <v>1422</v>
      </c>
      <c r="E936" s="62" t="s">
        <v>45</v>
      </c>
      <c r="F936" s="63" t="str">
        <f t="shared" si="271"/>
        <v>IR (polyisoprene rubber)</v>
      </c>
      <c r="G936" s="64">
        <v>1.1994040880248</v>
      </c>
      <c r="H936" s="10">
        <f t="shared" si="272"/>
        <v>1.199404088</v>
      </c>
      <c r="I936" s="65">
        <v>0.01598443125</v>
      </c>
      <c r="J936" s="65">
        <v>0.8255273986148</v>
      </c>
      <c r="K936" s="65">
        <v>0.00348386816</v>
      </c>
      <c r="L936" s="65">
        <v>0.35440839</v>
      </c>
      <c r="N936" s="66">
        <v>2.3627226</v>
      </c>
      <c r="O936" s="10">
        <f t="shared" si="273"/>
        <v>2.3627226</v>
      </c>
      <c r="Q936" s="67">
        <v>35.008051</v>
      </c>
      <c r="S936" s="68">
        <v>0.043857547</v>
      </c>
      <c r="T936" s="68">
        <v>0.039537825</v>
      </c>
      <c r="U936" s="68">
        <v>0.0018587625</v>
      </c>
      <c r="V936" s="68">
        <v>0.0024609595</v>
      </c>
      <c r="X936" s="69">
        <v>1.1549734E-4</v>
      </c>
      <c r="Y936" s="88"/>
      <c r="Z936" s="73" t="s">
        <v>1432</v>
      </c>
    </row>
    <row r="937" ht="12.75" customHeight="1">
      <c r="A937" s="1" t="s">
        <v>1433</v>
      </c>
      <c r="B937" s="2" t="s">
        <v>1363</v>
      </c>
      <c r="C937" s="60" t="str">
        <f t="shared" si="270"/>
        <v>A.130.05.105</v>
      </c>
      <c r="D937" s="51" t="s">
        <v>1422</v>
      </c>
      <c r="E937" s="62" t="s">
        <v>45</v>
      </c>
      <c r="F937" s="63" t="str">
        <f t="shared" si="271"/>
        <v>Natural rubber (from Thailand in Rotterdam)</v>
      </c>
      <c r="G937" s="64">
        <v>1.9954096339445764</v>
      </c>
      <c r="H937" s="10">
        <f t="shared" si="272"/>
        <v>1.995409634</v>
      </c>
      <c r="I937" s="65">
        <v>0.011909359618</v>
      </c>
      <c r="J937" s="65">
        <v>1.7458467781599998</v>
      </c>
      <c r="K937" s="65">
        <v>0.039858436166576666</v>
      </c>
      <c r="L937" s="65">
        <v>0.19779506</v>
      </c>
      <c r="N937" s="66">
        <v>1.3186337333333333</v>
      </c>
      <c r="O937" s="10">
        <f t="shared" si="273"/>
        <v>1.318633733</v>
      </c>
      <c r="Q937" s="67">
        <v>50.853015</v>
      </c>
      <c r="S937" s="68">
        <v>0.02825783</v>
      </c>
      <c r="T937" s="68">
        <v>0.025951685</v>
      </c>
      <c r="U937" s="68">
        <v>0.0011153663</v>
      </c>
      <c r="V937" s="68">
        <v>0.0011907783</v>
      </c>
      <c r="X937" s="69">
        <v>6.8860668E-5</v>
      </c>
      <c r="Y937" s="88"/>
      <c r="Z937" s="73" t="s">
        <v>1434</v>
      </c>
    </row>
    <row r="938" ht="12.75" customHeight="1">
      <c r="A938" s="1" t="s">
        <v>1435</v>
      </c>
      <c r="B938" s="2" t="s">
        <v>1363</v>
      </c>
      <c r="C938" s="60" t="str">
        <f t="shared" si="270"/>
        <v>A.130.05.106</v>
      </c>
      <c r="D938" s="51" t="s">
        <v>1422</v>
      </c>
      <c r="E938" s="62" t="s">
        <v>45</v>
      </c>
      <c r="F938" s="63" t="str">
        <f t="shared" si="271"/>
        <v>NBR (nitrile rubber)</v>
      </c>
      <c r="G938" s="64">
        <v>1.5558449347638998</v>
      </c>
      <c r="H938" s="10">
        <f t="shared" si="272"/>
        <v>1.555844935</v>
      </c>
      <c r="I938" s="65">
        <v>0.09644597226390002</v>
      </c>
      <c r="J938" s="65">
        <v>0.9056611838999999</v>
      </c>
      <c r="K938" s="65">
        <v>0.018474068599999997</v>
      </c>
      <c r="L938" s="65">
        <v>0.53526371</v>
      </c>
      <c r="N938" s="66">
        <v>3.568424733333333</v>
      </c>
      <c r="O938" s="10">
        <f t="shared" si="273"/>
        <v>3.568424733</v>
      </c>
      <c r="Q938" s="67">
        <v>75.143962</v>
      </c>
      <c r="S938" s="68">
        <v>0.095099694</v>
      </c>
      <c r="T938" s="68">
        <v>0.086518823</v>
      </c>
      <c r="U938" s="68">
        <v>0.0033810427</v>
      </c>
      <c r="V938" s="68">
        <v>0.005199828</v>
      </c>
      <c r="X938" s="69">
        <v>2.4367168E-4</v>
      </c>
      <c r="Y938" s="88"/>
      <c r="Z938" s="73" t="s">
        <v>1436</v>
      </c>
    </row>
    <row r="939" ht="12.75" customHeight="1">
      <c r="A939" s="1" t="s">
        <v>1437</v>
      </c>
      <c r="B939" s="2" t="s">
        <v>1363</v>
      </c>
      <c r="C939" s="60" t="str">
        <f t="shared" si="270"/>
        <v>A.130.05.107</v>
      </c>
      <c r="D939" s="51" t="s">
        <v>1422</v>
      </c>
      <c r="E939" s="62" t="s">
        <v>45</v>
      </c>
      <c r="F939" s="63" t="str">
        <f t="shared" si="271"/>
        <v>Polychloroprene (Neoprene and CR) rubber</v>
      </c>
      <c r="G939" s="64">
        <v>1.376242527238</v>
      </c>
      <c r="H939" s="10">
        <f t="shared" si="272"/>
        <v>1.376242527</v>
      </c>
      <c r="I939" s="65">
        <v>0.03555157978</v>
      </c>
      <c r="J939" s="65">
        <v>0.544689214178</v>
      </c>
      <c r="K939" s="65">
        <v>0.00774860328</v>
      </c>
      <c r="L939" s="65">
        <v>0.78825313</v>
      </c>
      <c r="N939" s="66">
        <v>5.2550208666666665</v>
      </c>
      <c r="O939" s="10">
        <f t="shared" si="273"/>
        <v>5.255020867</v>
      </c>
      <c r="Q939" s="67">
        <v>106.85413</v>
      </c>
      <c r="S939" s="68">
        <v>0.099610701</v>
      </c>
      <c r="T939" s="68">
        <v>0.087937577</v>
      </c>
      <c r="U939" s="68">
        <v>0.0041341442</v>
      </c>
      <c r="V939" s="68">
        <v>0.0075389798</v>
      </c>
      <c r="X939" s="69">
        <v>2.9188208E-4</v>
      </c>
      <c r="Y939" s="88"/>
      <c r="Z939" s="73" t="s">
        <v>1438</v>
      </c>
    </row>
    <row r="940" ht="12.75" customHeight="1">
      <c r="A940" s="1" t="s">
        <v>1439</v>
      </c>
      <c r="B940" s="2" t="s">
        <v>1363</v>
      </c>
      <c r="C940" s="60" t="str">
        <f t="shared" si="270"/>
        <v>A.130.05.108</v>
      </c>
      <c r="D940" s="51" t="s">
        <v>1422</v>
      </c>
      <c r="E940" s="62" t="s">
        <v>45</v>
      </c>
      <c r="F940" s="63" t="str">
        <f t="shared" si="271"/>
        <v>PU (polyurethane) rubber shoe soles MDI 41.4% Polyols 58.5%</v>
      </c>
      <c r="G940" s="64">
        <v>1.5137291260197294</v>
      </c>
      <c r="H940" s="10">
        <f t="shared" si="272"/>
        <v>1.513729126</v>
      </c>
      <c r="I940" s="65">
        <v>0.0382342409</v>
      </c>
      <c r="J940" s="65">
        <v>0.7484392775197295</v>
      </c>
      <c r="K940" s="65">
        <v>0.0533324776</v>
      </c>
      <c r="L940" s="65">
        <v>0.67372313</v>
      </c>
      <c r="N940" s="66">
        <v>4.491487533333333</v>
      </c>
      <c r="O940" s="10">
        <f t="shared" si="273"/>
        <v>4.491487533</v>
      </c>
      <c r="Q940" s="67">
        <v>126.65124</v>
      </c>
      <c r="S940" s="68">
        <v>0.095797276</v>
      </c>
      <c r="T940" s="68">
        <v>0.085214537</v>
      </c>
      <c r="U940" s="68">
        <v>0.0037163132</v>
      </c>
      <c r="V940" s="68">
        <v>0.0068664254</v>
      </c>
      <c r="X940" s="69">
        <v>3.0608334E-4</v>
      </c>
      <c r="Y940" s="88"/>
      <c r="Z940" s="73" t="s">
        <v>1440</v>
      </c>
    </row>
    <row r="941" ht="12.75" customHeight="1">
      <c r="A941" s="1" t="s">
        <v>1441</v>
      </c>
      <c r="B941" s="2" t="s">
        <v>1363</v>
      </c>
      <c r="C941" s="60" t="str">
        <f t="shared" si="270"/>
        <v>A.130.05.109</v>
      </c>
      <c r="D941" s="51" t="s">
        <v>1422</v>
      </c>
      <c r="E941" s="62" t="s">
        <v>45</v>
      </c>
      <c r="F941" s="63" t="str">
        <f t="shared" si="271"/>
        <v>SAN (Styrene-acrylonitrile copolymer)</v>
      </c>
      <c r="G941" s="64">
        <v>1.379925938942</v>
      </c>
      <c r="H941" s="10">
        <f t="shared" si="272"/>
        <v>1.379925939</v>
      </c>
      <c r="I941" s="65">
        <v>0.05632145952</v>
      </c>
      <c r="J941" s="65">
        <v>0.915604479422</v>
      </c>
      <c r="K941" s="65">
        <v>0.0</v>
      </c>
      <c r="L941" s="65">
        <v>0.408</v>
      </c>
      <c r="N941" s="66">
        <v>2.7199999999999998</v>
      </c>
      <c r="O941" s="10">
        <f t="shared" si="273"/>
        <v>2.72</v>
      </c>
      <c r="Q941" s="67">
        <v>99.7185</v>
      </c>
      <c r="S941" s="68">
        <v>0.067003747</v>
      </c>
      <c r="T941" s="68">
        <v>0.057494986</v>
      </c>
      <c r="U941" s="68">
        <v>0.0023888599</v>
      </c>
      <c r="V941" s="68">
        <v>0.0071199009</v>
      </c>
      <c r="X941" s="69">
        <v>2.4456411E-4</v>
      </c>
      <c r="Y941" s="88"/>
      <c r="Z941" s="73" t="s">
        <v>1442</v>
      </c>
    </row>
    <row r="942" ht="12.75" customHeight="1">
      <c r="A942" s="1" t="s">
        <v>1443</v>
      </c>
      <c r="B942" s="2" t="s">
        <v>1363</v>
      </c>
      <c r="C942" s="60" t="str">
        <f t="shared" si="270"/>
        <v>A.130.05.110</v>
      </c>
      <c r="D942" s="51" t="s">
        <v>1422</v>
      </c>
      <c r="E942" s="62" t="s">
        <v>45</v>
      </c>
      <c r="F942" s="63" t="str">
        <f t="shared" si="271"/>
        <v>SBR (Styrene butadiene rubber)</v>
      </c>
      <c r="G942" s="64">
        <v>1.3961069315711</v>
      </c>
      <c r="H942" s="10">
        <f t="shared" si="272"/>
        <v>1.396106932</v>
      </c>
      <c r="I942" s="65">
        <v>0.09338098929</v>
      </c>
      <c r="J942" s="65">
        <v>0.7679024965911</v>
      </c>
      <c r="K942" s="65">
        <v>0.01551170569</v>
      </c>
      <c r="L942" s="65">
        <v>0.51931174</v>
      </c>
      <c r="N942" s="66">
        <v>3.462078266666667</v>
      </c>
      <c r="O942" s="10">
        <f t="shared" si="273"/>
        <v>3.462078267</v>
      </c>
      <c r="Q942" s="67">
        <v>97.28514</v>
      </c>
      <c r="S942" s="68">
        <v>0.096284617</v>
      </c>
      <c r="T942" s="68">
        <v>0.086135731</v>
      </c>
      <c r="U942" s="68">
        <v>0.0033478066</v>
      </c>
      <c r="V942" s="68">
        <v>0.0068010789</v>
      </c>
      <c r="X942" s="69">
        <v>2.6779256E-4</v>
      </c>
      <c r="Y942" s="88"/>
      <c r="Z942" s="73" t="s">
        <v>1444</v>
      </c>
    </row>
    <row r="943" ht="12.75" customHeight="1">
      <c r="A943" s="1" t="s">
        <v>1445</v>
      </c>
      <c r="B943" s="2" t="s">
        <v>1363</v>
      </c>
      <c r="C943" s="60" t="str">
        <f t="shared" si="270"/>
        <v>A.130.05.111</v>
      </c>
      <c r="D943" s="51" t="s">
        <v>1422</v>
      </c>
      <c r="E943" s="62" t="s">
        <v>45</v>
      </c>
      <c r="F943" s="63" t="str">
        <f t="shared" si="271"/>
        <v>Silicone rubber (PDMS)</v>
      </c>
      <c r="G943" s="64">
        <v>1.970602578008</v>
      </c>
      <c r="H943" s="10">
        <f t="shared" si="272"/>
        <v>1.970602578</v>
      </c>
      <c r="I943" s="65">
        <v>0.12112789656999999</v>
      </c>
      <c r="J943" s="65">
        <v>0.754574717768</v>
      </c>
      <c r="K943" s="65">
        <v>0.00289246367</v>
      </c>
      <c r="L943" s="65">
        <v>1.0920075</v>
      </c>
      <c r="N943" s="66">
        <v>7.28005</v>
      </c>
      <c r="O943" s="10">
        <f t="shared" si="273"/>
        <v>7.28005</v>
      </c>
      <c r="Q943" s="67">
        <v>104.05724</v>
      </c>
      <c r="S943" s="68">
        <v>0.24008318</v>
      </c>
      <c r="T943" s="68">
        <v>0.22505642</v>
      </c>
      <c r="U943" s="68">
        <v>0.0076319089</v>
      </c>
      <c r="V943" s="68">
        <v>0.007394848</v>
      </c>
      <c r="X943" s="69">
        <v>4.7312323E-4</v>
      </c>
      <c r="Y943" s="88"/>
      <c r="Z943" s="73" t="s">
        <v>1446</v>
      </c>
    </row>
    <row r="944" ht="12.75" customHeight="1">
      <c r="B944" s="2"/>
      <c r="C944" s="60"/>
      <c r="D944" s="75" t="s">
        <v>1447</v>
      </c>
      <c r="E944" s="62"/>
      <c r="G944" s="10"/>
      <c r="H944" s="10"/>
      <c r="I944" s="10"/>
      <c r="J944" s="10"/>
      <c r="K944" s="10"/>
      <c r="L944" s="10"/>
      <c r="N944" s="10"/>
      <c r="O944" s="10"/>
      <c r="Q944" s="67"/>
      <c r="Y944" s="89"/>
      <c r="Z944" s="48"/>
    </row>
    <row r="945" ht="12.75" customHeight="1">
      <c r="A945" s="1" t="s">
        <v>1448</v>
      </c>
      <c r="B945" s="2" t="s">
        <v>1363</v>
      </c>
      <c r="C945" s="60" t="str">
        <f t="shared" ref="C945:C976" si="274">MID(A945,1,12)</f>
        <v>A.130.07.101</v>
      </c>
      <c r="D945" s="51" t="s">
        <v>1447</v>
      </c>
      <c r="E945" s="62" t="s">
        <v>45</v>
      </c>
      <c r="F945" s="63" t="str">
        <f t="shared" ref="F945:F976" si="275">MID(A945, 21,85)</f>
        <v>ABS (Acrylonitrile butadiene styrene)</v>
      </c>
      <c r="G945" s="64">
        <v>1.3798568451600002</v>
      </c>
      <c r="H945" s="10">
        <f t="shared" ref="H945:H976" si="276">G945</f>
        <v>1.379856845</v>
      </c>
      <c r="I945" s="65">
        <v>0.0537524309</v>
      </c>
      <c r="J945" s="65">
        <v>0.9226044142600001</v>
      </c>
      <c r="K945" s="65">
        <v>0.0</v>
      </c>
      <c r="L945" s="65">
        <v>0.4035</v>
      </c>
      <c r="N945" s="66">
        <v>2.6900000000000004</v>
      </c>
      <c r="O945" s="10">
        <f t="shared" ref="O945:O976" si="277">N945</f>
        <v>2.69</v>
      </c>
      <c r="Q945" s="67">
        <v>97.1985</v>
      </c>
      <c r="S945" s="68">
        <v>0.065277583</v>
      </c>
      <c r="T945" s="68">
        <v>0.055997153</v>
      </c>
      <c r="U945" s="68">
        <v>0.0023404567</v>
      </c>
      <c r="V945" s="68">
        <v>0.0069399729</v>
      </c>
      <c r="X945" s="69">
        <v>2.407729E-4</v>
      </c>
      <c r="Y945" s="88"/>
      <c r="Z945" s="73" t="s">
        <v>1449</v>
      </c>
    </row>
    <row r="946" ht="12.75" customHeight="1">
      <c r="A946" s="1" t="s">
        <v>1450</v>
      </c>
      <c r="B946" s="2" t="s">
        <v>1363</v>
      </c>
      <c r="C946" s="60" t="str">
        <f t="shared" si="274"/>
        <v>A.130.07.102</v>
      </c>
      <c r="D946" s="51" t="s">
        <v>1447</v>
      </c>
      <c r="E946" s="62" t="s">
        <v>45</v>
      </c>
      <c r="F946" s="63" t="str">
        <f t="shared" si="275"/>
        <v>ABS 30% glass fibre</v>
      </c>
      <c r="G946" s="64">
        <v>1.0793147185</v>
      </c>
      <c r="H946" s="10">
        <f t="shared" si="276"/>
        <v>1.079314719</v>
      </c>
      <c r="I946" s="65">
        <v>0.0491947415</v>
      </c>
      <c r="J946" s="65">
        <v>0.677019977</v>
      </c>
      <c r="K946" s="65">
        <v>0.0</v>
      </c>
      <c r="L946" s="65">
        <v>0.3531</v>
      </c>
      <c r="N946" s="66">
        <v>2.354</v>
      </c>
      <c r="O946" s="10">
        <f t="shared" si="277"/>
        <v>2.354</v>
      </c>
      <c r="Q946" s="67">
        <v>77.99565</v>
      </c>
      <c r="S946" s="68">
        <v>0.056136425</v>
      </c>
      <c r="T946" s="68">
        <v>0.048593618</v>
      </c>
      <c r="U946" s="68">
        <v>0.0021250661</v>
      </c>
      <c r="V946" s="68">
        <v>0.0054177413</v>
      </c>
      <c r="X946" s="69">
        <v>2.0275129E-4</v>
      </c>
      <c r="Y946" s="88"/>
      <c r="Z946" s="73" t="s">
        <v>1449</v>
      </c>
    </row>
    <row r="947" ht="12.75" customHeight="1">
      <c r="A947" s="1" t="s">
        <v>1451</v>
      </c>
      <c r="B947" s="2" t="s">
        <v>1363</v>
      </c>
      <c r="C947" s="60" t="str">
        <f t="shared" si="274"/>
        <v>A.130.07.103</v>
      </c>
      <c r="D947" s="51" t="s">
        <v>1447</v>
      </c>
      <c r="E947" s="62" t="s">
        <v>45</v>
      </c>
      <c r="F947" s="63" t="str">
        <f t="shared" si="275"/>
        <v>Ionomer</v>
      </c>
      <c r="G947" s="64">
        <v>3.445985862035</v>
      </c>
      <c r="H947" s="10">
        <f t="shared" si="276"/>
        <v>3.445985862</v>
      </c>
      <c r="I947" s="65">
        <v>0.1927034718</v>
      </c>
      <c r="J947" s="65">
        <v>1.511396143495</v>
      </c>
      <c r="K947" s="65">
        <v>0.00460164674</v>
      </c>
      <c r="L947" s="65">
        <v>1.7372846</v>
      </c>
      <c r="N947" s="66">
        <v>11.581897333333334</v>
      </c>
      <c r="O947" s="10">
        <f t="shared" si="277"/>
        <v>11.58189733</v>
      </c>
      <c r="Q947" s="67">
        <v>183.80315</v>
      </c>
      <c r="S947" s="68">
        <v>0.38325126</v>
      </c>
      <c r="T947" s="68">
        <v>0.35804431</v>
      </c>
      <c r="U947" s="68">
        <v>0.012141673</v>
      </c>
      <c r="V947" s="68">
        <v>0.013065273</v>
      </c>
      <c r="X947" s="69">
        <v>7.747376E-4</v>
      </c>
      <c r="Y947" s="88"/>
      <c r="Z947" s="73" t="s">
        <v>1452</v>
      </c>
    </row>
    <row r="948" ht="12.75" customHeight="1">
      <c r="A948" s="1" t="s">
        <v>1453</v>
      </c>
      <c r="B948" s="2" t="s">
        <v>1363</v>
      </c>
      <c r="C948" s="60" t="str">
        <f t="shared" si="274"/>
        <v>A.130.07.104</v>
      </c>
      <c r="D948" s="51" t="s">
        <v>1447</v>
      </c>
      <c r="E948" s="62" t="s">
        <v>45</v>
      </c>
      <c r="F948" s="63" t="str">
        <f t="shared" si="275"/>
        <v>PA 6 (Nylon 6  Polyamide 6)</v>
      </c>
      <c r="G948" s="64">
        <v>1.4471235200349999</v>
      </c>
      <c r="H948" s="10">
        <f t="shared" si="276"/>
        <v>1.44712352</v>
      </c>
      <c r="I948" s="65">
        <v>0.03933222586</v>
      </c>
      <c r="J948" s="65">
        <v>0.729791294175</v>
      </c>
      <c r="K948" s="65">
        <v>0.0</v>
      </c>
      <c r="L948" s="65">
        <v>0.678</v>
      </c>
      <c r="N948" s="66">
        <v>4.5200000000000005</v>
      </c>
      <c r="O948" s="10">
        <f t="shared" si="277"/>
        <v>4.52</v>
      </c>
      <c r="Q948" s="67">
        <v>101.527</v>
      </c>
      <c r="S948" s="68">
        <v>0.090347198</v>
      </c>
      <c r="T948" s="68">
        <v>0.079795508</v>
      </c>
      <c r="U948" s="68">
        <v>0.0036270325</v>
      </c>
      <c r="V948" s="68">
        <v>0.0069246576</v>
      </c>
      <c r="X948" s="69">
        <v>2.7891295E-4</v>
      </c>
      <c r="Y948" s="88"/>
      <c r="Z948" s="73" t="s">
        <v>1454</v>
      </c>
    </row>
    <row r="949" ht="12.75" customHeight="1">
      <c r="A949" s="1" t="s">
        <v>1455</v>
      </c>
      <c r="B949" s="2" t="s">
        <v>1363</v>
      </c>
      <c r="C949" s="60" t="str">
        <f t="shared" si="274"/>
        <v>A.130.07.105</v>
      </c>
      <c r="D949" s="51" t="s">
        <v>1447</v>
      </c>
      <c r="E949" s="62" t="s">
        <v>45</v>
      </c>
      <c r="F949" s="63" t="str">
        <f t="shared" si="275"/>
        <v>PA 6 30% glass fibre</v>
      </c>
      <c r="G949" s="64">
        <v>1.126401393</v>
      </c>
      <c r="H949" s="10">
        <f t="shared" si="276"/>
        <v>1.126401393</v>
      </c>
      <c r="I949" s="65">
        <v>0.039100598</v>
      </c>
      <c r="J949" s="65">
        <v>0.542050795</v>
      </c>
      <c r="K949" s="65">
        <v>0.0</v>
      </c>
      <c r="L949" s="65">
        <v>0.54525</v>
      </c>
      <c r="N949" s="66">
        <v>3.6350000000000002</v>
      </c>
      <c r="O949" s="10">
        <f t="shared" si="277"/>
        <v>3.635</v>
      </c>
      <c r="Q949" s="67">
        <v>81.0256</v>
      </c>
      <c r="S949" s="68">
        <v>0.073685156</v>
      </c>
      <c r="T949" s="68">
        <v>0.065252466</v>
      </c>
      <c r="U949" s="68">
        <v>0.0030256691</v>
      </c>
      <c r="V949" s="68">
        <v>0.0054070206</v>
      </c>
      <c r="X949" s="69">
        <v>2.2944933E-4</v>
      </c>
      <c r="Y949" s="88"/>
      <c r="Z949" s="73" t="s">
        <v>1454</v>
      </c>
    </row>
    <row r="950" ht="12.75" customHeight="1">
      <c r="A950" s="1" t="s">
        <v>1456</v>
      </c>
      <c r="B950" s="2" t="s">
        <v>1363</v>
      </c>
      <c r="C950" s="60" t="str">
        <f t="shared" si="274"/>
        <v>A.130.07.106</v>
      </c>
      <c r="D950" s="51" t="s">
        <v>1447</v>
      </c>
      <c r="E950" s="62" t="s">
        <v>45</v>
      </c>
      <c r="F950" s="63" t="str">
        <f t="shared" si="275"/>
        <v>PA 66 (Nylon 66  Polyamide 6-6)</v>
      </c>
      <c r="G950" s="64">
        <v>1.8265801667</v>
      </c>
      <c r="H950" s="10">
        <f t="shared" si="276"/>
        <v>1.826580167</v>
      </c>
      <c r="I950" s="65">
        <v>0.0805332307</v>
      </c>
      <c r="J950" s="65">
        <v>0.786046936</v>
      </c>
      <c r="K950" s="65">
        <v>0.0</v>
      </c>
      <c r="L950" s="65">
        <v>0.96</v>
      </c>
      <c r="N950" s="66">
        <v>6.4</v>
      </c>
      <c r="O950" s="10">
        <f t="shared" si="277"/>
        <v>6.4</v>
      </c>
      <c r="Q950" s="67">
        <v>146.9138</v>
      </c>
      <c r="S950" s="68">
        <v>0.16991146</v>
      </c>
      <c r="T950" s="68">
        <v>0.15389127</v>
      </c>
      <c r="U950" s="68">
        <v>0.0056072133</v>
      </c>
      <c r="V950" s="68">
        <v>0.010412976</v>
      </c>
      <c r="X950" s="69">
        <v>4.5788783E-4</v>
      </c>
      <c r="Y950" s="88"/>
      <c r="Z950" s="73" t="s">
        <v>1457</v>
      </c>
    </row>
    <row r="951" ht="12.75" customHeight="1">
      <c r="A951" s="1" t="s">
        <v>1458</v>
      </c>
      <c r="B951" s="2" t="s">
        <v>1363</v>
      </c>
      <c r="C951" s="60" t="str">
        <f t="shared" si="274"/>
        <v>A.130.07.107</v>
      </c>
      <c r="D951" s="51" t="s">
        <v>1447</v>
      </c>
      <c r="E951" s="62" t="s">
        <v>45</v>
      </c>
      <c r="F951" s="63" t="str">
        <f t="shared" si="275"/>
        <v>PA 66 30% glass fibre</v>
      </c>
      <c r="G951" s="64">
        <v>1.39202104119</v>
      </c>
      <c r="H951" s="10">
        <f t="shared" si="276"/>
        <v>1.392021041</v>
      </c>
      <c r="I951" s="65">
        <v>0.06794130119000001</v>
      </c>
      <c r="J951" s="65">
        <v>0.58142974</v>
      </c>
      <c r="K951" s="65">
        <v>0.0</v>
      </c>
      <c r="L951" s="65">
        <v>0.74265</v>
      </c>
      <c r="N951" s="66">
        <v>4.9510000000000005</v>
      </c>
      <c r="O951" s="10">
        <f t="shared" si="277"/>
        <v>4.951</v>
      </c>
      <c r="Q951" s="67">
        <v>112.79636</v>
      </c>
      <c r="S951" s="68">
        <v>0.12938014</v>
      </c>
      <c r="T951" s="68">
        <v>0.1171195</v>
      </c>
      <c r="U951" s="68">
        <v>0.0044117957</v>
      </c>
      <c r="V951" s="68">
        <v>0.0078488435</v>
      </c>
      <c r="X951" s="69">
        <v>3.5473175E-4</v>
      </c>
      <c r="Y951" s="88"/>
      <c r="Z951" s="73" t="s">
        <v>1459</v>
      </c>
    </row>
    <row r="952" ht="12.75" customHeight="1">
      <c r="A952" s="1" t="s">
        <v>1460</v>
      </c>
      <c r="B952" s="2" t="s">
        <v>1363</v>
      </c>
      <c r="C952" s="60" t="str">
        <f t="shared" si="274"/>
        <v>A.130.07.108</v>
      </c>
      <c r="D952" s="51" t="s">
        <v>1447</v>
      </c>
      <c r="E952" s="62" t="s">
        <v>45</v>
      </c>
      <c r="F952" s="63" t="str">
        <f t="shared" si="275"/>
        <v>PB-1 (Polybutylene)</v>
      </c>
      <c r="G952" s="64">
        <v>1.1938793114000001</v>
      </c>
      <c r="H952" s="10">
        <f t="shared" si="276"/>
        <v>1.193879311</v>
      </c>
      <c r="I952" s="65">
        <v>0.018569084299999997</v>
      </c>
      <c r="J952" s="65">
        <v>0.9308102271</v>
      </c>
      <c r="K952" s="65">
        <v>0.0</v>
      </c>
      <c r="L952" s="65">
        <v>0.2445</v>
      </c>
      <c r="N952" s="66">
        <v>1.6300000000000001</v>
      </c>
      <c r="O952" s="10">
        <f t="shared" si="277"/>
        <v>1.63</v>
      </c>
      <c r="Q952" s="67">
        <v>82.255</v>
      </c>
      <c r="S952" s="68">
        <v>0.045945706</v>
      </c>
      <c r="T952" s="68">
        <v>0.038641326</v>
      </c>
      <c r="U952" s="68">
        <v>0.0014903489</v>
      </c>
      <c r="V952" s="68">
        <v>0.0058140306</v>
      </c>
      <c r="X952" s="69">
        <v>1.8693736E-4</v>
      </c>
      <c r="Y952" s="88"/>
      <c r="Z952" s="73" t="s">
        <v>1461</v>
      </c>
    </row>
    <row r="953" ht="12.75" customHeight="1">
      <c r="A953" s="1" t="s">
        <v>1462</v>
      </c>
      <c r="B953" s="2" t="s">
        <v>1363</v>
      </c>
      <c r="C953" s="60" t="str">
        <f t="shared" si="274"/>
        <v>A.130.07.109</v>
      </c>
      <c r="D953" s="51" t="s">
        <v>1447</v>
      </c>
      <c r="E953" s="62" t="s">
        <v>45</v>
      </c>
      <c r="F953" s="63" t="str">
        <f t="shared" si="275"/>
        <v>PC (Polycarbonate)</v>
      </c>
      <c r="G953" s="64">
        <v>1.4404420304978436</v>
      </c>
      <c r="H953" s="10">
        <f t="shared" si="276"/>
        <v>1.44044203</v>
      </c>
      <c r="I953" s="65">
        <v>0.143552696</v>
      </c>
      <c r="J953" s="65">
        <v>0.7868893344978436</v>
      </c>
      <c r="K953" s="65">
        <v>0.0</v>
      </c>
      <c r="L953" s="65">
        <v>0.51</v>
      </c>
      <c r="N953" s="66">
        <v>3.4000000000000004</v>
      </c>
      <c r="O953" s="10">
        <f t="shared" si="277"/>
        <v>3.4</v>
      </c>
      <c r="Q953" s="67">
        <v>110.4868</v>
      </c>
      <c r="S953" s="68">
        <v>0.090041448</v>
      </c>
      <c r="T953" s="68">
        <v>0.079697456</v>
      </c>
      <c r="U953" s="68">
        <v>0.0028983996</v>
      </c>
      <c r="V953" s="68">
        <v>0.007445592</v>
      </c>
      <c r="X953" s="69">
        <v>3.9418432E-4</v>
      </c>
      <c r="Y953" s="88"/>
      <c r="Z953" s="73" t="s">
        <v>1463</v>
      </c>
    </row>
    <row r="954" ht="12.75" customHeight="1">
      <c r="A954" s="1" t="s">
        <v>1464</v>
      </c>
      <c r="B954" s="2" t="s">
        <v>1363</v>
      </c>
      <c r="C954" s="60" t="str">
        <f t="shared" si="274"/>
        <v>A.130.07.110</v>
      </c>
      <c r="D954" s="51" t="s">
        <v>1447</v>
      </c>
      <c r="E954" s="62" t="s">
        <v>45</v>
      </c>
      <c r="F954" s="63" t="str">
        <f t="shared" si="275"/>
        <v>PC 30% glass fibre</v>
      </c>
      <c r="G954" s="64">
        <v>1.1217243517776998</v>
      </c>
      <c r="H954" s="10">
        <f t="shared" si="276"/>
        <v>1.121724352</v>
      </c>
      <c r="I954" s="65">
        <v>0.11205492789999999</v>
      </c>
      <c r="J954" s="65">
        <v>0.5820194238777</v>
      </c>
      <c r="K954" s="65">
        <v>0.0</v>
      </c>
      <c r="L954" s="65">
        <v>0.42765</v>
      </c>
      <c r="N954" s="66">
        <v>2.851</v>
      </c>
      <c r="O954" s="10">
        <f t="shared" si="277"/>
        <v>2.851</v>
      </c>
      <c r="Q954" s="67">
        <v>87.29746</v>
      </c>
      <c r="S954" s="68">
        <v>0.07347113</v>
      </c>
      <c r="T954" s="68">
        <v>0.06518383</v>
      </c>
      <c r="U954" s="68">
        <v>0.0025156261</v>
      </c>
      <c r="V954" s="68">
        <v>0.0057716747</v>
      </c>
      <c r="X954" s="69">
        <v>3.1013929E-4</v>
      </c>
      <c r="Y954" s="88"/>
      <c r="Z954" s="73" t="s">
        <v>1463</v>
      </c>
    </row>
    <row r="955" ht="12.75" customHeight="1">
      <c r="A955" s="1" t="s">
        <v>1465</v>
      </c>
      <c r="B955" s="2" t="s">
        <v>1363</v>
      </c>
      <c r="C955" s="60" t="str">
        <f t="shared" si="274"/>
        <v>A.130.07.111</v>
      </c>
      <c r="D955" s="51" t="s">
        <v>1447</v>
      </c>
      <c r="E955" s="62" t="s">
        <v>45</v>
      </c>
      <c r="F955" s="63" t="str">
        <f t="shared" si="275"/>
        <v>PE (HDPE  High density Polyethylene)</v>
      </c>
      <c r="G955" s="64">
        <v>1.1305463954000001</v>
      </c>
      <c r="H955" s="10">
        <f t="shared" si="276"/>
        <v>1.130546395</v>
      </c>
      <c r="I955" s="65">
        <v>0.019345870600000002</v>
      </c>
      <c r="J955" s="65">
        <v>0.8412005248000001</v>
      </c>
      <c r="K955" s="65">
        <v>0.0</v>
      </c>
      <c r="L955" s="65">
        <v>0.27</v>
      </c>
      <c r="N955" s="66">
        <v>1.8000000000000003</v>
      </c>
      <c r="O955" s="10">
        <f t="shared" si="277"/>
        <v>1.8</v>
      </c>
      <c r="Q955" s="67">
        <v>84.687</v>
      </c>
      <c r="S955" s="68">
        <v>0.050148767</v>
      </c>
      <c r="T955" s="68">
        <v>0.042548188</v>
      </c>
      <c r="U955" s="68">
        <v>0.0016213297</v>
      </c>
      <c r="V955" s="68">
        <v>0.0059792502</v>
      </c>
      <c r="X955" s="69">
        <v>1.7971154E-4</v>
      </c>
      <c r="Y955" s="88"/>
      <c r="Z955" s="73" t="s">
        <v>1466</v>
      </c>
    </row>
    <row r="956" ht="12.75" customHeight="1">
      <c r="A956" s="1" t="s">
        <v>1467</v>
      </c>
      <c r="B956" s="2" t="s">
        <v>1363</v>
      </c>
      <c r="C956" s="60" t="str">
        <f t="shared" si="274"/>
        <v>A.130.07.112</v>
      </c>
      <c r="D956" s="51" t="s">
        <v>1447</v>
      </c>
      <c r="E956" s="62" t="s">
        <v>45</v>
      </c>
      <c r="F956" s="63" t="str">
        <f t="shared" si="275"/>
        <v>PE (LDPE  Low density Polyethylene)</v>
      </c>
      <c r="G956" s="64">
        <v>1.2242716617</v>
      </c>
      <c r="H956" s="10">
        <f t="shared" si="276"/>
        <v>1.224271662</v>
      </c>
      <c r="I956" s="65">
        <v>0.0486356398</v>
      </c>
      <c r="J956" s="65">
        <v>0.8951360219000001</v>
      </c>
      <c r="K956" s="65">
        <v>0.0</v>
      </c>
      <c r="L956" s="65">
        <v>0.2805</v>
      </c>
      <c r="N956" s="66">
        <v>1.8700000000000003</v>
      </c>
      <c r="O956" s="10">
        <f t="shared" si="277"/>
        <v>1.87</v>
      </c>
      <c r="Q956" s="67">
        <v>87.705</v>
      </c>
      <c r="S956" s="68">
        <v>0.055629532</v>
      </c>
      <c r="T956" s="68">
        <v>0.047792114</v>
      </c>
      <c r="U956" s="68">
        <v>0.0016932339</v>
      </c>
      <c r="V956" s="68">
        <v>0.0061441842</v>
      </c>
      <c r="X956" s="69">
        <v>2.1452137E-4</v>
      </c>
      <c r="Y956" s="88"/>
      <c r="Z956" s="73" t="s">
        <v>1468</v>
      </c>
    </row>
    <row r="957" ht="12.75" customHeight="1">
      <c r="A957" s="1" t="s">
        <v>1469</v>
      </c>
      <c r="B957" s="2" t="s">
        <v>1363</v>
      </c>
      <c r="C957" s="60" t="str">
        <f t="shared" si="274"/>
        <v>A.130.07.113</v>
      </c>
      <c r="D957" s="51" t="s">
        <v>1447</v>
      </c>
      <c r="E957" s="62" t="s">
        <v>45</v>
      </c>
      <c r="F957" s="63" t="str">
        <f t="shared" si="275"/>
        <v>PE (LLDPE  Linear low density Polyethylene)</v>
      </c>
      <c r="G957" s="64">
        <v>1.186145735672</v>
      </c>
      <c r="H957" s="10">
        <f t="shared" si="276"/>
        <v>1.186145736</v>
      </c>
      <c r="I957" s="65">
        <v>0.024518003071999996</v>
      </c>
      <c r="J957" s="65">
        <v>0.8931277326</v>
      </c>
      <c r="K957" s="65">
        <v>0.0</v>
      </c>
      <c r="L957" s="65">
        <v>0.2685</v>
      </c>
      <c r="N957" s="66">
        <v>1.7900000000000003</v>
      </c>
      <c r="O957" s="10">
        <f t="shared" si="277"/>
        <v>1.79</v>
      </c>
      <c r="Q957" s="67">
        <v>83.755</v>
      </c>
      <c r="S957" s="68">
        <v>0.053497651</v>
      </c>
      <c r="T957" s="68">
        <v>0.04598007</v>
      </c>
      <c r="U957" s="68">
        <v>0.0016133015</v>
      </c>
      <c r="V957" s="68">
        <v>0.0059042802</v>
      </c>
      <c r="X957" s="69">
        <v>1.8914508E-4</v>
      </c>
      <c r="Y957" s="88"/>
      <c r="Z957" s="73" t="s">
        <v>1470</v>
      </c>
    </row>
    <row r="958" ht="12.75" customHeight="1">
      <c r="A958" s="1" t="s">
        <v>1471</v>
      </c>
      <c r="B958" s="2" t="s">
        <v>1363</v>
      </c>
      <c r="C958" s="60" t="str">
        <f t="shared" si="274"/>
        <v>A.130.07.114</v>
      </c>
      <c r="D958" s="51" t="s">
        <v>1447</v>
      </c>
      <c r="E958" s="62" t="s">
        <v>45</v>
      </c>
      <c r="F958" s="63" t="str">
        <f t="shared" si="275"/>
        <v>PE (Polyethylene expanded, EPE)</v>
      </c>
      <c r="G958" s="64">
        <v>1.3268154446066</v>
      </c>
      <c r="H958" s="10">
        <f t="shared" si="276"/>
        <v>1.326815445</v>
      </c>
      <c r="I958" s="65">
        <v>0.0539619854</v>
      </c>
      <c r="J958" s="65">
        <v>0.9025546448966</v>
      </c>
      <c r="K958" s="65">
        <v>0.00266332431</v>
      </c>
      <c r="L958" s="65">
        <v>0.36763549</v>
      </c>
      <c r="N958" s="66">
        <v>2.450903266666667</v>
      </c>
      <c r="O958" s="10">
        <f t="shared" si="277"/>
        <v>2.450903267</v>
      </c>
      <c r="Q958" s="67">
        <v>96.301928</v>
      </c>
      <c r="S958" s="68">
        <v>0.066713649</v>
      </c>
      <c r="T958" s="68">
        <v>0.057860102</v>
      </c>
      <c r="U958" s="68">
        <v>0.0021646404</v>
      </c>
      <c r="V958" s="68">
        <v>0.0066889073</v>
      </c>
      <c r="X958" s="69">
        <v>2.4357708E-4</v>
      </c>
      <c r="Y958" s="88"/>
      <c r="Z958" s="73" t="s">
        <v>1472</v>
      </c>
    </row>
    <row r="959" ht="12.75" customHeight="1">
      <c r="A959" s="1" t="s">
        <v>1473</v>
      </c>
      <c r="B959" s="2" t="s">
        <v>1363</v>
      </c>
      <c r="C959" s="60" t="str">
        <f t="shared" si="274"/>
        <v>A.130.07.116</v>
      </c>
      <c r="D959" s="51" t="s">
        <v>1447</v>
      </c>
      <c r="E959" s="62" t="s">
        <v>45</v>
      </c>
      <c r="F959" s="63" t="str">
        <f t="shared" si="275"/>
        <v>PET (Polyethylene terephthalate) 30% glass fibre</v>
      </c>
      <c r="G959" s="64">
        <v>0.8218593709099999</v>
      </c>
      <c r="H959" s="10">
        <f t="shared" si="276"/>
        <v>0.8218593709</v>
      </c>
      <c r="I959" s="65">
        <v>0.034206535510000004</v>
      </c>
      <c r="J959" s="65">
        <v>0.4870528354</v>
      </c>
      <c r="K959" s="65">
        <v>0.0</v>
      </c>
      <c r="L959" s="65">
        <v>0.3006</v>
      </c>
      <c r="N959" s="66">
        <v>2.004</v>
      </c>
      <c r="O959" s="10">
        <f t="shared" si="277"/>
        <v>2.004</v>
      </c>
      <c r="Q959" s="67">
        <v>61.3514</v>
      </c>
      <c r="S959" s="68">
        <v>0.053680934</v>
      </c>
      <c r="T959" s="68">
        <v>0.047511412</v>
      </c>
      <c r="U959" s="68">
        <v>0.0019401801</v>
      </c>
      <c r="V959" s="68">
        <v>0.0042293419</v>
      </c>
      <c r="X959" s="69">
        <v>1.6241975E-4</v>
      </c>
      <c r="Y959" s="88"/>
      <c r="Z959" s="73" t="s">
        <v>1474</v>
      </c>
    </row>
    <row r="960" ht="12.75" customHeight="1">
      <c r="A960" s="1" t="s">
        <v>1475</v>
      </c>
      <c r="B960" s="2" t="s">
        <v>1363</v>
      </c>
      <c r="C960" s="60" t="str">
        <f t="shared" si="274"/>
        <v>A.130.07.117</v>
      </c>
      <c r="D960" s="51" t="s">
        <v>1447</v>
      </c>
      <c r="E960" s="62" t="s">
        <v>45</v>
      </c>
      <c r="F960" s="63" t="str">
        <f t="shared" si="275"/>
        <v>PET (Polyethylene terephthalate) amorphous</v>
      </c>
      <c r="G960" s="64">
        <v>1.0059994169447402</v>
      </c>
      <c r="H960" s="10">
        <f t="shared" si="276"/>
        <v>1.005999417</v>
      </c>
      <c r="I960" s="65">
        <v>0.0396926757</v>
      </c>
      <c r="J960" s="65">
        <v>0.6550891958527401</v>
      </c>
      <c r="K960" s="65">
        <v>0.003516885392</v>
      </c>
      <c r="L960" s="65">
        <v>0.30770066</v>
      </c>
      <c r="N960" s="66">
        <v>2.0513377333333334</v>
      </c>
      <c r="O960" s="10">
        <f t="shared" si="277"/>
        <v>2.051337733</v>
      </c>
      <c r="Q960" s="67">
        <v>72.095491</v>
      </c>
      <c r="S960" s="68">
        <v>0.059408369</v>
      </c>
      <c r="T960" s="68">
        <v>0.052348159</v>
      </c>
      <c r="U960" s="68">
        <v>0.0019471992</v>
      </c>
      <c r="V960" s="68">
        <v>0.005113011</v>
      </c>
      <c r="X960" s="69">
        <v>1.8646866E-4</v>
      </c>
      <c r="Y960" s="88"/>
      <c r="Z960" s="73" t="s">
        <v>1476</v>
      </c>
    </row>
    <row r="961" ht="12.75" customHeight="1">
      <c r="A961" s="1" t="s">
        <v>1477</v>
      </c>
      <c r="B961" s="2" t="s">
        <v>1363</v>
      </c>
      <c r="C961" s="60" t="str">
        <f t="shared" si="274"/>
        <v>A.130.07.118</v>
      </c>
      <c r="D961" s="51" t="s">
        <v>1447</v>
      </c>
      <c r="E961" s="62" t="s">
        <v>45</v>
      </c>
      <c r="F961" s="63" t="str">
        <f t="shared" si="275"/>
        <v>PET (Polyethylene terephthalate) bottle grade</v>
      </c>
      <c r="G961" s="64">
        <v>1.0120634871</v>
      </c>
      <c r="H961" s="10">
        <f t="shared" si="276"/>
        <v>1.012063487</v>
      </c>
      <c r="I961" s="65">
        <v>0.0323407074</v>
      </c>
      <c r="J961" s="65">
        <v>0.6512227797</v>
      </c>
      <c r="K961" s="65">
        <v>0.0</v>
      </c>
      <c r="L961" s="65">
        <v>0.3285</v>
      </c>
      <c r="N961" s="66">
        <v>2.1900000000000004</v>
      </c>
      <c r="O961" s="10">
        <f t="shared" si="277"/>
        <v>2.19</v>
      </c>
      <c r="Q961" s="67">
        <v>73.421</v>
      </c>
      <c r="S961" s="68">
        <v>0.061769739</v>
      </c>
      <c r="T961" s="68">
        <v>0.054451145</v>
      </c>
      <c r="U961" s="68">
        <v>0.0020763339</v>
      </c>
      <c r="V961" s="68">
        <v>0.0052422594</v>
      </c>
      <c r="X961" s="69">
        <v>1.8315641E-4</v>
      </c>
      <c r="Y961" s="88"/>
      <c r="Z961" s="73" t="s">
        <v>1476</v>
      </c>
    </row>
    <row r="962" ht="12.75" customHeight="1">
      <c r="A962" s="1" t="s">
        <v>1478</v>
      </c>
      <c r="B962" s="2" t="s">
        <v>1363</v>
      </c>
      <c r="C962" s="60" t="str">
        <f t="shared" si="274"/>
        <v>A.130.07.119</v>
      </c>
      <c r="D962" s="51" t="s">
        <v>1447</v>
      </c>
      <c r="E962" s="62" t="s">
        <v>45</v>
      </c>
      <c r="F962" s="63" t="str">
        <f t="shared" si="275"/>
        <v>PMMA (Polymethyl methacrylate)</v>
      </c>
      <c r="G962" s="64">
        <v>1.13395989269876</v>
      </c>
      <c r="H962" s="10">
        <f t="shared" si="276"/>
        <v>1.133959893</v>
      </c>
      <c r="I962" s="65">
        <v>0.06270854202000001</v>
      </c>
      <c r="J962" s="65">
        <v>0.48625135067876</v>
      </c>
      <c r="K962" s="65">
        <v>0.0</v>
      </c>
      <c r="L962" s="65">
        <v>0.585</v>
      </c>
      <c r="N962" s="66">
        <v>3.9</v>
      </c>
      <c r="O962" s="10">
        <f t="shared" si="277"/>
        <v>3.9</v>
      </c>
      <c r="Q962" s="67">
        <v>98.7</v>
      </c>
      <c r="S962" s="68">
        <v>0.093023366</v>
      </c>
      <c r="T962" s="68">
        <v>0.082557568</v>
      </c>
      <c r="U962" s="68">
        <v>0.0034186181</v>
      </c>
      <c r="V962" s="68">
        <v>0.00704718</v>
      </c>
      <c r="X962" s="69">
        <v>2.5172943E-4</v>
      </c>
      <c r="Y962" s="88"/>
      <c r="Z962" s="73" t="s">
        <v>1479</v>
      </c>
    </row>
    <row r="963" ht="12.75" customHeight="1">
      <c r="A963" s="1" t="s">
        <v>1480</v>
      </c>
      <c r="B963" s="2" t="s">
        <v>1363</v>
      </c>
      <c r="C963" s="60" t="str">
        <f t="shared" si="274"/>
        <v>A.130.07.120</v>
      </c>
      <c r="D963" s="51" t="s">
        <v>1447</v>
      </c>
      <c r="E963" s="62" t="s">
        <v>45</v>
      </c>
      <c r="F963" s="63" t="str">
        <f t="shared" si="275"/>
        <v>POM (Polyoxymethyleen, polyacetaal)</v>
      </c>
      <c r="G963" s="64">
        <v>0.9132043730725461</v>
      </c>
      <c r="H963" s="10">
        <f t="shared" si="276"/>
        <v>0.9132043731</v>
      </c>
      <c r="I963" s="65">
        <v>0.00837145090416</v>
      </c>
      <c r="J963" s="65">
        <v>0.4248329221683861</v>
      </c>
      <c r="K963" s="65">
        <v>0.0</v>
      </c>
      <c r="L963" s="65">
        <v>0.48</v>
      </c>
      <c r="N963" s="66">
        <v>3.2</v>
      </c>
      <c r="O963" s="10">
        <f t="shared" si="277"/>
        <v>3.2</v>
      </c>
      <c r="Q963" s="67">
        <v>90.5522</v>
      </c>
      <c r="S963" s="68">
        <v>0.075057613</v>
      </c>
      <c r="T963" s="68">
        <v>0.065928784</v>
      </c>
      <c r="U963" s="68">
        <v>0.0027425982</v>
      </c>
      <c r="V963" s="68">
        <v>0.0063862302</v>
      </c>
      <c r="X963" s="69">
        <v>2.1680165E-4</v>
      </c>
      <c r="Y963" s="88"/>
      <c r="Z963" s="73" t="s">
        <v>1481</v>
      </c>
    </row>
    <row r="964" ht="12.75" customHeight="1">
      <c r="A964" s="1" t="s">
        <v>1482</v>
      </c>
      <c r="B964" s="2" t="s">
        <v>1363</v>
      </c>
      <c r="C964" s="60" t="str">
        <f t="shared" si="274"/>
        <v>A.130.07.121</v>
      </c>
      <c r="D964" s="51" t="s">
        <v>1447</v>
      </c>
      <c r="E964" s="62" t="s">
        <v>45</v>
      </c>
      <c r="F964" s="63" t="str">
        <f t="shared" si="275"/>
        <v>PP (Polypropylene)</v>
      </c>
      <c r="G964" s="64">
        <v>1.1938793114000001</v>
      </c>
      <c r="H964" s="10">
        <f t="shared" si="276"/>
        <v>1.193879311</v>
      </c>
      <c r="I964" s="65">
        <v>0.018569084299999997</v>
      </c>
      <c r="J964" s="65">
        <v>0.9308102271</v>
      </c>
      <c r="K964" s="65">
        <v>0.0</v>
      </c>
      <c r="L964" s="65">
        <v>0.2445</v>
      </c>
      <c r="N964" s="66">
        <v>1.6300000000000001</v>
      </c>
      <c r="O964" s="10">
        <f t="shared" si="277"/>
        <v>1.63</v>
      </c>
      <c r="Q964" s="67">
        <v>82.255</v>
      </c>
      <c r="S964" s="68">
        <v>0.045945706</v>
      </c>
      <c r="T964" s="68">
        <v>0.038641326</v>
      </c>
      <c r="U964" s="68">
        <v>0.0014903489</v>
      </c>
      <c r="V964" s="68">
        <v>0.0058140306</v>
      </c>
      <c r="X964" s="69">
        <v>1.8693736E-4</v>
      </c>
      <c r="Y964" s="88"/>
      <c r="Z964" s="73" t="s">
        <v>1483</v>
      </c>
    </row>
    <row r="965" ht="12.75" customHeight="1">
      <c r="A965" s="1" t="s">
        <v>1484</v>
      </c>
      <c r="B965" s="2" t="s">
        <v>1363</v>
      </c>
      <c r="C965" s="60" t="str">
        <f t="shared" si="274"/>
        <v>A.130.07.122</v>
      </c>
      <c r="D965" s="51" t="s">
        <v>1447</v>
      </c>
      <c r="E965" s="62" t="s">
        <v>45</v>
      </c>
      <c r="F965" s="63" t="str">
        <f t="shared" si="275"/>
        <v>PP GF30</v>
      </c>
      <c r="G965" s="64">
        <v>0.94913045076</v>
      </c>
      <c r="H965" s="10">
        <f t="shared" si="276"/>
        <v>0.9491304508</v>
      </c>
      <c r="I965" s="65">
        <v>0.024566398759999997</v>
      </c>
      <c r="J965" s="65">
        <v>0.682764052</v>
      </c>
      <c r="K965" s="65">
        <v>0.0</v>
      </c>
      <c r="L965" s="65">
        <v>0.2418</v>
      </c>
      <c r="N965" s="66">
        <v>1.6119999999999999</v>
      </c>
      <c r="O965" s="10">
        <f t="shared" si="277"/>
        <v>1.612</v>
      </c>
      <c r="Q965" s="67">
        <v>67.5352</v>
      </c>
      <c r="S965" s="68">
        <v>0.042604111</v>
      </c>
      <c r="T965" s="68">
        <v>0.036444539</v>
      </c>
      <c r="U965" s="68">
        <v>0.0015299906</v>
      </c>
      <c r="V965" s="68">
        <v>0.0046295817</v>
      </c>
      <c r="X965" s="69">
        <v>1.6506642E-4</v>
      </c>
      <c r="Y965" s="88"/>
      <c r="Z965" s="73" t="s">
        <v>1483</v>
      </c>
    </row>
    <row r="966" ht="12.75" customHeight="1">
      <c r="A966" s="1" t="s">
        <v>1485</v>
      </c>
      <c r="B966" s="2" t="s">
        <v>1363</v>
      </c>
      <c r="C966" s="60" t="str">
        <f t="shared" si="274"/>
        <v>A.130.07.123</v>
      </c>
      <c r="D966" s="51" t="s">
        <v>1447</v>
      </c>
      <c r="E966" s="62" t="s">
        <v>45</v>
      </c>
      <c r="F966" s="63" t="str">
        <f t="shared" si="275"/>
        <v>PS (EPS  expandable polystyrene, white)</v>
      </c>
      <c r="G966" s="64">
        <v>1.2574208943761243</v>
      </c>
      <c r="H966" s="10">
        <f t="shared" si="276"/>
        <v>1.257420894</v>
      </c>
      <c r="I966" s="65">
        <v>0.04526306964</v>
      </c>
      <c r="J966" s="65">
        <v>0.8701578247361241</v>
      </c>
      <c r="K966" s="65">
        <v>0.0</v>
      </c>
      <c r="L966" s="65">
        <v>0.342</v>
      </c>
      <c r="N966" s="66">
        <v>2.2800000000000002</v>
      </c>
      <c r="O966" s="10">
        <f t="shared" si="277"/>
        <v>2.28</v>
      </c>
      <c r="Q966" s="67">
        <v>90.587</v>
      </c>
      <c r="S966" s="68">
        <v>0.0540535</v>
      </c>
      <c r="T966" s="68">
        <v>0.045757979</v>
      </c>
      <c r="U966" s="68">
        <v>0.0019497746</v>
      </c>
      <c r="V966" s="68">
        <v>0.0063457464</v>
      </c>
      <c r="X966" s="69">
        <v>1.9737051E-4</v>
      </c>
      <c r="Y966" s="88"/>
      <c r="Z966" s="73" t="s">
        <v>1486</v>
      </c>
    </row>
    <row r="967" ht="12.75" customHeight="1">
      <c r="A967" s="1" t="s">
        <v>1487</v>
      </c>
      <c r="B967" s="2" t="s">
        <v>1363</v>
      </c>
      <c r="C967" s="60" t="str">
        <f t="shared" si="274"/>
        <v>A.130.07.124</v>
      </c>
      <c r="D967" s="51" t="s">
        <v>1447</v>
      </c>
      <c r="E967" s="62" t="s">
        <v>45</v>
      </c>
      <c r="F967" s="63" t="str">
        <f t="shared" si="275"/>
        <v>PS (GPPS  general purpose polystyrene)</v>
      </c>
      <c r="G967" s="64">
        <v>1.2283185434757857</v>
      </c>
      <c r="H967" s="10">
        <f t="shared" si="276"/>
        <v>1.228318543</v>
      </c>
      <c r="I967" s="65">
        <v>0.038141661959999996</v>
      </c>
      <c r="J967" s="65">
        <v>0.8661768815157856</v>
      </c>
      <c r="K967" s="65">
        <v>0.0</v>
      </c>
      <c r="L967" s="65">
        <v>0.324</v>
      </c>
      <c r="N967" s="66">
        <v>2.16</v>
      </c>
      <c r="O967" s="10">
        <f t="shared" si="277"/>
        <v>2.16</v>
      </c>
      <c r="Q967" s="67">
        <v>88.5755</v>
      </c>
      <c r="S967" s="68">
        <v>0.050526304</v>
      </c>
      <c r="T967" s="68">
        <v>0.042458808</v>
      </c>
      <c r="U967" s="68">
        <v>0.0018274576</v>
      </c>
      <c r="V967" s="68">
        <v>0.0062400387</v>
      </c>
      <c r="X967" s="69">
        <v>1.8869762E-4</v>
      </c>
      <c r="Y967" s="88"/>
      <c r="Z967" s="73" t="s">
        <v>1488</v>
      </c>
    </row>
    <row r="968" ht="12.75" customHeight="1">
      <c r="A968" s="1" t="s">
        <v>1489</v>
      </c>
      <c r="B968" s="2" t="s">
        <v>1363</v>
      </c>
      <c r="C968" s="60" t="str">
        <f t="shared" si="274"/>
        <v>A.130.07.125</v>
      </c>
      <c r="D968" s="51" t="s">
        <v>1447</v>
      </c>
      <c r="E968" s="62" t="s">
        <v>45</v>
      </c>
      <c r="F968" s="63" t="str">
        <f t="shared" si="275"/>
        <v>PS (HIPS  high impact polysyrene)</v>
      </c>
      <c r="G968" s="64">
        <v>1.244028113371381</v>
      </c>
      <c r="H968" s="10">
        <f t="shared" si="276"/>
        <v>1.244028113</v>
      </c>
      <c r="I968" s="65">
        <v>0.039238757619999995</v>
      </c>
      <c r="J968" s="65">
        <v>0.8672893557513811</v>
      </c>
      <c r="K968" s="65">
        <v>0.0</v>
      </c>
      <c r="L968" s="65">
        <v>0.3375</v>
      </c>
      <c r="N968" s="66">
        <v>2.2500000000000004</v>
      </c>
      <c r="O968" s="10">
        <f t="shared" si="277"/>
        <v>2.25</v>
      </c>
      <c r="Q968" s="67">
        <v>90.2447</v>
      </c>
      <c r="S968" s="68">
        <v>0.052473536</v>
      </c>
      <c r="T968" s="68">
        <v>0.04423185</v>
      </c>
      <c r="U968" s="68">
        <v>0.0019026871</v>
      </c>
      <c r="V968" s="68">
        <v>0.0063389991</v>
      </c>
      <c r="X968" s="69">
        <v>1.9380554E-4</v>
      </c>
      <c r="Y968" s="88"/>
      <c r="Z968" s="73" t="s">
        <v>1490</v>
      </c>
    </row>
    <row r="969" ht="12.75" customHeight="1">
      <c r="A969" s="1" t="s">
        <v>1491</v>
      </c>
      <c r="B969" s="2" t="s">
        <v>1363</v>
      </c>
      <c r="C969" s="60" t="str">
        <f t="shared" si="274"/>
        <v>A.130.07.126</v>
      </c>
      <c r="D969" s="51" t="s">
        <v>1447</v>
      </c>
      <c r="E969" s="62" t="s">
        <v>45</v>
      </c>
      <c r="F969" s="63" t="str">
        <f t="shared" si="275"/>
        <v>PTFE (Polytetrafluoroethylene) Teflon</v>
      </c>
      <c r="G969" s="64">
        <v>2.80740538271</v>
      </c>
      <c r="H969" s="10">
        <f t="shared" si="276"/>
        <v>2.807405383</v>
      </c>
      <c r="I969" s="65">
        <v>0.15496353429999998</v>
      </c>
      <c r="J969" s="65">
        <v>0.85244184841</v>
      </c>
      <c r="K969" s="65">
        <v>0.0</v>
      </c>
      <c r="L969" s="65">
        <v>1.8</v>
      </c>
      <c r="N969" s="66">
        <v>12.0</v>
      </c>
      <c r="O969" s="10">
        <f t="shared" si="277"/>
        <v>12</v>
      </c>
      <c r="Q969" s="67">
        <v>184.8</v>
      </c>
      <c r="S969" s="68">
        <v>0.31210937</v>
      </c>
      <c r="T969" s="68">
        <v>0.28998718</v>
      </c>
      <c r="U969" s="68">
        <v>0.011286521</v>
      </c>
      <c r="V969" s="68">
        <v>0.010835664</v>
      </c>
      <c r="X969" s="69">
        <v>6.8241829E-4</v>
      </c>
      <c r="Y969" s="88"/>
      <c r="Z969" s="73" t="s">
        <v>1492</v>
      </c>
    </row>
    <row r="970" ht="12.75" customHeight="1">
      <c r="A970" s="1" t="s">
        <v>1493</v>
      </c>
      <c r="B970" s="2" t="s">
        <v>1363</v>
      </c>
      <c r="C970" s="60" t="str">
        <f t="shared" si="274"/>
        <v>A.130.07.127</v>
      </c>
      <c r="D970" s="51" t="s">
        <v>1447</v>
      </c>
      <c r="E970" s="62" t="s">
        <v>45</v>
      </c>
      <c r="F970" s="63" t="str">
        <f t="shared" si="275"/>
        <v>PTT (Polyltrimethylene terephthalate)</v>
      </c>
      <c r="G970" s="64">
        <v>0.9825541634219999</v>
      </c>
      <c r="H970" s="10">
        <f t="shared" si="276"/>
        <v>0.9825541634</v>
      </c>
      <c r="I970" s="65">
        <v>0.02248844139</v>
      </c>
      <c r="J970" s="65">
        <v>0.45654833996199995</v>
      </c>
      <c r="K970" s="65">
        <v>0.0049014420699999995</v>
      </c>
      <c r="L970" s="65">
        <v>0.49861594</v>
      </c>
      <c r="N970" s="66">
        <v>3.3241062666666665</v>
      </c>
      <c r="O970" s="10">
        <f t="shared" si="277"/>
        <v>3.324106267</v>
      </c>
      <c r="Q970" s="67">
        <v>74.167906</v>
      </c>
      <c r="S970" s="68">
        <v>0.063478093</v>
      </c>
      <c r="T970" s="68">
        <v>0.05562563</v>
      </c>
      <c r="U970" s="68">
        <v>0.0026150865</v>
      </c>
      <c r="V970" s="68">
        <v>0.0052373766</v>
      </c>
      <c r="X970" s="69">
        <v>1.9257186E-4</v>
      </c>
      <c r="Y970" s="88"/>
      <c r="Z970" s="73" t="s">
        <v>1494</v>
      </c>
    </row>
    <row r="971" ht="12.75" customHeight="1">
      <c r="A971" s="1" t="s">
        <v>1495</v>
      </c>
      <c r="B971" s="2" t="s">
        <v>1363</v>
      </c>
      <c r="C971" s="60" t="str">
        <f t="shared" si="274"/>
        <v>A.130.07.128</v>
      </c>
      <c r="D971" s="51" t="s">
        <v>1447</v>
      </c>
      <c r="E971" s="62" t="s">
        <v>45</v>
      </c>
      <c r="F971" s="63" t="str">
        <f t="shared" si="275"/>
        <v>PVOH (Polyvinyl alcohol) and PVA (Polyvinyl acetate - wood glue)</v>
      </c>
      <c r="G971" s="64">
        <v>1.40886249259</v>
      </c>
      <c r="H971" s="10">
        <f t="shared" si="276"/>
        <v>1.408862493</v>
      </c>
      <c r="I971" s="65">
        <v>0.10899831302</v>
      </c>
      <c r="J971" s="65">
        <v>0.78093727957</v>
      </c>
      <c r="K971" s="65">
        <v>0.0312409</v>
      </c>
      <c r="L971" s="65">
        <v>0.487686</v>
      </c>
      <c r="N971" s="66">
        <v>3.25124</v>
      </c>
      <c r="O971" s="10">
        <f t="shared" si="277"/>
        <v>3.25124</v>
      </c>
      <c r="Q971" s="67">
        <v>126.5305</v>
      </c>
      <c r="S971" s="68">
        <v>0.12749095</v>
      </c>
      <c r="T971" s="68">
        <v>0.11556345</v>
      </c>
      <c r="U971" s="68">
        <v>0.0043058156</v>
      </c>
      <c r="V971" s="68">
        <v>0.007621678</v>
      </c>
      <c r="X971" s="69">
        <v>3.4692674E-4</v>
      </c>
      <c r="Y971" s="88"/>
      <c r="Z971" s="73" t="s">
        <v>1496</v>
      </c>
    </row>
    <row r="972" ht="12.75" customHeight="1">
      <c r="A972" s="1" t="s">
        <v>1497</v>
      </c>
      <c r="B972" s="2" t="s">
        <v>1363</v>
      </c>
      <c r="C972" s="60" t="str">
        <f t="shared" si="274"/>
        <v>A.130.07.129</v>
      </c>
      <c r="D972" s="51" t="s">
        <v>1447</v>
      </c>
      <c r="E972" s="62" t="s">
        <v>45</v>
      </c>
      <c r="F972" s="63" t="str">
        <f t="shared" si="275"/>
        <v>PVC (Polyvinylchloride emulsion polymerised)</v>
      </c>
      <c r="G972" s="64">
        <v>1.0048100821</v>
      </c>
      <c r="H972" s="10">
        <f t="shared" si="276"/>
        <v>1.004810082</v>
      </c>
      <c r="I972" s="65">
        <v>0.06646470310000001</v>
      </c>
      <c r="J972" s="65">
        <v>0.582845379</v>
      </c>
      <c r="K972" s="65">
        <v>0.0</v>
      </c>
      <c r="L972" s="65">
        <v>0.3555</v>
      </c>
      <c r="N972" s="66">
        <v>2.37</v>
      </c>
      <c r="O972" s="10">
        <f t="shared" si="277"/>
        <v>2.37</v>
      </c>
      <c r="Q972" s="67">
        <v>66.2024</v>
      </c>
      <c r="S972" s="68">
        <v>0.071898595</v>
      </c>
      <c r="T972" s="68">
        <v>0.064998738</v>
      </c>
      <c r="U972" s="68">
        <v>0.0023566752</v>
      </c>
      <c r="V972" s="68">
        <v>0.004543182</v>
      </c>
      <c r="X972" s="69">
        <v>2.129079E-4</v>
      </c>
      <c r="Y972" s="88"/>
      <c r="Z972" s="73" t="s">
        <v>1498</v>
      </c>
    </row>
    <row r="973" ht="12.75" customHeight="1">
      <c r="A973" s="1" t="s">
        <v>1499</v>
      </c>
      <c r="B973" s="2" t="s">
        <v>1363</v>
      </c>
      <c r="C973" s="60" t="str">
        <f t="shared" si="274"/>
        <v>A.130.07.130</v>
      </c>
      <c r="D973" s="51" t="s">
        <v>1447</v>
      </c>
      <c r="E973" s="62" t="s">
        <v>45</v>
      </c>
      <c r="F973" s="63" t="str">
        <f t="shared" si="275"/>
        <v>PVC (Polyvinylchloride suspension polymerised)</v>
      </c>
      <c r="G973" s="64">
        <v>0.956467687</v>
      </c>
      <c r="H973" s="10">
        <f t="shared" si="276"/>
        <v>0.956467687</v>
      </c>
      <c r="I973" s="65">
        <v>0.06259903</v>
      </c>
      <c r="J973" s="65">
        <v>0.560868657</v>
      </c>
      <c r="K973" s="65">
        <v>0.0</v>
      </c>
      <c r="L973" s="65">
        <v>0.333</v>
      </c>
      <c r="N973" s="66">
        <v>2.22</v>
      </c>
      <c r="O973" s="10">
        <f t="shared" si="277"/>
        <v>2.22</v>
      </c>
      <c r="Q973" s="67">
        <v>64.318</v>
      </c>
      <c r="S973" s="68">
        <v>0.065306181</v>
      </c>
      <c r="T973" s="68">
        <v>0.058844926</v>
      </c>
      <c r="U973" s="68">
        <v>0.0021806821</v>
      </c>
      <c r="V973" s="68">
        <v>0.0042805728</v>
      </c>
      <c r="X973" s="69">
        <v>1.9732332E-4</v>
      </c>
      <c r="Y973" s="88"/>
      <c r="Z973" s="73" t="s">
        <v>1498</v>
      </c>
    </row>
    <row r="974" ht="12.75" customHeight="1">
      <c r="A974" s="1" t="s">
        <v>1500</v>
      </c>
      <c r="B974" s="2" t="s">
        <v>1363</v>
      </c>
      <c r="C974" s="60" t="str">
        <f t="shared" si="274"/>
        <v>A.130.07.131</v>
      </c>
      <c r="D974" s="51" t="s">
        <v>1447</v>
      </c>
      <c r="E974" s="62" t="s">
        <v>45</v>
      </c>
      <c r="F974" s="63" t="str">
        <f t="shared" si="275"/>
        <v>PVC (Polyvinylchloride trade mix)</v>
      </c>
      <c r="G974" s="64">
        <v>0.966136158</v>
      </c>
      <c r="H974" s="10">
        <f t="shared" si="276"/>
        <v>0.966136158</v>
      </c>
      <c r="I974" s="65">
        <v>0.0633721646</v>
      </c>
      <c r="J974" s="65">
        <v>0.5652639934</v>
      </c>
      <c r="K974" s="65">
        <v>0.0</v>
      </c>
      <c r="L974" s="65">
        <v>0.3375</v>
      </c>
      <c r="N974" s="66">
        <v>2.2500000000000004</v>
      </c>
      <c r="O974" s="10">
        <f t="shared" si="277"/>
        <v>2.25</v>
      </c>
      <c r="Q974" s="67">
        <v>64.69488</v>
      </c>
      <c r="S974" s="68">
        <v>0.066624664</v>
      </c>
      <c r="T974" s="68">
        <v>0.060075689</v>
      </c>
      <c r="U974" s="68">
        <v>0.0022158807</v>
      </c>
      <c r="V974" s="68">
        <v>0.0043330946</v>
      </c>
      <c r="X974" s="69">
        <v>2.0044024E-4</v>
      </c>
      <c r="Y974" s="88"/>
      <c r="Z974" s="73" t="s">
        <v>1498</v>
      </c>
    </row>
    <row r="975" ht="12.75" customHeight="1">
      <c r="A975" s="1" t="s">
        <v>1501</v>
      </c>
      <c r="B975" s="2" t="s">
        <v>1363</v>
      </c>
      <c r="C975" s="60" t="str">
        <f t="shared" si="274"/>
        <v>A.130.07.132</v>
      </c>
      <c r="D975" s="51" t="s">
        <v>1447</v>
      </c>
      <c r="E975" s="62" t="s">
        <v>45</v>
      </c>
      <c r="F975" s="63" t="str">
        <f t="shared" si="275"/>
        <v>PVDC (Polyvinyliden chloride)</v>
      </c>
      <c r="G975" s="64">
        <v>3.722839283</v>
      </c>
      <c r="H975" s="10">
        <f t="shared" si="276"/>
        <v>3.722839283</v>
      </c>
      <c r="I975" s="65">
        <v>2.094381502</v>
      </c>
      <c r="J975" s="65">
        <v>0.865520898</v>
      </c>
      <c r="K975" s="65">
        <v>0.076386883</v>
      </c>
      <c r="L975" s="65">
        <v>0.68655</v>
      </c>
      <c r="N975" s="66">
        <v>4.577</v>
      </c>
      <c r="O975" s="10">
        <f t="shared" si="277"/>
        <v>4.577</v>
      </c>
      <c r="Q975" s="67">
        <v>91.160165</v>
      </c>
      <c r="S975" s="68">
        <v>0.16269255</v>
      </c>
      <c r="T975" s="68">
        <v>0.15242546</v>
      </c>
      <c r="U975" s="68">
        <v>0.0046357664</v>
      </c>
      <c r="V975" s="68">
        <v>0.0056313248</v>
      </c>
      <c r="X975" s="69">
        <v>0.0030245593</v>
      </c>
      <c r="Y975" s="88"/>
      <c r="Z975" s="73" t="s">
        <v>1502</v>
      </c>
    </row>
    <row r="976" ht="12.75" customHeight="1">
      <c r="A976" s="1" t="s">
        <v>1503</v>
      </c>
      <c r="B976" s="2" t="s">
        <v>1363</v>
      </c>
      <c r="C976" s="60" t="str">
        <f t="shared" si="274"/>
        <v>A.130.07.133</v>
      </c>
      <c r="D976" s="51" t="s">
        <v>1447</v>
      </c>
      <c r="E976" s="62" t="s">
        <v>45</v>
      </c>
      <c r="F976" s="63" t="str">
        <f t="shared" si="275"/>
        <v>PAN Polyacrylonitrile fibres</v>
      </c>
      <c r="G976" s="64">
        <v>1.5190039378995643</v>
      </c>
      <c r="H976" s="10">
        <f t="shared" si="276"/>
        <v>1.519003938</v>
      </c>
      <c r="I976" s="65">
        <v>0.01251495958807</v>
      </c>
      <c r="J976" s="65">
        <v>0.7369889783114943</v>
      </c>
      <c r="K976" s="65">
        <v>0.0</v>
      </c>
      <c r="L976" s="65">
        <v>0.7695</v>
      </c>
      <c r="N976" s="66">
        <v>5.13</v>
      </c>
      <c r="O976" s="10">
        <f t="shared" si="277"/>
        <v>5.13</v>
      </c>
      <c r="Q976" s="67">
        <v>100.338</v>
      </c>
      <c r="S976" s="68">
        <v>0.12358308</v>
      </c>
      <c r="T976" s="68">
        <v>0.11189677</v>
      </c>
      <c r="U976" s="68">
        <v>0.0045221768</v>
      </c>
      <c r="V976" s="68">
        <v>0.0071641332</v>
      </c>
      <c r="X976" s="69">
        <v>2.9727581E-4</v>
      </c>
      <c r="Y976" s="77"/>
      <c r="Z976" s="73" t="s">
        <v>1504</v>
      </c>
    </row>
    <row r="977" ht="12.75" customHeight="1">
      <c r="B977" s="2"/>
      <c r="C977" s="60"/>
      <c r="D977" s="75" t="s">
        <v>1505</v>
      </c>
      <c r="E977" s="62"/>
      <c r="G977" s="10"/>
      <c r="H977" s="10"/>
      <c r="I977" s="10"/>
      <c r="J977" s="10"/>
      <c r="K977" s="10"/>
      <c r="L977" s="10"/>
      <c r="N977" s="10"/>
      <c r="O977" s="10"/>
      <c r="Q977" s="67"/>
      <c r="Y977" s="74"/>
      <c r="Z977" s="72"/>
    </row>
    <row r="978" ht="12.75" customHeight="1">
      <c r="A978" s="1" t="s">
        <v>1506</v>
      </c>
      <c r="B978" s="2" t="s">
        <v>1363</v>
      </c>
      <c r="C978" s="60" t="str">
        <f t="shared" ref="C978:C991" si="278">MID(A978,1,12)</f>
        <v>A.130.09.101</v>
      </c>
      <c r="D978" s="51" t="s">
        <v>1505</v>
      </c>
      <c r="E978" s="62" t="s">
        <v>45</v>
      </c>
      <c r="F978" s="63" t="str">
        <f t="shared" ref="F978:F991" si="279">MID(A978, 21,85)</f>
        <v>Carbon fiber-reinforced plastic</v>
      </c>
      <c r="G978" s="64">
        <v>4.729275511510518</v>
      </c>
      <c r="H978" s="10">
        <f t="shared" ref="H978:H991" si="280">G978</f>
        <v>4.729275512</v>
      </c>
      <c r="I978" s="65">
        <v>0.2734501028</v>
      </c>
      <c r="J978" s="65">
        <v>1.053488107322</v>
      </c>
      <c r="K978" s="65">
        <v>0.020549001388517927</v>
      </c>
      <c r="L978" s="65">
        <v>3.3817883</v>
      </c>
      <c r="N978" s="66">
        <v>22.545255333333337</v>
      </c>
      <c r="O978" s="10">
        <f t="shared" ref="O978:O991" si="281">N978</f>
        <v>22.54525533</v>
      </c>
      <c r="Q978" s="67">
        <v>304.26563</v>
      </c>
      <c r="S978" s="68">
        <v>0.59057195</v>
      </c>
      <c r="T978" s="68">
        <v>0.5481966</v>
      </c>
      <c r="U978" s="68">
        <v>0.020895698</v>
      </c>
      <c r="V978" s="68">
        <v>0.021479651</v>
      </c>
      <c r="X978" s="69">
        <v>0.0012683315</v>
      </c>
      <c r="Y978" s="88"/>
      <c r="Z978" s="72"/>
    </row>
    <row r="979" ht="12.75" customHeight="1">
      <c r="A979" s="1" t="s">
        <v>1507</v>
      </c>
      <c r="B979" s="2" t="s">
        <v>1363</v>
      </c>
      <c r="C979" s="60" t="str">
        <f t="shared" si="278"/>
        <v>A.130.09.102</v>
      </c>
      <c r="D979" s="51" t="s">
        <v>1505</v>
      </c>
      <c r="E979" s="62" t="s">
        <v>45</v>
      </c>
      <c r="F979" s="63" t="str">
        <f t="shared" si="279"/>
        <v>Epoxy resin from Bisphenol A 33% Epichlorohydrin 66%</v>
      </c>
      <c r="G979" s="64">
        <v>1.357061714480705</v>
      </c>
      <c r="H979" s="10">
        <f t="shared" si="280"/>
        <v>1.357061714</v>
      </c>
      <c r="I979" s="65">
        <v>0.026527069</v>
      </c>
      <c r="J979" s="65">
        <v>0.9855447409945</v>
      </c>
      <c r="K979" s="65">
        <v>9.709448620503603E-5</v>
      </c>
      <c r="L979" s="65">
        <v>0.34489281</v>
      </c>
      <c r="N979" s="66">
        <v>2.2992854</v>
      </c>
      <c r="O979" s="10">
        <f t="shared" si="281"/>
        <v>2.2992854</v>
      </c>
      <c r="Q979" s="67">
        <v>71.290482</v>
      </c>
      <c r="S979" s="68">
        <v>0.060603962</v>
      </c>
      <c r="T979" s="68">
        <v>0.053712167</v>
      </c>
      <c r="U979" s="68">
        <v>0.0020900346</v>
      </c>
      <c r="V979" s="68">
        <v>0.0048017597</v>
      </c>
      <c r="X979" s="69">
        <v>2.1654895E-4</v>
      </c>
      <c r="Y979" s="88"/>
      <c r="Z979" s="73" t="s">
        <v>1508</v>
      </c>
    </row>
    <row r="980" ht="12.75" customHeight="1">
      <c r="A980" s="1" t="s">
        <v>1509</v>
      </c>
      <c r="B980" s="2" t="s">
        <v>1363</v>
      </c>
      <c r="C980" s="60" t="str">
        <f t="shared" si="278"/>
        <v>A.130.09.103</v>
      </c>
      <c r="D980" s="51" t="s">
        <v>1505</v>
      </c>
      <c r="E980" s="62" t="s">
        <v>45</v>
      </c>
      <c r="F980" s="63" t="str">
        <f t="shared" si="279"/>
        <v>MF (melamine formaldehyde resin)</v>
      </c>
      <c r="G980" s="64">
        <v>0.9625544167210001</v>
      </c>
      <c r="H980" s="10">
        <f t="shared" si="280"/>
        <v>0.9625544167</v>
      </c>
      <c r="I980" s="65">
        <v>0.024212962921000003</v>
      </c>
      <c r="J980" s="65">
        <v>0.6727973538</v>
      </c>
      <c r="K980" s="65">
        <v>0.0</v>
      </c>
      <c r="L980" s="65">
        <v>0.2655441</v>
      </c>
      <c r="N980" s="66">
        <v>1.770294</v>
      </c>
      <c r="O980" s="10">
        <f t="shared" si="281"/>
        <v>1.770294</v>
      </c>
      <c r="Q980" s="67">
        <v>48.4836</v>
      </c>
      <c r="S980" s="68">
        <v>0.089555628</v>
      </c>
      <c r="T980" s="68">
        <v>0.083770825</v>
      </c>
      <c r="U980" s="68">
        <v>0.0026668479</v>
      </c>
      <c r="V980" s="68">
        <v>0.0031179552</v>
      </c>
      <c r="X980" s="69">
        <v>1.8219199E-4</v>
      </c>
      <c r="Y980" s="88"/>
      <c r="Z980" s="73" t="s">
        <v>1510</v>
      </c>
    </row>
    <row r="981" ht="12.75" customHeight="1">
      <c r="A981" s="1" t="s">
        <v>1511</v>
      </c>
      <c r="B981" s="2" t="s">
        <v>1363</v>
      </c>
      <c r="C981" s="60" t="str">
        <f t="shared" si="278"/>
        <v>A.130.09.104</v>
      </c>
      <c r="D981" s="51" t="s">
        <v>1505</v>
      </c>
      <c r="E981" s="62" t="s">
        <v>45</v>
      </c>
      <c r="F981" s="63" t="str">
        <f t="shared" si="279"/>
        <v>PF (phenol formaldehyde resin)</v>
      </c>
      <c r="G981" s="64">
        <v>0.9341878963829999</v>
      </c>
      <c r="H981" s="10">
        <f t="shared" si="280"/>
        <v>0.9341878964</v>
      </c>
      <c r="I981" s="65">
        <v>0.043887244819</v>
      </c>
      <c r="J981" s="65">
        <v>0.686843351564</v>
      </c>
      <c r="K981" s="65">
        <v>0.0</v>
      </c>
      <c r="L981" s="65">
        <v>0.2034573</v>
      </c>
      <c r="N981" s="66">
        <v>1.3563820000000002</v>
      </c>
      <c r="O981" s="10">
        <f t="shared" si="281"/>
        <v>1.356382</v>
      </c>
      <c r="Q981" s="67">
        <v>32.3806</v>
      </c>
      <c r="S981" s="68">
        <v>0.06343722</v>
      </c>
      <c r="T981" s="68">
        <v>0.059213319</v>
      </c>
      <c r="U981" s="68">
        <v>0.0019169737</v>
      </c>
      <c r="V981" s="68">
        <v>0.0023069269</v>
      </c>
      <c r="X981" s="69">
        <v>1.2471936E-4</v>
      </c>
      <c r="Y981" s="88"/>
      <c r="Z981" s="73" t="s">
        <v>1512</v>
      </c>
    </row>
    <row r="982" ht="12.75" customHeight="1">
      <c r="A982" s="1" t="s">
        <v>1513</v>
      </c>
      <c r="B982" s="2" t="s">
        <v>1363</v>
      </c>
      <c r="C982" s="60" t="str">
        <f t="shared" si="278"/>
        <v>A.130.09.105</v>
      </c>
      <c r="D982" s="51" t="s">
        <v>1505</v>
      </c>
      <c r="E982" s="62" t="s">
        <v>45</v>
      </c>
      <c r="F982" s="63" t="str">
        <f t="shared" si="279"/>
        <v>Phenolics (Bakelite)</v>
      </c>
      <c r="G982" s="64">
        <v>0.9198657332325367</v>
      </c>
      <c r="H982" s="10">
        <f t="shared" si="280"/>
        <v>0.9198657332</v>
      </c>
      <c r="I982" s="65">
        <v>0.012140264641000001</v>
      </c>
      <c r="J982" s="65">
        <v>0.6621283695428</v>
      </c>
      <c r="K982" s="65">
        <v>0.0030498090487367656</v>
      </c>
      <c r="L982" s="65">
        <v>0.24254729</v>
      </c>
      <c r="N982" s="66">
        <v>1.6169819333333333</v>
      </c>
      <c r="O982" s="10">
        <f t="shared" si="281"/>
        <v>1.616981933</v>
      </c>
      <c r="Q982" s="67">
        <v>43.28345</v>
      </c>
      <c r="S982" s="68">
        <v>0.039061645</v>
      </c>
      <c r="T982" s="68">
        <v>0.03468745</v>
      </c>
      <c r="U982" s="68">
        <v>0.0014243913</v>
      </c>
      <c r="V982" s="68">
        <v>0.0029498037</v>
      </c>
      <c r="X982" s="69">
        <v>1.0827849E-4</v>
      </c>
      <c r="Y982" s="88"/>
      <c r="Z982" s="73" t="s">
        <v>1514</v>
      </c>
    </row>
    <row r="983" ht="12.75" customHeight="1">
      <c r="A983" s="1" t="s">
        <v>1515</v>
      </c>
      <c r="B983" s="2" t="s">
        <v>1363</v>
      </c>
      <c r="C983" s="60" t="str">
        <f t="shared" si="278"/>
        <v>A.130.09.106</v>
      </c>
      <c r="D983" s="51" t="s">
        <v>1505</v>
      </c>
      <c r="E983" s="62" t="s">
        <v>45</v>
      </c>
      <c r="F983" s="63" t="str">
        <f t="shared" si="279"/>
        <v>Polyester (unsaturated resin)</v>
      </c>
      <c r="G983" s="64">
        <v>1.1018569552659827</v>
      </c>
      <c r="H983" s="10">
        <f t="shared" si="280"/>
        <v>1.101856955</v>
      </c>
      <c r="I983" s="65">
        <v>0.02405636586</v>
      </c>
      <c r="J983" s="65">
        <v>0.793123411415</v>
      </c>
      <c r="K983" s="65">
        <v>0.00772312799098271</v>
      </c>
      <c r="L983" s="65">
        <v>0.27695405</v>
      </c>
      <c r="N983" s="66">
        <v>1.8463603333333334</v>
      </c>
      <c r="O983" s="10">
        <f t="shared" si="281"/>
        <v>1.846360333</v>
      </c>
      <c r="Q983" s="67">
        <v>53.65723</v>
      </c>
      <c r="S983" s="68">
        <v>0.040559549</v>
      </c>
      <c r="T983" s="68">
        <v>0.035405888</v>
      </c>
      <c r="U983" s="68">
        <v>0.0015499548</v>
      </c>
      <c r="V983" s="68">
        <v>0.0036037063</v>
      </c>
      <c r="X983" s="69">
        <v>1.3188957E-4</v>
      </c>
      <c r="Y983" s="88"/>
      <c r="Z983" s="73" t="s">
        <v>1516</v>
      </c>
    </row>
    <row r="984" ht="12.75" customHeight="1">
      <c r="A984" s="1" t="s">
        <v>1517</v>
      </c>
      <c r="B984" s="2" t="s">
        <v>1363</v>
      </c>
      <c r="C984" s="60" t="str">
        <f t="shared" si="278"/>
        <v>A.130.09.107</v>
      </c>
      <c r="D984" s="51" t="s">
        <v>1505</v>
      </c>
      <c r="E984" s="62" t="s">
        <v>45</v>
      </c>
      <c r="F984" s="63" t="str">
        <f t="shared" si="279"/>
        <v>PUR flex. block foam 34% TDI  66% Polyols</v>
      </c>
      <c r="G984" s="64">
        <v>1.31876460414</v>
      </c>
      <c r="H984" s="10">
        <f t="shared" si="280"/>
        <v>1.318764604</v>
      </c>
      <c r="I984" s="65">
        <v>0.048575342</v>
      </c>
      <c r="J984" s="65">
        <v>0.7343196529</v>
      </c>
      <c r="K984" s="65">
        <v>0.01601575924</v>
      </c>
      <c r="L984" s="65">
        <v>0.51985385</v>
      </c>
      <c r="N984" s="66">
        <v>3.465692333333333</v>
      </c>
      <c r="O984" s="10">
        <f t="shared" si="281"/>
        <v>3.465692333</v>
      </c>
      <c r="Q984" s="67">
        <v>103.72789</v>
      </c>
      <c r="S984" s="68">
        <v>0.076299117</v>
      </c>
      <c r="T984" s="68">
        <v>0.06704882</v>
      </c>
      <c r="U984" s="68">
        <v>0.0028918642</v>
      </c>
      <c r="V984" s="68">
        <v>0.0063584328</v>
      </c>
      <c r="X984" s="69">
        <v>2.7307476E-4</v>
      </c>
      <c r="Y984" s="88"/>
      <c r="Z984" s="73" t="s">
        <v>1518</v>
      </c>
    </row>
    <row r="985" ht="12.75" customHeight="1">
      <c r="A985" s="1" t="s">
        <v>1519</v>
      </c>
      <c r="B985" s="2" t="s">
        <v>1363</v>
      </c>
      <c r="C985" s="60" t="str">
        <f t="shared" si="278"/>
        <v>A.130.09.108</v>
      </c>
      <c r="D985" s="51" t="s">
        <v>1505</v>
      </c>
      <c r="E985" s="62" t="s">
        <v>45</v>
      </c>
      <c r="F985" s="63" t="str">
        <f t="shared" si="279"/>
        <v>PUR flex. moulded  TDI with flame retardant</v>
      </c>
      <c r="G985" s="64">
        <v>1.166434201163679</v>
      </c>
      <c r="H985" s="10">
        <f t="shared" si="280"/>
        <v>1.166434201</v>
      </c>
      <c r="I985" s="65">
        <v>0.00283348820856</v>
      </c>
      <c r="J985" s="65">
        <v>0.6295207429551191</v>
      </c>
      <c r="K985" s="65">
        <v>0.0</v>
      </c>
      <c r="L985" s="65">
        <v>0.53407997</v>
      </c>
      <c r="N985" s="66">
        <v>3.560533133333333</v>
      </c>
      <c r="O985" s="10">
        <f t="shared" si="281"/>
        <v>3.560533133</v>
      </c>
      <c r="Q985" s="67">
        <v>99.515</v>
      </c>
      <c r="S985" s="68">
        <v>0.087418394</v>
      </c>
      <c r="T985" s="68">
        <v>0.077570544</v>
      </c>
      <c r="U985" s="68">
        <v>0.0031216136</v>
      </c>
      <c r="V985" s="68">
        <v>0.006726237</v>
      </c>
      <c r="X985" s="69">
        <v>2.3558175E-4</v>
      </c>
      <c r="Y985" s="88"/>
      <c r="Z985" s="73" t="s">
        <v>1518</v>
      </c>
    </row>
    <row r="986" ht="12.75" customHeight="1">
      <c r="A986" s="1" t="s">
        <v>1520</v>
      </c>
      <c r="B986" s="2" t="s">
        <v>1363</v>
      </c>
      <c r="C986" s="60" t="str">
        <f t="shared" si="278"/>
        <v>A.130.09.109</v>
      </c>
      <c r="D986" s="51" t="s">
        <v>1505</v>
      </c>
      <c r="E986" s="62" t="s">
        <v>45</v>
      </c>
      <c r="F986" s="63" t="str">
        <f t="shared" si="279"/>
        <v>PUR flex. moulded 29% TDI 71% Polyols</v>
      </c>
      <c r="G986" s="64">
        <v>1.37051606646</v>
      </c>
      <c r="H986" s="10">
        <f t="shared" si="280"/>
        <v>1.370516066</v>
      </c>
      <c r="I986" s="65">
        <v>0.0497103228</v>
      </c>
      <c r="J986" s="65">
        <v>0.7413713252999999</v>
      </c>
      <c r="K986" s="65">
        <v>0.024023638360000002</v>
      </c>
      <c r="L986" s="65">
        <v>0.55541078</v>
      </c>
      <c r="N986" s="66">
        <v>3.7027385333333336</v>
      </c>
      <c r="O986" s="10">
        <f t="shared" si="281"/>
        <v>3.702738533</v>
      </c>
      <c r="Q986" s="67">
        <v>109.07394</v>
      </c>
      <c r="S986" s="68">
        <v>0.08099975</v>
      </c>
      <c r="T986" s="68">
        <v>0.071453805</v>
      </c>
      <c r="U986" s="68">
        <v>0.0030863032</v>
      </c>
      <c r="V986" s="68">
        <v>0.0064596415</v>
      </c>
      <c r="X986" s="69">
        <v>2.8477862E-4</v>
      </c>
      <c r="Y986" s="88"/>
      <c r="Z986" s="73" t="s">
        <v>1518</v>
      </c>
    </row>
    <row r="987" ht="12.75" customHeight="1">
      <c r="A987" s="1" t="s">
        <v>1521</v>
      </c>
      <c r="B987" s="2" t="s">
        <v>1363</v>
      </c>
      <c r="C987" s="60" t="str">
        <f t="shared" si="278"/>
        <v>A.130.09.110</v>
      </c>
      <c r="D987" s="51" t="s">
        <v>1505</v>
      </c>
      <c r="E987" s="62" t="s">
        <v>45</v>
      </c>
      <c r="F987" s="63" t="str">
        <f t="shared" si="279"/>
        <v>PUR flex. moulded. 36% MDI 64% Polyols</v>
      </c>
      <c r="G987" s="64">
        <v>1.33648291988274</v>
      </c>
      <c r="H987" s="10">
        <f t="shared" si="280"/>
        <v>1.33648292</v>
      </c>
      <c r="I987" s="65">
        <v>0.0343277522</v>
      </c>
      <c r="J987" s="65">
        <v>0.7404582493227401</v>
      </c>
      <c r="K987" s="65">
        <v>0.024023638360000002</v>
      </c>
      <c r="L987" s="65">
        <v>0.53767328</v>
      </c>
      <c r="N987" s="66">
        <v>3.584488533333334</v>
      </c>
      <c r="O987" s="10">
        <f t="shared" si="281"/>
        <v>3.584488533</v>
      </c>
      <c r="Q987" s="67">
        <v>109.66981</v>
      </c>
      <c r="S987" s="68">
        <v>0.078701505</v>
      </c>
      <c r="T987" s="68">
        <v>0.069163354</v>
      </c>
      <c r="U987" s="68">
        <v>0.0029871739</v>
      </c>
      <c r="V987" s="68">
        <v>0.006550977</v>
      </c>
      <c r="X987" s="69">
        <v>2.6242239E-4</v>
      </c>
      <c r="Y987" s="88"/>
      <c r="Z987" s="73" t="s">
        <v>1518</v>
      </c>
    </row>
    <row r="988" ht="12.75" customHeight="1">
      <c r="A988" s="1" t="s">
        <v>1522</v>
      </c>
      <c r="B988" s="2" t="s">
        <v>1363</v>
      </c>
      <c r="C988" s="60" t="str">
        <f t="shared" si="278"/>
        <v>A.130.09.111</v>
      </c>
      <c r="D988" s="51" t="s">
        <v>1505</v>
      </c>
      <c r="E988" s="62" t="s">
        <v>45</v>
      </c>
      <c r="F988" s="63" t="str">
        <f t="shared" si="279"/>
        <v>PUR rigid foam 65% MDI 35% Polyols</v>
      </c>
      <c r="G988" s="64">
        <v>1.2787807531889999</v>
      </c>
      <c r="H988" s="10">
        <f t="shared" si="280"/>
        <v>1.278780753</v>
      </c>
      <c r="I988" s="65">
        <v>0.0248164861</v>
      </c>
      <c r="J988" s="65">
        <v>0.723653464129</v>
      </c>
      <c r="K988" s="65">
        <v>0.01651818296</v>
      </c>
      <c r="L988" s="65">
        <v>0.51379262</v>
      </c>
      <c r="N988" s="66">
        <v>3.4252841333333337</v>
      </c>
      <c r="O988" s="10">
        <f t="shared" si="281"/>
        <v>3.425284133</v>
      </c>
      <c r="Q988" s="67">
        <v>113.22292</v>
      </c>
      <c r="S988" s="68">
        <v>0.076383965</v>
      </c>
      <c r="T988" s="68">
        <v>0.066302359</v>
      </c>
      <c r="U988" s="68">
        <v>0.0028635833</v>
      </c>
      <c r="V988" s="68">
        <v>0.0072180228</v>
      </c>
      <c r="X988" s="69">
        <v>2.5493419E-4</v>
      </c>
      <c r="Y988" s="88"/>
      <c r="Z988" s="73" t="s">
        <v>1518</v>
      </c>
    </row>
    <row r="989" ht="12.75" customHeight="1">
      <c r="A989" s="1" t="s">
        <v>1523</v>
      </c>
      <c r="B989" s="2" t="s">
        <v>1363</v>
      </c>
      <c r="C989" s="60" t="str">
        <f t="shared" si="278"/>
        <v>A.130.09.112</v>
      </c>
      <c r="D989" s="51" t="s">
        <v>1505</v>
      </c>
      <c r="E989" s="62" t="s">
        <v>45</v>
      </c>
      <c r="F989" s="63" t="str">
        <f t="shared" si="279"/>
        <v>Sheet molding compound 25% glass fibre</v>
      </c>
      <c r="G989" s="64">
        <v>0.508047182279918</v>
      </c>
      <c r="H989" s="10">
        <f t="shared" si="280"/>
        <v>0.5080471823</v>
      </c>
      <c r="I989" s="65">
        <v>0.02093063626</v>
      </c>
      <c r="J989" s="65">
        <v>0.2377213835414</v>
      </c>
      <c r="K989" s="65">
        <v>0.001887842478517926</v>
      </c>
      <c r="L989" s="65">
        <v>0.24750732</v>
      </c>
      <c r="N989" s="66">
        <v>1.6500488</v>
      </c>
      <c r="O989" s="10">
        <f t="shared" si="281"/>
        <v>1.6500488</v>
      </c>
      <c r="Q989" s="67">
        <v>31.290921</v>
      </c>
      <c r="S989" s="68">
        <v>0.033541961</v>
      </c>
      <c r="T989" s="68">
        <v>0.030041752</v>
      </c>
      <c r="U989" s="68">
        <v>0.0014463668</v>
      </c>
      <c r="V989" s="68">
        <v>0.002053843</v>
      </c>
      <c r="X989" s="69">
        <v>9.9138639E-5</v>
      </c>
      <c r="Y989" s="88"/>
      <c r="Z989" s="48"/>
    </row>
    <row r="990" ht="12.75" customHeight="1">
      <c r="A990" s="1" t="s">
        <v>1524</v>
      </c>
      <c r="B990" s="2" t="s">
        <v>1363</v>
      </c>
      <c r="C990" s="60" t="str">
        <f t="shared" si="278"/>
        <v>A.130.09.113</v>
      </c>
      <c r="D990" s="51" t="s">
        <v>1505</v>
      </c>
      <c r="E990" s="62" t="s">
        <v>45</v>
      </c>
      <c r="F990" s="63" t="str">
        <f t="shared" si="279"/>
        <v>Sheet molding compound 50% glass fibre</v>
      </c>
      <c r="G990" s="64">
        <v>0.5256639550600983</v>
      </c>
      <c r="H990" s="10">
        <f t="shared" si="280"/>
        <v>0.5256639551</v>
      </c>
      <c r="I990" s="65">
        <v>0.02838369902</v>
      </c>
      <c r="J990" s="65">
        <v>0.22672520303399998</v>
      </c>
      <c r="K990" s="65">
        <v>0.0013489530060982712</v>
      </c>
      <c r="L990" s="65">
        <v>0.2692061</v>
      </c>
      <c r="N990" s="66">
        <v>1.7947073333333334</v>
      </c>
      <c r="O990" s="10">
        <f t="shared" si="281"/>
        <v>1.794707333</v>
      </c>
      <c r="Q990" s="67">
        <v>34.392359</v>
      </c>
      <c r="S990" s="68">
        <v>0.03727616</v>
      </c>
      <c r="T990" s="68">
        <v>0.033459301</v>
      </c>
      <c r="U990" s="68">
        <v>0.0016751496</v>
      </c>
      <c r="V990" s="68">
        <v>0.0021417092</v>
      </c>
      <c r="X990" s="69">
        <v>1.1537183E-4</v>
      </c>
      <c r="Y990" s="88"/>
      <c r="Z990" s="48"/>
    </row>
    <row r="991" ht="12.75" customHeight="1">
      <c r="A991" s="1" t="s">
        <v>1525</v>
      </c>
      <c r="B991" s="2" t="s">
        <v>1363</v>
      </c>
      <c r="C991" s="60" t="str">
        <f t="shared" si="278"/>
        <v>A.130.09.114</v>
      </c>
      <c r="D991" s="51" t="s">
        <v>1505</v>
      </c>
      <c r="E991" s="62" t="s">
        <v>45</v>
      </c>
      <c r="F991" s="63" t="str">
        <f t="shared" si="279"/>
        <v>UF (urea-formaldehyde resin)</v>
      </c>
      <c r="G991" s="64">
        <v>0.9067052648048999</v>
      </c>
      <c r="H991" s="10">
        <f t="shared" si="280"/>
        <v>0.9067052648</v>
      </c>
      <c r="I991" s="65">
        <v>0.048994990758000005</v>
      </c>
      <c r="J991" s="65">
        <v>0.6171048740469</v>
      </c>
      <c r="K991" s="65">
        <v>0.0</v>
      </c>
      <c r="L991" s="65">
        <v>0.2406054</v>
      </c>
      <c r="N991" s="66">
        <v>1.604036</v>
      </c>
      <c r="O991" s="10">
        <f t="shared" si="281"/>
        <v>1.604036</v>
      </c>
      <c r="Q991" s="67">
        <v>24.0908</v>
      </c>
      <c r="S991" s="68">
        <v>0.081158138</v>
      </c>
      <c r="T991" s="68">
        <v>0.076969288</v>
      </c>
      <c r="U991" s="68">
        <v>0.0024725219</v>
      </c>
      <c r="V991" s="68">
        <v>0.0017163275</v>
      </c>
      <c r="X991" s="69">
        <v>1.4747187E-4</v>
      </c>
      <c r="Y991" s="88"/>
      <c r="Z991" s="73" t="s">
        <v>1526</v>
      </c>
    </row>
    <row r="992" ht="12.75" customHeight="1">
      <c r="B992" s="2"/>
      <c r="C992" s="60"/>
      <c r="D992" s="75" t="s">
        <v>1527</v>
      </c>
      <c r="E992" s="62"/>
      <c r="G992" s="10"/>
      <c r="H992" s="10"/>
      <c r="I992" s="10"/>
      <c r="J992" s="10"/>
      <c r="K992" s="10"/>
      <c r="L992" s="10"/>
      <c r="N992" s="10"/>
      <c r="O992" s="10"/>
      <c r="Q992" s="67"/>
      <c r="Y992" s="89"/>
      <c r="Z992" s="48"/>
    </row>
    <row r="993" ht="12.75" customHeight="1">
      <c r="A993" s="1" t="s">
        <v>1528</v>
      </c>
      <c r="B993" s="2" t="s">
        <v>1363</v>
      </c>
      <c r="C993" s="60" t="str">
        <f t="shared" ref="C993:C1013" si="282">MID(A993,1,12)</f>
        <v>A.130.11.101</v>
      </c>
      <c r="D993" s="51" t="s">
        <v>1529</v>
      </c>
      <c r="E993" s="62" t="s">
        <v>45</v>
      </c>
      <c r="F993" s="63" t="str">
        <f t="shared" ref="F993:F1013" si="283">MID(A993, 21,85)</f>
        <v>Bisphenol A</v>
      </c>
      <c r="G993" s="64">
        <v>1.0983468038775441</v>
      </c>
      <c r="H993" s="10">
        <f t="shared" ref="H993:H1013" si="284">G993</f>
        <v>1.098346804</v>
      </c>
      <c r="I993" s="65">
        <v>0.00662809074322</v>
      </c>
      <c r="J993" s="65">
        <v>0.7518983319611999</v>
      </c>
      <c r="K993" s="65">
        <v>2.674511731241902E-4</v>
      </c>
      <c r="L993" s="65">
        <v>0.33955293</v>
      </c>
      <c r="N993" s="66">
        <v>2.2636862</v>
      </c>
      <c r="O993" s="10">
        <f t="shared" ref="O993:O1013" si="285">N993</f>
        <v>2.2636862</v>
      </c>
      <c r="Q993" s="67">
        <v>82.651573</v>
      </c>
      <c r="S993" s="68">
        <v>0.052334773</v>
      </c>
      <c r="T993" s="68">
        <v>0.044529326</v>
      </c>
      <c r="U993" s="68">
        <v>0.0019044596</v>
      </c>
      <c r="V993" s="68">
        <v>0.0059009868</v>
      </c>
      <c r="X993" s="69">
        <v>1.7392793E-4</v>
      </c>
      <c r="Y993" s="88"/>
      <c r="Z993" s="73" t="s">
        <v>1530</v>
      </c>
    </row>
    <row r="994" ht="12.75" customHeight="1">
      <c r="A994" s="1" t="s">
        <v>1531</v>
      </c>
      <c r="B994" s="2" t="s">
        <v>1363</v>
      </c>
      <c r="C994" s="60" t="str">
        <f t="shared" si="282"/>
        <v>A.130.11.102</v>
      </c>
      <c r="D994" s="51" t="s">
        <v>1529</v>
      </c>
      <c r="E994" s="62" t="s">
        <v>45</v>
      </c>
      <c r="F994" s="63" t="str">
        <f t="shared" si="283"/>
        <v>DEHP (diisooctyl phthalate)</v>
      </c>
      <c r="G994" s="64">
        <v>1.075086330608624</v>
      </c>
      <c r="H994" s="10">
        <f t="shared" si="284"/>
        <v>1.075086331</v>
      </c>
      <c r="I994" s="65">
        <v>0.013500360350820001</v>
      </c>
      <c r="J994" s="65">
        <v>0.7315859702578039</v>
      </c>
      <c r="K994" s="65">
        <v>0.0</v>
      </c>
      <c r="L994" s="65">
        <v>0.33</v>
      </c>
      <c r="N994" s="66">
        <v>2.2</v>
      </c>
      <c r="O994" s="10">
        <f t="shared" si="285"/>
        <v>2.2</v>
      </c>
      <c r="Q994" s="67">
        <v>87.5122</v>
      </c>
      <c r="S994" s="68">
        <v>0.056086163</v>
      </c>
      <c r="T994" s="68">
        <v>0.049239844</v>
      </c>
      <c r="U994" s="68">
        <v>0.0019788381</v>
      </c>
      <c r="V994" s="68">
        <v>0.0048674808</v>
      </c>
      <c r="X994" s="69">
        <v>1.7754779E-4</v>
      </c>
      <c r="Y994" s="88"/>
      <c r="Z994" s="73" t="s">
        <v>1532</v>
      </c>
    </row>
    <row r="995" ht="12.75" customHeight="1">
      <c r="A995" s="1" t="s">
        <v>1533</v>
      </c>
      <c r="B995" s="2" t="s">
        <v>1363</v>
      </c>
      <c r="C995" s="60" t="str">
        <f t="shared" si="282"/>
        <v>A.130.11.103</v>
      </c>
      <c r="D995" s="51" t="s">
        <v>1529</v>
      </c>
      <c r="E995" s="62" t="s">
        <v>45</v>
      </c>
      <c r="F995" s="63" t="str">
        <f t="shared" si="283"/>
        <v>DINP (diisononyl phthalate)</v>
      </c>
      <c r="G995" s="64">
        <v>1.075086330608624</v>
      </c>
      <c r="H995" s="10">
        <f t="shared" si="284"/>
        <v>1.075086331</v>
      </c>
      <c r="I995" s="65">
        <v>0.013500360350820001</v>
      </c>
      <c r="J995" s="65">
        <v>0.7315859702578039</v>
      </c>
      <c r="K995" s="65">
        <v>0.0</v>
      </c>
      <c r="L995" s="65">
        <v>0.33</v>
      </c>
      <c r="N995" s="66">
        <v>2.2</v>
      </c>
      <c r="O995" s="10">
        <f t="shared" si="285"/>
        <v>2.2</v>
      </c>
      <c r="Q995" s="67">
        <v>87.5122</v>
      </c>
      <c r="S995" s="68">
        <v>0.056086163</v>
      </c>
      <c r="T995" s="68">
        <v>0.049239844</v>
      </c>
      <c r="U995" s="68">
        <v>0.0019788381</v>
      </c>
      <c r="V995" s="68">
        <v>0.0048674808</v>
      </c>
      <c r="X995" s="69">
        <v>1.7754779E-4</v>
      </c>
      <c r="Y995" s="88"/>
      <c r="Z995" s="73" t="s">
        <v>1534</v>
      </c>
    </row>
    <row r="996" ht="12.75" customHeight="1">
      <c r="A996" s="1" t="s">
        <v>1535</v>
      </c>
      <c r="B996" s="2" t="s">
        <v>1363</v>
      </c>
      <c r="C996" s="60" t="str">
        <f t="shared" si="282"/>
        <v>A.130.11.104</v>
      </c>
      <c r="D996" s="51" t="s">
        <v>1529</v>
      </c>
      <c r="E996" s="62" t="s">
        <v>45</v>
      </c>
      <c r="F996" s="63" t="str">
        <f t="shared" si="283"/>
        <v>Epichlorohydrin</v>
      </c>
      <c r="G996" s="64">
        <v>1.3198706916</v>
      </c>
      <c r="H996" s="10">
        <f t="shared" si="284"/>
        <v>1.319870692</v>
      </c>
      <c r="I996" s="65">
        <v>0.033220963699999995</v>
      </c>
      <c r="J996" s="65">
        <v>0.9814147279000001</v>
      </c>
      <c r="K996" s="65">
        <v>0.0</v>
      </c>
      <c r="L996" s="65">
        <v>0.305235</v>
      </c>
      <c r="N996" s="66">
        <v>2.0349</v>
      </c>
      <c r="O996" s="10">
        <f t="shared" si="285"/>
        <v>2.0349</v>
      </c>
      <c r="Q996" s="67">
        <v>56.86065</v>
      </c>
      <c r="S996" s="68">
        <v>0.057300797</v>
      </c>
      <c r="T996" s="68">
        <v>0.05171164</v>
      </c>
      <c r="U996" s="68">
        <v>0.0019263178</v>
      </c>
      <c r="V996" s="68">
        <v>0.0036628393</v>
      </c>
      <c r="X996" s="69">
        <v>2.11283E-4</v>
      </c>
      <c r="Y996" s="88"/>
      <c r="Z996" s="73" t="s">
        <v>1536</v>
      </c>
    </row>
    <row r="997" ht="12.75" customHeight="1">
      <c r="A997" s="1" t="s">
        <v>1537</v>
      </c>
      <c r="B997" s="2" t="s">
        <v>1363</v>
      </c>
      <c r="C997" s="60" t="str">
        <f t="shared" si="282"/>
        <v>A.130.11.105</v>
      </c>
      <c r="D997" s="51" t="s">
        <v>1529</v>
      </c>
      <c r="E997" s="62" t="s">
        <v>45</v>
      </c>
      <c r="F997" s="63" t="str">
        <f t="shared" si="283"/>
        <v>EVOH (Ethylene vinyl alcohol) film barrier of gasses</v>
      </c>
      <c r="G997" s="64">
        <v>1.4865550829494194</v>
      </c>
      <c r="H997" s="10">
        <f t="shared" si="284"/>
        <v>1.486555083</v>
      </c>
      <c r="I997" s="65">
        <v>0.03593400907</v>
      </c>
      <c r="J997" s="65">
        <v>0.656716252861</v>
      </c>
      <c r="K997" s="65">
        <v>0.009272661018419354</v>
      </c>
      <c r="L997" s="65">
        <v>0.78463216</v>
      </c>
      <c r="N997" s="66">
        <v>5.230881066666667</v>
      </c>
      <c r="O997" s="10">
        <f t="shared" si="285"/>
        <v>5.230881067</v>
      </c>
      <c r="Q997" s="67">
        <v>113.09761</v>
      </c>
      <c r="S997" s="68">
        <v>0.099695365</v>
      </c>
      <c r="T997" s="68">
        <v>0.087595601</v>
      </c>
      <c r="U997" s="68">
        <v>0.0041172651</v>
      </c>
      <c r="V997" s="68">
        <v>0.0079824989</v>
      </c>
      <c r="X997" s="69">
        <v>2.9881376E-4</v>
      </c>
      <c r="Y997" s="88"/>
      <c r="Z997" s="73" t="s">
        <v>1538</v>
      </c>
    </row>
    <row r="998" ht="12.75" customHeight="1">
      <c r="A998" s="1" t="s">
        <v>1539</v>
      </c>
      <c r="B998" s="2" t="s">
        <v>1363</v>
      </c>
      <c r="C998" s="60" t="str">
        <f t="shared" si="282"/>
        <v>A.130.11.106</v>
      </c>
      <c r="D998" s="51" t="s">
        <v>1529</v>
      </c>
      <c r="E998" s="62" t="s">
        <v>45</v>
      </c>
      <c r="F998" s="63" t="str">
        <f t="shared" si="283"/>
        <v>Formaldehyde</v>
      </c>
      <c r="G998" s="64">
        <v>0.5678808485587793</v>
      </c>
      <c r="H998" s="10">
        <f t="shared" si="284"/>
        <v>0.5678808486</v>
      </c>
      <c r="I998" s="65">
        <v>0.016742365609999997</v>
      </c>
      <c r="J998" s="65">
        <v>0.38963798576639996</v>
      </c>
      <c r="K998" s="65">
        <v>0.014248327182379335</v>
      </c>
      <c r="L998" s="65">
        <v>0.14725217</v>
      </c>
      <c r="N998" s="66">
        <v>0.9816811333333333</v>
      </c>
      <c r="O998" s="10">
        <f t="shared" si="285"/>
        <v>0.9816811333</v>
      </c>
      <c r="Q998" s="67">
        <v>59.72776</v>
      </c>
      <c r="S998" s="68">
        <v>0.023421205</v>
      </c>
      <c r="T998" s="68">
        <v>0.018720372</v>
      </c>
      <c r="U998" s="68">
        <v>8.2415312E-4</v>
      </c>
      <c r="V998" s="68">
        <v>0.0038766804</v>
      </c>
      <c r="X998" s="69">
        <v>1.060703E-4</v>
      </c>
      <c r="Y998" s="88"/>
      <c r="Z998" s="73" t="s">
        <v>1540</v>
      </c>
    </row>
    <row r="999" ht="12.75" customHeight="1">
      <c r="A999" s="1" t="s">
        <v>1541</v>
      </c>
      <c r="B999" s="2" t="s">
        <v>1363</v>
      </c>
      <c r="C999" s="60" t="str">
        <f t="shared" si="282"/>
        <v>A.130.11.107</v>
      </c>
      <c r="D999" s="51" t="s">
        <v>1529</v>
      </c>
      <c r="E999" s="62" t="s">
        <v>45</v>
      </c>
      <c r="F999" s="63" t="str">
        <f t="shared" si="283"/>
        <v>MDI (Methylene diphenyl diisocyanate)</v>
      </c>
      <c r="G999" s="64">
        <v>1.1113117999998008</v>
      </c>
      <c r="H999" s="10">
        <f t="shared" si="284"/>
        <v>1.1113118</v>
      </c>
      <c r="I999" s="65">
        <v>0.006968609994575999</v>
      </c>
      <c r="J999" s="65">
        <v>0.6903431900052247</v>
      </c>
      <c r="K999" s="65">
        <v>0.0</v>
      </c>
      <c r="L999" s="65">
        <v>0.414</v>
      </c>
      <c r="N999" s="66">
        <v>2.76</v>
      </c>
      <c r="O999" s="10">
        <f t="shared" si="285"/>
        <v>2.76</v>
      </c>
      <c r="Q999" s="67">
        <v>90.5328</v>
      </c>
      <c r="S999" s="68">
        <v>0.061002058</v>
      </c>
      <c r="T999" s="68">
        <v>0.052409252</v>
      </c>
      <c r="U999" s="68">
        <v>0.0022837879</v>
      </c>
      <c r="V999" s="68">
        <v>0.0063090182</v>
      </c>
      <c r="X999" s="69">
        <v>1.946989E-4</v>
      </c>
      <c r="Y999" s="88"/>
      <c r="Z999" s="73" t="s">
        <v>1542</v>
      </c>
    </row>
    <row r="1000" ht="12.75" customHeight="1">
      <c r="A1000" s="1" t="s">
        <v>1543</v>
      </c>
      <c r="B1000" s="2" t="s">
        <v>1363</v>
      </c>
      <c r="C1000" s="60" t="str">
        <f t="shared" si="282"/>
        <v>A.130.11.108</v>
      </c>
      <c r="D1000" s="51" t="s">
        <v>1529</v>
      </c>
      <c r="E1000" s="62" t="s">
        <v>45</v>
      </c>
      <c r="F1000" s="63" t="str">
        <f t="shared" si="283"/>
        <v>MMA (Methyl methacrylate)</v>
      </c>
      <c r="G1000" s="64">
        <v>0.51933518589</v>
      </c>
      <c r="H1000" s="10">
        <f t="shared" si="284"/>
        <v>0.5193351859</v>
      </c>
      <c r="I1000" s="65">
        <v>0.05674470342</v>
      </c>
      <c r="J1000" s="65">
        <v>-0.09240951753000001</v>
      </c>
      <c r="K1000" s="65">
        <v>0.0</v>
      </c>
      <c r="L1000" s="65">
        <v>0.555</v>
      </c>
      <c r="N1000" s="66">
        <v>3.7000000000000006</v>
      </c>
      <c r="O1000" s="10">
        <f t="shared" si="285"/>
        <v>3.7</v>
      </c>
      <c r="Q1000" s="67">
        <v>0.0</v>
      </c>
      <c r="S1000" s="68">
        <v>0.08021068</v>
      </c>
      <c r="T1000" s="68">
        <v>0.07699024</v>
      </c>
      <c r="U1000" s="68">
        <v>0.0032204406</v>
      </c>
      <c r="V1000" s="68">
        <v>0.0</v>
      </c>
      <c r="X1000" s="69">
        <v>1.1555178E-4</v>
      </c>
      <c r="Y1000" s="88"/>
      <c r="Z1000" s="73" t="s">
        <v>1544</v>
      </c>
    </row>
    <row r="1001" ht="12.75" customHeight="1">
      <c r="A1001" s="1" t="s">
        <v>1545</v>
      </c>
      <c r="B1001" s="2" t="s">
        <v>1363</v>
      </c>
      <c r="C1001" s="60" t="str">
        <f t="shared" si="282"/>
        <v>A.130.11.109</v>
      </c>
      <c r="D1001" s="51" t="s">
        <v>1529</v>
      </c>
      <c r="E1001" s="62" t="s">
        <v>45</v>
      </c>
      <c r="F1001" s="63" t="str">
        <f t="shared" si="283"/>
        <v>Nafion</v>
      </c>
      <c r="G1001" s="64">
        <v>129.52786232371486</v>
      </c>
      <c r="H1001" s="10">
        <f t="shared" si="284"/>
        <v>129.5278623</v>
      </c>
      <c r="I1001" s="65">
        <v>0.0962927882355</v>
      </c>
      <c r="J1001" s="65">
        <v>4.781569535479349</v>
      </c>
      <c r="K1001" s="65">
        <v>0.0</v>
      </c>
      <c r="L1001" s="65">
        <v>124.65</v>
      </c>
      <c r="N1001" s="66">
        <v>831.0000000000001</v>
      </c>
      <c r="O1001" s="10">
        <f t="shared" si="285"/>
        <v>831</v>
      </c>
      <c r="Q1001" s="67">
        <v>11066.7</v>
      </c>
      <c r="S1001" s="68">
        <v>15.382836</v>
      </c>
      <c r="T1001" s="68">
        <v>14.107795</v>
      </c>
      <c r="U1001" s="68">
        <v>0.65287689</v>
      </c>
      <c r="V1001" s="68">
        <v>0.62216389</v>
      </c>
      <c r="X1001" s="69">
        <v>0.037081433</v>
      </c>
      <c r="Y1001" s="88"/>
      <c r="Z1001" s="73" t="s">
        <v>1546</v>
      </c>
    </row>
    <row r="1002" ht="12.75" customHeight="1">
      <c r="A1002" s="1" t="s">
        <v>1547</v>
      </c>
      <c r="B1002" s="2" t="s">
        <v>1363</v>
      </c>
      <c r="C1002" s="60" t="str">
        <f t="shared" si="282"/>
        <v>A.130.11.111</v>
      </c>
      <c r="D1002" s="51" t="s">
        <v>1529</v>
      </c>
      <c r="E1002" s="62" t="s">
        <v>45</v>
      </c>
      <c r="F1002" s="63" t="str">
        <f t="shared" si="283"/>
        <v>PEEK (Polyetheretherketone)</v>
      </c>
      <c r="G1002" s="64">
        <v>5.59831816082</v>
      </c>
      <c r="H1002" s="10">
        <f t="shared" si="284"/>
        <v>5.598318161</v>
      </c>
      <c r="I1002" s="65">
        <v>1.3013429648</v>
      </c>
      <c r="J1002" s="65">
        <v>1.59697519602</v>
      </c>
      <c r="K1002" s="65">
        <v>0.0</v>
      </c>
      <c r="L1002" s="65">
        <v>2.7</v>
      </c>
      <c r="N1002" s="66">
        <v>18.000000000000004</v>
      </c>
      <c r="O1002" s="10">
        <f t="shared" si="285"/>
        <v>18</v>
      </c>
      <c r="Q1002" s="67">
        <v>280.08</v>
      </c>
      <c r="S1002" s="68">
        <v>0.73968608</v>
      </c>
      <c r="T1002" s="68">
        <v>0.70671693</v>
      </c>
      <c r="U1002" s="68">
        <v>0.016611122</v>
      </c>
      <c r="V1002" s="68">
        <v>0.016358026</v>
      </c>
      <c r="X1002" s="69">
        <v>0.0020514408</v>
      </c>
      <c r="Y1002" s="88"/>
      <c r="Z1002" s="73" t="s">
        <v>1548</v>
      </c>
    </row>
    <row r="1003" ht="12.75" customHeight="1">
      <c r="A1003" s="1" t="s">
        <v>1549</v>
      </c>
      <c r="B1003" s="2" t="s">
        <v>1363</v>
      </c>
      <c r="C1003" s="60" t="str">
        <f t="shared" si="282"/>
        <v>A.130.11.112</v>
      </c>
      <c r="D1003" s="51" t="s">
        <v>1529</v>
      </c>
      <c r="E1003" s="62" t="s">
        <v>45</v>
      </c>
      <c r="F1003" s="63" t="str">
        <f t="shared" si="283"/>
        <v>PEI (PolyEther Imide)</v>
      </c>
      <c r="G1003" s="64">
        <v>2.7584690844799997</v>
      </c>
      <c r="H1003" s="10">
        <f t="shared" si="284"/>
        <v>2.758469084</v>
      </c>
      <c r="I1003" s="65">
        <v>0.25173581828</v>
      </c>
      <c r="J1003" s="65">
        <v>0.9222248661999999</v>
      </c>
      <c r="K1003" s="65">
        <v>0.11923790000000001</v>
      </c>
      <c r="L1003" s="65">
        <v>1.4652705</v>
      </c>
      <c r="N1003" s="66">
        <v>9.76847</v>
      </c>
      <c r="O1003" s="10">
        <f t="shared" si="285"/>
        <v>9.76847</v>
      </c>
      <c r="Q1003" s="67">
        <v>225.713</v>
      </c>
      <c r="S1003" s="68">
        <v>0.21165574</v>
      </c>
      <c r="T1003" s="68">
        <v>0.18758463</v>
      </c>
      <c r="U1003" s="68">
        <v>0.0083767041</v>
      </c>
      <c r="V1003" s="68">
        <v>0.015694398</v>
      </c>
      <c r="X1003" s="69">
        <v>7.084541E-4</v>
      </c>
      <c r="Y1003" s="88"/>
      <c r="Z1003" s="73" t="s">
        <v>1550</v>
      </c>
    </row>
    <row r="1004" ht="12.75" customHeight="1">
      <c r="A1004" s="1" t="s">
        <v>1551</v>
      </c>
      <c r="B1004" s="2" t="s">
        <v>1363</v>
      </c>
      <c r="C1004" s="60" t="str">
        <f t="shared" si="282"/>
        <v>A.130.11.113</v>
      </c>
      <c r="D1004" s="51" t="s">
        <v>1529</v>
      </c>
      <c r="E1004" s="62" t="s">
        <v>45</v>
      </c>
      <c r="F1004" s="63" t="str">
        <f t="shared" si="283"/>
        <v>Phthalic anhydride</v>
      </c>
      <c r="G1004" s="64">
        <v>1.47081322828</v>
      </c>
      <c r="H1004" s="10">
        <f t="shared" si="284"/>
        <v>1.470813228</v>
      </c>
      <c r="I1004" s="65">
        <v>0.176404015</v>
      </c>
      <c r="J1004" s="65">
        <v>0.76222240958</v>
      </c>
      <c r="K1004" s="65">
        <v>0.041565683699999995</v>
      </c>
      <c r="L1004" s="65">
        <v>0.49062112</v>
      </c>
      <c r="N1004" s="66">
        <v>3.270807466666667</v>
      </c>
      <c r="O1004" s="10">
        <f t="shared" si="285"/>
        <v>3.270807467</v>
      </c>
      <c r="Q1004" s="67">
        <v>83.349384</v>
      </c>
      <c r="S1004" s="68">
        <v>0.11160637</v>
      </c>
      <c r="T1004" s="68">
        <v>0.10362356</v>
      </c>
      <c r="U1004" s="68">
        <v>0.0034864057</v>
      </c>
      <c r="V1004" s="68">
        <v>0.0044964036</v>
      </c>
      <c r="X1004" s="69">
        <v>3.0490495E-4</v>
      </c>
      <c r="Y1004" s="88"/>
      <c r="Z1004" s="73" t="s">
        <v>1552</v>
      </c>
    </row>
    <row r="1005" ht="12.75" customHeight="1">
      <c r="A1005" s="1" t="s">
        <v>1553</v>
      </c>
      <c r="B1005" s="2" t="s">
        <v>1363</v>
      </c>
      <c r="C1005" s="60" t="str">
        <f t="shared" si="282"/>
        <v>A.130.11.114</v>
      </c>
      <c r="D1005" s="51" t="s">
        <v>1529</v>
      </c>
      <c r="E1005" s="62" t="s">
        <v>45</v>
      </c>
      <c r="F1005" s="63" t="str">
        <f t="shared" si="283"/>
        <v>Polyether-polyols</v>
      </c>
      <c r="G1005" s="64">
        <v>1.2265920666325925</v>
      </c>
      <c r="H1005" s="10">
        <f t="shared" si="284"/>
        <v>1.226592067</v>
      </c>
      <c r="I1005" s="65">
        <v>0.042221895999999995</v>
      </c>
      <c r="J1005" s="65">
        <v>0.7531201706325924</v>
      </c>
      <c r="K1005" s="65">
        <v>0.0</v>
      </c>
      <c r="L1005" s="65">
        <v>0.43125</v>
      </c>
      <c r="N1005" s="66">
        <v>2.8750000000000004</v>
      </c>
      <c r="O1005" s="10">
        <f t="shared" si="285"/>
        <v>2.875</v>
      </c>
      <c r="Q1005" s="67">
        <v>98.0408</v>
      </c>
      <c r="S1005" s="68">
        <v>0.066310209</v>
      </c>
      <c r="T1005" s="68">
        <v>0.057597589</v>
      </c>
      <c r="U1005" s="68">
        <v>0.0024353886</v>
      </c>
      <c r="V1005" s="68">
        <v>0.006277231</v>
      </c>
      <c r="X1005" s="69">
        <v>2.4108203E-4</v>
      </c>
      <c r="Y1005" s="88"/>
      <c r="Z1005" s="73" t="s">
        <v>1554</v>
      </c>
    </row>
    <row r="1006" ht="12.75" customHeight="1">
      <c r="A1006" s="1" t="s">
        <v>1555</v>
      </c>
      <c r="B1006" s="2" t="s">
        <v>1363</v>
      </c>
      <c r="C1006" s="60" t="str">
        <f t="shared" si="282"/>
        <v>A.130.11.115</v>
      </c>
      <c r="D1006" s="51" t="s">
        <v>1529</v>
      </c>
      <c r="E1006" s="62" t="s">
        <v>45</v>
      </c>
      <c r="F1006" s="63" t="str">
        <f t="shared" si="283"/>
        <v>PPS (polyphenylene sulfide)</v>
      </c>
      <c r="G1006" s="64">
        <v>4.818195064</v>
      </c>
      <c r="H1006" s="10">
        <f t="shared" si="284"/>
        <v>4.818195064</v>
      </c>
      <c r="I1006" s="65">
        <v>0.6055970949999999</v>
      </c>
      <c r="J1006" s="65">
        <v>3.0545698000000003</v>
      </c>
      <c r="K1006" s="65">
        <v>0.083069069</v>
      </c>
      <c r="L1006" s="65">
        <v>1.0749591</v>
      </c>
      <c r="N1006" s="66">
        <v>7.166394</v>
      </c>
      <c r="O1006" s="10">
        <f t="shared" si="285"/>
        <v>7.166394</v>
      </c>
      <c r="Q1006" s="67">
        <v>172.46161</v>
      </c>
      <c r="S1006" s="68">
        <v>0.25123212</v>
      </c>
      <c r="T1006" s="68">
        <v>0.23362906</v>
      </c>
      <c r="U1006" s="68">
        <v>0.008735152</v>
      </c>
      <c r="V1006" s="68">
        <v>0.0088679135</v>
      </c>
      <c r="X1006" s="69">
        <v>0.0013135385</v>
      </c>
      <c r="Y1006" s="88"/>
      <c r="Z1006" s="73" t="s">
        <v>1556</v>
      </c>
    </row>
    <row r="1007" ht="12.75" customHeight="1">
      <c r="A1007" s="1" t="s">
        <v>1557</v>
      </c>
      <c r="B1007" s="2" t="s">
        <v>1363</v>
      </c>
      <c r="C1007" s="60" t="str">
        <f t="shared" si="282"/>
        <v>A.130.11.116</v>
      </c>
      <c r="D1007" s="51" t="s">
        <v>1529</v>
      </c>
      <c r="E1007" s="62" t="s">
        <v>45</v>
      </c>
      <c r="F1007" s="63" t="str">
        <f t="shared" si="283"/>
        <v>PVB (Polyvinyl butyral)</v>
      </c>
      <c r="G1007" s="64">
        <v>1.0336282144891</v>
      </c>
      <c r="H1007" s="10">
        <f t="shared" si="284"/>
        <v>1.033628214</v>
      </c>
      <c r="I1007" s="65">
        <v>0.048719796846</v>
      </c>
      <c r="J1007" s="65">
        <v>0.6216199593710999</v>
      </c>
      <c r="K1007" s="65">
        <v>0.013145668272000002</v>
      </c>
      <c r="L1007" s="65">
        <v>0.35014279</v>
      </c>
      <c r="N1007" s="66">
        <v>2.3342852666666665</v>
      </c>
      <c r="O1007" s="10">
        <f t="shared" si="285"/>
        <v>2.334285267</v>
      </c>
      <c r="Q1007" s="67">
        <v>84.313906</v>
      </c>
      <c r="S1007" s="68">
        <v>0.07561597</v>
      </c>
      <c r="T1007" s="68">
        <v>0.067560797</v>
      </c>
      <c r="U1007" s="68">
        <v>0.0026016896</v>
      </c>
      <c r="V1007" s="68">
        <v>0.0054534836</v>
      </c>
      <c r="X1007" s="69">
        <v>2.1529494E-4</v>
      </c>
      <c r="Y1007" s="88"/>
      <c r="Z1007" s="73" t="s">
        <v>1558</v>
      </c>
    </row>
    <row r="1008" ht="12.75" customHeight="1">
      <c r="A1008" s="1" t="s">
        <v>1559</v>
      </c>
      <c r="B1008" s="2" t="s">
        <v>1363</v>
      </c>
      <c r="C1008" s="60" t="str">
        <f t="shared" si="282"/>
        <v>A.130.11.117</v>
      </c>
      <c r="D1008" s="51" t="s">
        <v>1529</v>
      </c>
      <c r="E1008" s="62" t="s">
        <v>45</v>
      </c>
      <c r="F1008" s="63" t="str">
        <f t="shared" si="283"/>
        <v>TDI (toluene diisocyanate)</v>
      </c>
      <c r="G1008" s="64">
        <v>1.2008412060000002</v>
      </c>
      <c r="H1008" s="10">
        <f t="shared" si="284"/>
        <v>1.200841206</v>
      </c>
      <c r="I1008" s="65">
        <v>0.051502543</v>
      </c>
      <c r="J1008" s="65">
        <v>0.6783386630000001</v>
      </c>
      <c r="K1008" s="65">
        <v>0.0</v>
      </c>
      <c r="L1008" s="65">
        <v>0.471</v>
      </c>
      <c r="N1008" s="66">
        <v>3.14</v>
      </c>
      <c r="O1008" s="10">
        <f t="shared" si="285"/>
        <v>3.14</v>
      </c>
      <c r="Q1008" s="67">
        <v>86.6658</v>
      </c>
      <c r="S1008" s="68">
        <v>0.067645762</v>
      </c>
      <c r="T1008" s="68">
        <v>0.059055001</v>
      </c>
      <c r="U1008" s="68">
        <v>0.0025890198</v>
      </c>
      <c r="V1008" s="68">
        <v>0.0060017412</v>
      </c>
      <c r="X1008" s="69">
        <v>2.6059341E-4</v>
      </c>
      <c r="Y1008" s="88"/>
      <c r="Z1008" s="73" t="s">
        <v>1560</v>
      </c>
    </row>
    <row r="1009" ht="12.75" customHeight="1">
      <c r="A1009" s="1" t="s">
        <v>1561</v>
      </c>
      <c r="B1009" s="2" t="s">
        <v>1363</v>
      </c>
      <c r="C1009" s="60" t="str">
        <f t="shared" si="282"/>
        <v>A.130.11.118</v>
      </c>
      <c r="D1009" s="51" t="s">
        <v>1529</v>
      </c>
      <c r="E1009" s="62" t="s">
        <v>45</v>
      </c>
      <c r="F1009" s="63" t="str">
        <f t="shared" si="283"/>
        <v>PE for bottles with deposit in EU (RR=80%  RIR=25%)</v>
      </c>
      <c r="G1009" s="64">
        <v>0.8620105797572299</v>
      </c>
      <c r="H1009" s="10">
        <f t="shared" si="284"/>
        <v>0.8620105798</v>
      </c>
      <c r="I1009" s="65">
        <v>0.0167907894</v>
      </c>
      <c r="J1009" s="65">
        <v>0.63169918433923</v>
      </c>
      <c r="K1009" s="65">
        <v>0.001705786018</v>
      </c>
      <c r="L1009" s="65">
        <v>0.21181482</v>
      </c>
      <c r="N1009" s="66">
        <v>1.4120987999999999</v>
      </c>
      <c r="O1009" s="10">
        <f t="shared" si="285"/>
        <v>1.4120988</v>
      </c>
      <c r="Q1009" s="67">
        <v>64.785941</v>
      </c>
      <c r="S1009" s="68">
        <v>0.038806367</v>
      </c>
      <c r="T1009" s="68">
        <v>0.032999305</v>
      </c>
      <c r="U1009" s="68">
        <v>0.0012666505</v>
      </c>
      <c r="V1009" s="68">
        <v>0.0045404118</v>
      </c>
      <c r="X1009" s="69">
        <v>1.393761E-4</v>
      </c>
      <c r="Y1009" s="88"/>
      <c r="Z1009" s="73" t="s">
        <v>1470</v>
      </c>
    </row>
    <row r="1010" ht="12.75" customHeight="1">
      <c r="A1010" s="1" t="s">
        <v>1562</v>
      </c>
      <c r="B1010" s="2" t="s">
        <v>1363</v>
      </c>
      <c r="C1010" s="60" t="str">
        <f t="shared" si="282"/>
        <v>A.130.11.119</v>
      </c>
      <c r="D1010" s="51" t="s">
        <v>1529</v>
      </c>
      <c r="E1010" s="62" t="s">
        <v>45</v>
      </c>
      <c r="F1010" s="63" t="str">
        <f t="shared" si="283"/>
        <v>PET for bottles with deposit in EU (RR=80%  RIR=25%)</v>
      </c>
      <c r="G1010" s="64">
        <v>0.7731483990072299</v>
      </c>
      <c r="H1010" s="10">
        <f t="shared" si="284"/>
        <v>0.773148399</v>
      </c>
      <c r="I1010" s="65">
        <v>0.02653691715</v>
      </c>
      <c r="J1010" s="65">
        <v>0.48921587583923</v>
      </c>
      <c r="K1010" s="65">
        <v>0.001705786018</v>
      </c>
      <c r="L1010" s="65">
        <v>0.25568982</v>
      </c>
      <c r="N1010" s="66">
        <v>1.7045988</v>
      </c>
      <c r="O1010" s="10">
        <f t="shared" si="285"/>
        <v>1.7045988</v>
      </c>
      <c r="Q1010" s="67">
        <v>56.336441</v>
      </c>
      <c r="S1010" s="68">
        <v>0.047522095</v>
      </c>
      <c r="T1010" s="68">
        <v>0.041926523</v>
      </c>
      <c r="U1010" s="68">
        <v>0.0016079036</v>
      </c>
      <c r="V1010" s="68">
        <v>0.0039876687</v>
      </c>
      <c r="X1010" s="69">
        <v>1.4195975E-4</v>
      </c>
      <c r="Y1010" s="88"/>
      <c r="Z1010" s="73" t="s">
        <v>1476</v>
      </c>
    </row>
    <row r="1011" ht="12.75" customHeight="1">
      <c r="A1011" s="1" t="s">
        <v>1563</v>
      </c>
      <c r="B1011" s="2" t="s">
        <v>1363</v>
      </c>
      <c r="C1011" s="60" t="str">
        <f t="shared" si="282"/>
        <v>A.130.11.120</v>
      </c>
      <c r="D1011" s="51" t="s">
        <v>1529</v>
      </c>
      <c r="E1011" s="62" t="s">
        <v>45</v>
      </c>
      <c r="F1011" s="63" t="str">
        <f t="shared" si="283"/>
        <v>PP for bottles with deposit in EU (RR=80%  RIR=25%)</v>
      </c>
      <c r="G1011" s="64">
        <v>0.90951027035723</v>
      </c>
      <c r="H1011" s="10">
        <f t="shared" si="284"/>
        <v>0.9095102704</v>
      </c>
      <c r="I1011" s="65">
        <v>0.016208199700000002</v>
      </c>
      <c r="J1011" s="65">
        <v>0.69890646463923</v>
      </c>
      <c r="K1011" s="65">
        <v>0.001705786018</v>
      </c>
      <c r="L1011" s="65">
        <v>0.19268982</v>
      </c>
      <c r="N1011" s="66">
        <v>1.2845988000000002</v>
      </c>
      <c r="O1011" s="10">
        <f t="shared" si="285"/>
        <v>1.2845988</v>
      </c>
      <c r="Q1011" s="67">
        <v>62.961941</v>
      </c>
      <c r="S1011" s="68">
        <v>0.035654071</v>
      </c>
      <c r="T1011" s="68">
        <v>0.030069159</v>
      </c>
      <c r="U1011" s="68">
        <v>0.0011684149</v>
      </c>
      <c r="V1011" s="68">
        <v>0.0044164971</v>
      </c>
      <c r="X1011" s="69">
        <v>1.4479547E-4</v>
      </c>
      <c r="Y1011" s="88"/>
      <c r="Z1011" s="73" t="s">
        <v>1483</v>
      </c>
    </row>
    <row r="1012" ht="12.75" customHeight="1">
      <c r="A1012" s="1" t="s">
        <v>1564</v>
      </c>
      <c r="B1012" s="2" t="s">
        <v>1363</v>
      </c>
      <c r="C1012" s="60" t="str">
        <f t="shared" si="282"/>
        <v>A.130.11.121</v>
      </c>
      <c r="D1012" s="51" t="s">
        <v>1529</v>
      </c>
      <c r="E1012" s="62" t="s">
        <v>45</v>
      </c>
      <c r="F1012" s="63" t="str">
        <f t="shared" si="283"/>
        <v>PVC for bottles with deposit in EU (RR=80%  RIR=25%)</v>
      </c>
      <c r="G1012" s="64">
        <v>0.73870290495723</v>
      </c>
      <c r="H1012" s="10">
        <f t="shared" si="284"/>
        <v>0.738702905</v>
      </c>
      <c r="I1012" s="65">
        <v>0.0498105101</v>
      </c>
      <c r="J1012" s="65">
        <v>0.42474678883923</v>
      </c>
      <c r="K1012" s="65">
        <v>0.001705786018</v>
      </c>
      <c r="L1012" s="65">
        <v>0.26243982</v>
      </c>
      <c r="N1012" s="66">
        <v>1.7495988</v>
      </c>
      <c r="O1012" s="10">
        <f t="shared" si="285"/>
        <v>1.7495988</v>
      </c>
      <c r="Q1012" s="67">
        <v>49.791851</v>
      </c>
      <c r="S1012" s="68">
        <v>0.051163289</v>
      </c>
      <c r="T1012" s="68">
        <v>0.04614493</v>
      </c>
      <c r="U1012" s="68">
        <v>0.0017125637</v>
      </c>
      <c r="V1012" s="68">
        <v>0.0033057952</v>
      </c>
      <c r="X1012" s="69">
        <v>1.5492263E-4</v>
      </c>
      <c r="Y1012" s="88"/>
      <c r="Z1012" s="73" t="s">
        <v>1498</v>
      </c>
    </row>
    <row r="1013" ht="12.75" customHeight="1">
      <c r="A1013" s="1" t="s">
        <v>1565</v>
      </c>
      <c r="B1013" s="2" t="s">
        <v>1363</v>
      </c>
      <c r="C1013" s="60" t="str">
        <f t="shared" si="282"/>
        <v>A.130.11.122</v>
      </c>
      <c r="D1013" s="51" t="s">
        <v>1529</v>
      </c>
      <c r="E1013" s="62" t="s">
        <v>45</v>
      </c>
      <c r="F1013" s="63" t="str">
        <f t="shared" si="283"/>
        <v>EMAA (Ethylene-Methacrylic Acid Copolymer) without water</v>
      </c>
      <c r="G1013" s="64">
        <v>2.061795963</v>
      </c>
      <c r="H1013" s="10">
        <f t="shared" si="284"/>
        <v>2.061795963</v>
      </c>
      <c r="I1013" s="65">
        <v>0.202194463</v>
      </c>
      <c r="J1013" s="65">
        <v>0.9152608150000001</v>
      </c>
      <c r="K1013" s="65">
        <v>0.145140685</v>
      </c>
      <c r="L1013" s="65">
        <v>0.7992</v>
      </c>
      <c r="N1013" s="66">
        <v>5.328</v>
      </c>
      <c r="O1013" s="10">
        <f t="shared" si="285"/>
        <v>5.328</v>
      </c>
      <c r="Q1013" s="67">
        <v>134.45362</v>
      </c>
      <c r="S1013" s="68">
        <v>0.16597215</v>
      </c>
      <c r="T1013" s="68">
        <v>0.15165167</v>
      </c>
      <c r="U1013" s="68">
        <v>0.0052524772</v>
      </c>
      <c r="V1013" s="68">
        <v>0.0090680067</v>
      </c>
      <c r="X1013" s="69">
        <v>4.9330628E-4</v>
      </c>
      <c r="Y1013" s="88"/>
      <c r="Z1013" s="48" t="s">
        <v>1566</v>
      </c>
    </row>
    <row r="1014" ht="12.75" customHeight="1">
      <c r="B1014" s="2"/>
      <c r="C1014" s="60"/>
      <c r="D1014" s="51"/>
      <c r="E1014" s="62"/>
      <c r="G1014" s="10"/>
      <c r="H1014" s="10"/>
      <c r="I1014" s="10"/>
      <c r="J1014" s="10"/>
      <c r="K1014" s="10"/>
      <c r="L1014" s="10"/>
      <c r="N1014" s="10"/>
      <c r="O1014" s="10"/>
      <c r="Q1014" s="67"/>
      <c r="Y1014" s="71"/>
      <c r="Z1014" s="72"/>
    </row>
    <row r="1015" ht="12.75" customHeight="1">
      <c r="B1015" s="2"/>
      <c r="C1015" s="60"/>
      <c r="D1015" s="75" t="s">
        <v>1567</v>
      </c>
      <c r="E1015" s="62"/>
      <c r="G1015" s="10"/>
      <c r="H1015" s="10"/>
      <c r="I1015" s="10"/>
      <c r="J1015" s="10"/>
      <c r="K1015" s="10"/>
      <c r="L1015" s="10"/>
      <c r="N1015" s="10"/>
      <c r="O1015" s="10"/>
      <c r="Q1015" s="67"/>
      <c r="Y1015" s="89"/>
      <c r="Z1015" s="72"/>
    </row>
    <row r="1016" ht="12.75" customHeight="1">
      <c r="A1016" s="1" t="s">
        <v>1568</v>
      </c>
      <c r="B1016" s="2" t="s">
        <v>1569</v>
      </c>
      <c r="C1016" s="60" t="str">
        <f t="shared" ref="C1016:C1036" si="286">MID(A1016,1,12)</f>
        <v>A.140.01.101</v>
      </c>
      <c r="D1016" s="51" t="s">
        <v>1567</v>
      </c>
      <c r="E1016" s="62" t="s">
        <v>45</v>
      </c>
      <c r="F1016" s="63" t="str">
        <f t="shared" ref="F1016:F1036" si="287">MID(A1016, 21,85)</f>
        <v>Acrylic fibres</v>
      </c>
      <c r="G1016" s="64">
        <v>2.1367639378995644</v>
      </c>
      <c r="H1016" s="10">
        <f t="shared" ref="H1016:H1036" si="288">G1016</f>
        <v>2.136763938</v>
      </c>
      <c r="I1016" s="65">
        <v>0.01251495958807</v>
      </c>
      <c r="J1016" s="65">
        <v>1.3547489783114943</v>
      </c>
      <c r="K1016" s="65">
        <v>0.0</v>
      </c>
      <c r="L1016" s="65">
        <v>0.7695</v>
      </c>
      <c r="N1016" s="66">
        <v>5.13</v>
      </c>
      <c r="O1016" s="10">
        <f t="shared" ref="O1016:O1036" si="289">N1016</f>
        <v>5.13</v>
      </c>
      <c r="Q1016" s="67">
        <v>100.338</v>
      </c>
      <c r="S1016" s="68">
        <v>0.12358308</v>
      </c>
      <c r="T1016" s="68">
        <v>0.11189677</v>
      </c>
      <c r="U1016" s="68">
        <v>0.0045221768</v>
      </c>
      <c r="V1016" s="68">
        <v>0.0071641332</v>
      </c>
      <c r="X1016" s="69">
        <v>2.9727581E-4</v>
      </c>
      <c r="Y1016" s="88"/>
      <c r="Z1016" s="72"/>
    </row>
    <row r="1017" ht="12.75" customHeight="1">
      <c r="A1017" s="1" t="s">
        <v>1570</v>
      </c>
      <c r="B1017" s="2" t="s">
        <v>1569</v>
      </c>
      <c r="C1017" s="60" t="str">
        <f t="shared" si="286"/>
        <v>A.140.01.102</v>
      </c>
      <c r="D1017" s="51" t="s">
        <v>1567</v>
      </c>
      <c r="E1017" s="62" t="s">
        <v>45</v>
      </c>
      <c r="F1017" s="63" t="str">
        <f t="shared" si="287"/>
        <v>BioCotton fibre from China/India (without global seatransport)</v>
      </c>
      <c r="G1017" s="64">
        <v>0.9252369718363985</v>
      </c>
      <c r="H1017" s="10">
        <f t="shared" si="288"/>
        <v>0.9252369718</v>
      </c>
      <c r="I1017" s="65">
        <v>0.0034095342229999996</v>
      </c>
      <c r="J1017" s="65">
        <v>0.005749800328999999</v>
      </c>
      <c r="K1017" s="65">
        <v>0.8686331682843985</v>
      </c>
      <c r="L1017" s="65">
        <v>0.047444469</v>
      </c>
      <c r="N1017" s="66">
        <v>0.31629646000000006</v>
      </c>
      <c r="O1017" s="10">
        <f t="shared" si="289"/>
        <v>0.31629646</v>
      </c>
      <c r="Q1017" s="67">
        <v>5.6903598</v>
      </c>
      <c r="S1017" s="68">
        <v>0.032809056</v>
      </c>
      <c r="T1017" s="68">
        <v>0.029969273</v>
      </c>
      <c r="U1017" s="68">
        <v>0.0026374982</v>
      </c>
      <c r="V1017" s="68">
        <v>2.0228467E-4</v>
      </c>
      <c r="X1017" s="69">
        <v>6.2029564E-4</v>
      </c>
      <c r="Y1017" s="88"/>
      <c r="Z1017" s="48"/>
    </row>
    <row r="1018" ht="12.75" customHeight="1">
      <c r="A1018" s="1" t="s">
        <v>1571</v>
      </c>
      <c r="B1018" s="2" t="s">
        <v>1569</v>
      </c>
      <c r="C1018" s="60" t="str">
        <f t="shared" si="286"/>
        <v>A.140.01.103</v>
      </c>
      <c r="D1018" s="51" t="s">
        <v>1567</v>
      </c>
      <c r="E1018" s="62" t="s">
        <v>45</v>
      </c>
      <c r="F1018" s="63" t="str">
        <f t="shared" si="287"/>
        <v>BioCotton fibre from USA (without global seatransport)</v>
      </c>
      <c r="G1018" s="64">
        <v>0.9967368137213986</v>
      </c>
      <c r="H1018" s="10">
        <f t="shared" si="288"/>
        <v>0.9967368137</v>
      </c>
      <c r="I1018" s="65">
        <v>0.006002806497</v>
      </c>
      <c r="J1018" s="65">
        <v>0.011145808620000001</v>
      </c>
      <c r="K1018" s="65">
        <v>0.8712109986043985</v>
      </c>
      <c r="L1018" s="65">
        <v>0.1083772</v>
      </c>
      <c r="N1018" s="66">
        <v>0.7225146666666667</v>
      </c>
      <c r="O1018" s="10">
        <f t="shared" si="289"/>
        <v>0.7225146667</v>
      </c>
      <c r="Q1018" s="67">
        <v>12.999104</v>
      </c>
      <c r="S1018" s="68">
        <v>0.048171375</v>
      </c>
      <c r="T1018" s="68">
        <v>0.044435553</v>
      </c>
      <c r="U1018" s="68">
        <v>0.0033004606</v>
      </c>
      <c r="V1018" s="68">
        <v>4.3536085E-4</v>
      </c>
      <c r="X1018" s="69">
        <v>5.2122051E-4</v>
      </c>
      <c r="Y1018" s="88"/>
      <c r="Z1018" s="72"/>
    </row>
    <row r="1019" ht="12.75" customHeight="1">
      <c r="A1019" s="1" t="s">
        <v>1572</v>
      </c>
      <c r="B1019" s="2" t="s">
        <v>1569</v>
      </c>
      <c r="C1019" s="60" t="str">
        <f t="shared" si="286"/>
        <v>A.140.01.104</v>
      </c>
      <c r="D1019" s="51" t="s">
        <v>1567</v>
      </c>
      <c r="E1019" s="62" t="s">
        <v>45</v>
      </c>
      <c r="F1019" s="63" t="str">
        <f t="shared" si="287"/>
        <v>Cotton fibre from China and India (without global seatransport)</v>
      </c>
      <c r="G1019" s="64">
        <v>1.024183709109464</v>
      </c>
      <c r="H1019" s="10">
        <f t="shared" si="288"/>
        <v>1.024183709</v>
      </c>
      <c r="I1019" s="65">
        <v>0.007937847436</v>
      </c>
      <c r="J1019" s="65">
        <v>0.020464539029</v>
      </c>
      <c r="K1019" s="65">
        <v>0.8722301526444641</v>
      </c>
      <c r="L1019" s="65">
        <v>0.12355117</v>
      </c>
      <c r="N1019" s="66">
        <v>0.8236744666666667</v>
      </c>
      <c r="O1019" s="10">
        <f t="shared" si="289"/>
        <v>0.8236744667</v>
      </c>
      <c r="Q1019" s="67">
        <v>13.028647</v>
      </c>
      <c r="S1019" s="68">
        <v>0.043765035</v>
      </c>
      <c r="T1019" s="68">
        <v>0.040026132</v>
      </c>
      <c r="U1019" s="68">
        <v>0.0030682916</v>
      </c>
      <c r="V1019" s="68">
        <v>6.7061225E-4</v>
      </c>
      <c r="X1019" s="69">
        <v>6.4713174E-4</v>
      </c>
      <c r="Y1019" s="88"/>
      <c r="Z1019" s="72"/>
    </row>
    <row r="1020" ht="12.75" customHeight="1">
      <c r="A1020" s="1" t="s">
        <v>1573</v>
      </c>
      <c r="B1020" s="2" t="s">
        <v>1569</v>
      </c>
      <c r="C1020" s="60" t="str">
        <f t="shared" si="286"/>
        <v>A.140.01.105</v>
      </c>
      <c r="D1020" s="51" t="s">
        <v>1567</v>
      </c>
      <c r="E1020" s="62" t="s">
        <v>45</v>
      </c>
      <c r="F1020" s="63" t="str">
        <f t="shared" si="287"/>
        <v>Cotton fibre from USA (without global seatransport)</v>
      </c>
      <c r="G1020" s="64">
        <v>1.0958592444474653</v>
      </c>
      <c r="H1020" s="10">
        <f t="shared" si="288"/>
        <v>1.095859244</v>
      </c>
      <c r="I1020" s="65">
        <v>0.010537739233</v>
      </c>
      <c r="J1020" s="65">
        <v>0.02529898213</v>
      </c>
      <c r="K1020" s="65">
        <v>0.8748802330844654</v>
      </c>
      <c r="L1020" s="65">
        <v>0.18514229</v>
      </c>
      <c r="N1020" s="66">
        <v>1.2342819333333332</v>
      </c>
      <c r="O1020" s="10">
        <f t="shared" si="289"/>
        <v>1.234281933</v>
      </c>
      <c r="Q1020" s="67">
        <v>20.412803</v>
      </c>
      <c r="S1020" s="68">
        <v>0.059172135</v>
      </c>
      <c r="T1020" s="68">
        <v>0.054530899</v>
      </c>
      <c r="U1020" s="68">
        <v>0.0037341222</v>
      </c>
      <c r="V1020" s="68">
        <v>9.0711331E-4</v>
      </c>
      <c r="X1020" s="69">
        <v>5.4818731E-4</v>
      </c>
      <c r="Y1020" s="88"/>
      <c r="Z1020" s="48"/>
    </row>
    <row r="1021" ht="12.75" customHeight="1">
      <c r="A1021" s="1" t="s">
        <v>1574</v>
      </c>
      <c r="B1021" s="2" t="s">
        <v>1569</v>
      </c>
      <c r="C1021" s="60" t="str">
        <f t="shared" si="286"/>
        <v>A.140.01.106</v>
      </c>
      <c r="D1021" s="51" t="s">
        <v>1567</v>
      </c>
      <c r="E1021" s="62" t="s">
        <v>45</v>
      </c>
      <c r="F1021" s="63" t="str">
        <f t="shared" si="287"/>
        <v>Cotton fibre trade mix (without global seatransport)</v>
      </c>
      <c r="G1021" s="64">
        <v>1.042723041195465</v>
      </c>
      <c r="H1021" s="10">
        <f t="shared" si="288"/>
        <v>1.042723041</v>
      </c>
      <c r="I1021" s="65">
        <v>0.008665631088999998</v>
      </c>
      <c r="J1021" s="65">
        <v>0.021895495582</v>
      </c>
      <c r="K1021" s="65">
        <v>0.8716742645244651</v>
      </c>
      <c r="L1021" s="65">
        <v>0.14048765</v>
      </c>
      <c r="N1021" s="66">
        <v>0.9365843333333334</v>
      </c>
      <c r="O1021" s="10">
        <f t="shared" si="289"/>
        <v>0.9365843333</v>
      </c>
      <c r="Q1021" s="67">
        <v>15.041039</v>
      </c>
      <c r="S1021" s="68">
        <v>0.04785819</v>
      </c>
      <c r="T1021" s="68">
        <v>0.043877873</v>
      </c>
      <c r="U1021" s="68">
        <v>0.0032427664</v>
      </c>
      <c r="V1021" s="68">
        <v>7.375501E-4</v>
      </c>
      <c r="X1021" s="69">
        <v>6.207645E-4</v>
      </c>
      <c r="Y1021" s="88"/>
      <c r="Z1021" s="73"/>
    </row>
    <row r="1022" ht="12.75" customHeight="1">
      <c r="A1022" s="1" t="s">
        <v>1575</v>
      </c>
      <c r="B1022" s="2" t="s">
        <v>1569</v>
      </c>
      <c r="C1022" s="60" t="str">
        <f t="shared" si="286"/>
        <v>A.140.01.107</v>
      </c>
      <c r="D1022" s="51" t="s">
        <v>1567</v>
      </c>
      <c r="E1022" s="62" t="s">
        <v>45</v>
      </c>
      <c r="F1022" s="63" t="str">
        <f t="shared" si="287"/>
        <v>Elastane (polyurethane) pellets</v>
      </c>
      <c r="G1022" s="64">
        <v>1.37051606646</v>
      </c>
      <c r="H1022" s="10">
        <f t="shared" si="288"/>
        <v>1.370516066</v>
      </c>
      <c r="I1022" s="65">
        <v>0.0497103228</v>
      </c>
      <c r="J1022" s="65">
        <v>0.7413713252999999</v>
      </c>
      <c r="K1022" s="65">
        <v>0.024023638360000002</v>
      </c>
      <c r="L1022" s="65">
        <v>0.55541078</v>
      </c>
      <c r="N1022" s="66">
        <v>3.7027385333333336</v>
      </c>
      <c r="O1022" s="10">
        <f t="shared" si="289"/>
        <v>3.702738533</v>
      </c>
      <c r="Q1022" s="67">
        <v>109.07394</v>
      </c>
      <c r="S1022" s="68">
        <v>0.08099975</v>
      </c>
      <c r="T1022" s="68">
        <v>0.071453805</v>
      </c>
      <c r="U1022" s="68">
        <v>0.0030863032</v>
      </c>
      <c r="V1022" s="68">
        <v>0.0064596415</v>
      </c>
      <c r="X1022" s="69">
        <v>2.8477862E-4</v>
      </c>
      <c r="Y1022" s="88"/>
      <c r="Z1022" s="48"/>
    </row>
    <row r="1023" ht="12.75" customHeight="1">
      <c r="A1023" s="1" t="s">
        <v>1576</v>
      </c>
      <c r="B1023" s="2" t="s">
        <v>1569</v>
      </c>
      <c r="C1023" s="60" t="str">
        <f t="shared" si="286"/>
        <v>A.140.01.108</v>
      </c>
      <c r="D1023" s="51" t="s">
        <v>1567</v>
      </c>
      <c r="E1023" s="62" t="s">
        <v>45</v>
      </c>
      <c r="F1023" s="63" t="str">
        <f t="shared" si="287"/>
        <v>Fleece from recycled PET bottles</v>
      </c>
      <c r="G1023" s="64">
        <v>1.3812173030676385</v>
      </c>
      <c r="H1023" s="10">
        <f t="shared" si="288"/>
        <v>1.381217303</v>
      </c>
      <c r="I1023" s="65">
        <v>0.061658885170000004</v>
      </c>
      <c r="J1023" s="65">
        <v>0.14079185246399997</v>
      </c>
      <c r="K1023" s="65">
        <v>0.07562556543363842</v>
      </c>
      <c r="L1023" s="65">
        <v>1.103141</v>
      </c>
      <c r="N1023" s="66">
        <v>7.354273333333333</v>
      </c>
      <c r="O1023" s="10">
        <f t="shared" si="289"/>
        <v>7.354273333</v>
      </c>
      <c r="Q1023" s="67">
        <v>114.40414</v>
      </c>
      <c r="S1023" s="68">
        <v>0.15393088</v>
      </c>
      <c r="T1023" s="68">
        <v>0.14154808</v>
      </c>
      <c r="U1023" s="68">
        <v>0.0061338375</v>
      </c>
      <c r="V1023" s="68">
        <v>0.0062489693</v>
      </c>
      <c r="X1023" s="69">
        <v>3.7868878E-4</v>
      </c>
      <c r="Y1023" s="88"/>
      <c r="Z1023" s="48"/>
    </row>
    <row r="1024" ht="12.75" customHeight="1">
      <c r="A1024" s="1" t="s">
        <v>1577</v>
      </c>
      <c r="B1024" s="2" t="s">
        <v>1569</v>
      </c>
      <c r="C1024" s="60" t="str">
        <f t="shared" si="286"/>
        <v>A.140.01.109</v>
      </c>
      <c r="D1024" s="51" t="s">
        <v>1567</v>
      </c>
      <c r="E1024" s="62" t="s">
        <v>45</v>
      </c>
      <c r="F1024" s="63" t="str">
        <f t="shared" si="287"/>
        <v>Jute fibre incl. degumming market mix</v>
      </c>
      <c r="G1024" s="64">
        <v>0.8633488402772604</v>
      </c>
      <c r="H1024" s="10">
        <f t="shared" si="288"/>
        <v>0.8633488403</v>
      </c>
      <c r="I1024" s="65">
        <v>0.023713998849999997</v>
      </c>
      <c r="J1024" s="65">
        <v>0.072283397835</v>
      </c>
      <c r="K1024" s="65">
        <v>0.2094458635922604</v>
      </c>
      <c r="L1024" s="65">
        <v>0.55790558</v>
      </c>
      <c r="N1024" s="66">
        <v>3.7193705333333336</v>
      </c>
      <c r="O1024" s="10">
        <f t="shared" si="289"/>
        <v>3.719370533</v>
      </c>
      <c r="Q1024" s="67">
        <v>41.124033</v>
      </c>
      <c r="S1024" s="68">
        <v>0.077465445</v>
      </c>
      <c r="T1024" s="68">
        <v>0.071762386</v>
      </c>
      <c r="U1024" s="68">
        <v>0.0035674894</v>
      </c>
      <c r="V1024" s="68">
        <v>0.0021355695</v>
      </c>
      <c r="X1024" s="69">
        <v>2.162319E-4</v>
      </c>
      <c r="Y1024" s="88"/>
      <c r="Z1024" s="48"/>
    </row>
    <row r="1025" ht="12.75" customHeight="1">
      <c r="A1025" s="1" t="s">
        <v>1578</v>
      </c>
      <c r="B1025" s="2" t="s">
        <v>1569</v>
      </c>
      <c r="C1025" s="60" t="str">
        <f t="shared" si="286"/>
        <v>A.140.01.110</v>
      </c>
      <c r="D1025" s="51" t="s">
        <v>1567</v>
      </c>
      <c r="E1025" s="62" t="s">
        <v>45</v>
      </c>
      <c r="F1025" s="63" t="str">
        <f t="shared" si="287"/>
        <v>Jute fibre incl. degumming India irrigation</v>
      </c>
      <c r="G1025" s="64">
        <v>1.5331545002772604</v>
      </c>
      <c r="H1025" s="10">
        <f t="shared" si="288"/>
        <v>1.5331545</v>
      </c>
      <c r="I1025" s="65">
        <v>0.023713998849999997</v>
      </c>
      <c r="J1025" s="65">
        <v>0.072283397835</v>
      </c>
      <c r="K1025" s="65">
        <v>0.8792515235922604</v>
      </c>
      <c r="L1025" s="65">
        <v>0.55790558</v>
      </c>
      <c r="N1025" s="66">
        <v>3.7193705333333336</v>
      </c>
      <c r="O1025" s="10">
        <f t="shared" si="289"/>
        <v>3.719370533</v>
      </c>
      <c r="Q1025" s="67">
        <v>41.124033</v>
      </c>
      <c r="S1025" s="68">
        <v>0.075074605</v>
      </c>
      <c r="T1025" s="68">
        <v>0.067971381</v>
      </c>
      <c r="U1025" s="68">
        <v>0.0049676546</v>
      </c>
      <c r="V1025" s="68">
        <v>0.0021355695</v>
      </c>
      <c r="X1025" s="69">
        <v>4.187759E-4</v>
      </c>
      <c r="Y1025" s="88"/>
      <c r="Z1025" s="48"/>
    </row>
    <row r="1026" ht="12.75" customHeight="1">
      <c r="A1026" s="1" t="s">
        <v>1579</v>
      </c>
      <c r="B1026" s="2" t="s">
        <v>1569</v>
      </c>
      <c r="C1026" s="60" t="str">
        <f t="shared" si="286"/>
        <v>A.140.01.111</v>
      </c>
      <c r="D1026" s="51" t="s">
        <v>1567</v>
      </c>
      <c r="E1026" s="62" t="s">
        <v>45</v>
      </c>
      <c r="F1026" s="63" t="str">
        <f t="shared" si="287"/>
        <v>Jute fibre incl. degumming India rain fed - renewable fuel</v>
      </c>
      <c r="G1026" s="64">
        <v>0.8624812624522604</v>
      </c>
      <c r="H1026" s="10">
        <f t="shared" si="288"/>
        <v>0.8624812625</v>
      </c>
      <c r="I1026" s="65">
        <v>0.023404764773000002</v>
      </c>
      <c r="J1026" s="65">
        <v>0.077731636847</v>
      </c>
      <c r="K1026" s="65">
        <v>0.1982308708322604</v>
      </c>
      <c r="L1026" s="65">
        <v>0.56311399</v>
      </c>
      <c r="N1026" s="66">
        <v>3.7540932666666667</v>
      </c>
      <c r="O1026" s="10">
        <f t="shared" si="289"/>
        <v>3.754093267</v>
      </c>
      <c r="Q1026" s="67">
        <v>47.804916</v>
      </c>
      <c r="S1026" s="68">
        <v>0.074003329</v>
      </c>
      <c r="T1026" s="68">
        <v>0.069386511</v>
      </c>
      <c r="U1026" s="68">
        <v>0.0034448431</v>
      </c>
      <c r="V1026" s="68">
        <v>0.0011719751</v>
      </c>
      <c r="X1026" s="69">
        <v>2.0442793E-4</v>
      </c>
      <c r="Y1026" s="88"/>
      <c r="Z1026" s="48"/>
    </row>
    <row r="1027" ht="12.75" customHeight="1">
      <c r="A1027" s="1" t="s">
        <v>1580</v>
      </c>
      <c r="B1027" s="2" t="s">
        <v>1569</v>
      </c>
      <c r="C1027" s="60" t="str">
        <f t="shared" si="286"/>
        <v>A.140.01.112</v>
      </c>
      <c r="D1027" s="51" t="s">
        <v>1567</v>
      </c>
      <c r="E1027" s="62" t="s">
        <v>45</v>
      </c>
      <c r="F1027" s="63" t="str">
        <f t="shared" si="287"/>
        <v>Kenaf fibre incl. degumming India</v>
      </c>
      <c r="G1027" s="64">
        <v>0.9122073928920398</v>
      </c>
      <c r="H1027" s="10">
        <f t="shared" si="288"/>
        <v>0.9122073929</v>
      </c>
      <c r="I1027" s="65">
        <v>0.01927847025</v>
      </c>
      <c r="J1027" s="65">
        <v>0.03344764057999999</v>
      </c>
      <c r="K1027" s="65">
        <v>0.4616647620620398</v>
      </c>
      <c r="L1027" s="65">
        <v>0.39781652</v>
      </c>
      <c r="N1027" s="66">
        <v>2.6521101333333337</v>
      </c>
      <c r="O1027" s="10">
        <f t="shared" si="289"/>
        <v>2.652110133</v>
      </c>
      <c r="Q1027" s="67">
        <v>43.095931</v>
      </c>
      <c r="S1027" s="68">
        <v>0.051994201</v>
      </c>
      <c r="T1027" s="68">
        <v>0.046820472</v>
      </c>
      <c r="U1027" s="68">
        <v>0.0030423774</v>
      </c>
      <c r="V1027" s="68">
        <v>0.0021313519</v>
      </c>
      <c r="X1027" s="69">
        <v>2.5944467E-4</v>
      </c>
      <c r="Y1027" s="88"/>
      <c r="Z1027" s="48"/>
    </row>
    <row r="1028" ht="12.75" customHeight="1">
      <c r="A1028" s="1" t="s">
        <v>1581</v>
      </c>
      <c r="B1028" s="2" t="s">
        <v>1569</v>
      </c>
      <c r="C1028" s="60" t="str">
        <f t="shared" si="286"/>
        <v>A.140.01.113</v>
      </c>
      <c r="D1028" s="51" t="s">
        <v>1567</v>
      </c>
      <c r="E1028" s="62" t="s">
        <v>45</v>
      </c>
      <c r="F1028" s="63" t="str">
        <f t="shared" si="287"/>
        <v>Kenaf fibre incl. degumming Italy - renewable fule</v>
      </c>
      <c r="G1028" s="64">
        <v>0.6142334772540399</v>
      </c>
      <c r="H1028" s="10">
        <f t="shared" si="288"/>
        <v>0.6142334773</v>
      </c>
      <c r="I1028" s="65">
        <v>0.009742930129999999</v>
      </c>
      <c r="J1028" s="65">
        <v>0.019782193472000005</v>
      </c>
      <c r="K1028" s="65">
        <v>0.3983147736520399</v>
      </c>
      <c r="L1028" s="65">
        <v>0.18639358</v>
      </c>
      <c r="N1028" s="66">
        <v>1.2426238666666667</v>
      </c>
      <c r="O1028" s="10">
        <f t="shared" si="289"/>
        <v>1.242623867</v>
      </c>
      <c r="Q1028" s="67">
        <v>22.211818</v>
      </c>
      <c r="S1028" s="68">
        <v>0.045240114</v>
      </c>
      <c r="T1028" s="68">
        <v>0.043123271</v>
      </c>
      <c r="U1028" s="68">
        <v>0.0014535803</v>
      </c>
      <c r="V1028" s="68">
        <v>6.6326222E-4</v>
      </c>
      <c r="X1028" s="69">
        <v>2.5744255E-4</v>
      </c>
      <c r="Y1028" s="88"/>
      <c r="Z1028" s="48"/>
    </row>
    <row r="1029" ht="12.75" customHeight="1">
      <c r="A1029" s="1" t="s">
        <v>1582</v>
      </c>
      <c r="B1029" s="2" t="s">
        <v>1569</v>
      </c>
      <c r="C1029" s="60" t="str">
        <f t="shared" si="286"/>
        <v>A.140.01.114</v>
      </c>
      <c r="D1029" s="51" t="s">
        <v>1567</v>
      </c>
      <c r="E1029" s="62" t="s">
        <v>45</v>
      </c>
      <c r="F1029" s="63" t="str">
        <f t="shared" si="287"/>
        <v>Nylon pellets</v>
      </c>
      <c r="G1029" s="64">
        <v>1.63685184253</v>
      </c>
      <c r="H1029" s="10">
        <f t="shared" si="288"/>
        <v>1.636851843</v>
      </c>
      <c r="I1029" s="65">
        <v>0.05993272763</v>
      </c>
      <c r="J1029" s="65">
        <v>0.7579191149</v>
      </c>
      <c r="K1029" s="65">
        <v>0.0</v>
      </c>
      <c r="L1029" s="65">
        <v>0.819</v>
      </c>
      <c r="N1029" s="66">
        <v>5.46</v>
      </c>
      <c r="O1029" s="10">
        <f t="shared" si="289"/>
        <v>5.46</v>
      </c>
      <c r="Q1029" s="67">
        <v>124.2204</v>
      </c>
      <c r="S1029" s="68">
        <v>0.13012933</v>
      </c>
      <c r="T1029" s="68">
        <v>0.11684339</v>
      </c>
      <c r="U1029" s="68">
        <v>0.0046171229</v>
      </c>
      <c r="V1029" s="68">
        <v>0.0086688168</v>
      </c>
      <c r="X1029" s="69">
        <v>3.6840039E-4</v>
      </c>
      <c r="Y1029" s="88"/>
      <c r="Z1029" s="48"/>
    </row>
    <row r="1030" ht="12.75" customHeight="1">
      <c r="A1030" s="1" t="s">
        <v>1583</v>
      </c>
      <c r="B1030" s="2" t="s">
        <v>1569</v>
      </c>
      <c r="C1030" s="60" t="str">
        <f t="shared" si="286"/>
        <v>A.140.01.115</v>
      </c>
      <c r="D1030" s="51" t="s">
        <v>1567</v>
      </c>
      <c r="E1030" s="62" t="s">
        <v>45</v>
      </c>
      <c r="F1030" s="63" t="str">
        <f t="shared" si="287"/>
        <v>Polyester = PET pellets</v>
      </c>
      <c r="G1030" s="64">
        <v>1.0059994169447402</v>
      </c>
      <c r="H1030" s="10">
        <f t="shared" si="288"/>
        <v>1.005999417</v>
      </c>
      <c r="I1030" s="65">
        <v>0.0396926757</v>
      </c>
      <c r="J1030" s="65">
        <v>0.6550891958527401</v>
      </c>
      <c r="K1030" s="65">
        <v>0.003516885392</v>
      </c>
      <c r="L1030" s="65">
        <v>0.30770066</v>
      </c>
      <c r="N1030" s="66">
        <v>2.0513377333333334</v>
      </c>
      <c r="O1030" s="10">
        <f t="shared" si="289"/>
        <v>2.051337733</v>
      </c>
      <c r="Q1030" s="67">
        <v>72.095491</v>
      </c>
      <c r="S1030" s="68">
        <v>0.059408369</v>
      </c>
      <c r="T1030" s="68">
        <v>0.052348159</v>
      </c>
      <c r="U1030" s="68">
        <v>0.0019471992</v>
      </c>
      <c r="V1030" s="68">
        <v>0.005113011</v>
      </c>
      <c r="X1030" s="69">
        <v>1.8646866E-4</v>
      </c>
      <c r="Y1030" s="88"/>
      <c r="Z1030" s="48"/>
    </row>
    <row r="1031" ht="12.75" customHeight="1">
      <c r="A1031" s="1" t="s">
        <v>1584</v>
      </c>
      <c r="B1031" s="2" t="s">
        <v>1569</v>
      </c>
      <c r="C1031" s="60" t="str">
        <f t="shared" si="286"/>
        <v>A.140.01.116</v>
      </c>
      <c r="D1031" s="51" t="s">
        <v>1567</v>
      </c>
      <c r="E1031" s="62" t="s">
        <v>45</v>
      </c>
      <c r="F1031" s="63" t="str">
        <f t="shared" si="287"/>
        <v>PLA (polylactide) pellets</v>
      </c>
      <c r="G1031" s="64">
        <v>0.594335020599</v>
      </c>
      <c r="H1031" s="10">
        <f t="shared" si="288"/>
        <v>0.5943350206</v>
      </c>
      <c r="I1031" s="65">
        <v>0.023701053229999998</v>
      </c>
      <c r="J1031" s="65">
        <v>0.033966141819</v>
      </c>
      <c r="K1031" s="65">
        <v>0.00516573555</v>
      </c>
      <c r="L1031" s="65">
        <v>0.53150209</v>
      </c>
      <c r="N1031" s="66">
        <v>3.543347266666667</v>
      </c>
      <c r="O1031" s="10">
        <f t="shared" si="289"/>
        <v>3.543347267</v>
      </c>
      <c r="Q1031" s="67">
        <v>73.408489</v>
      </c>
      <c r="S1031" s="68">
        <v>0.065679604</v>
      </c>
      <c r="T1031" s="68">
        <v>0.059244213</v>
      </c>
      <c r="U1031" s="68">
        <v>0.0027863817</v>
      </c>
      <c r="V1031" s="68">
        <v>0.0036490089</v>
      </c>
      <c r="X1031" s="69">
        <v>1.7236998E-4</v>
      </c>
      <c r="Y1031" s="88"/>
      <c r="Z1031" s="48"/>
    </row>
    <row r="1032" ht="12.75" customHeight="1">
      <c r="A1032" s="1" t="s">
        <v>1585</v>
      </c>
      <c r="B1032" s="2" t="s">
        <v>1569</v>
      </c>
      <c r="C1032" s="60" t="str">
        <f t="shared" si="286"/>
        <v>A.140.01.117</v>
      </c>
      <c r="D1032" s="51" t="s">
        <v>1567</v>
      </c>
      <c r="E1032" s="62" t="s">
        <v>45</v>
      </c>
      <c r="F1032" s="63" t="str">
        <f t="shared" si="287"/>
        <v>Sorona (PTT) biobased pellets</v>
      </c>
      <c r="G1032" s="64">
        <v>0.9825541634219999</v>
      </c>
      <c r="H1032" s="10">
        <f t="shared" si="288"/>
        <v>0.9825541634</v>
      </c>
      <c r="I1032" s="65">
        <v>0.02248844139</v>
      </c>
      <c r="J1032" s="65">
        <v>0.45654833996199995</v>
      </c>
      <c r="K1032" s="65">
        <v>0.0049014420699999995</v>
      </c>
      <c r="L1032" s="65">
        <v>0.49861594</v>
      </c>
      <c r="N1032" s="66">
        <v>3.3241062666666665</v>
      </c>
      <c r="O1032" s="10">
        <f t="shared" si="289"/>
        <v>3.324106267</v>
      </c>
      <c r="Q1032" s="67">
        <v>74.167906</v>
      </c>
      <c r="S1032" s="68">
        <v>0.063478093</v>
      </c>
      <c r="T1032" s="68">
        <v>0.05562563</v>
      </c>
      <c r="U1032" s="68">
        <v>0.0026150865</v>
      </c>
      <c r="V1032" s="68">
        <v>0.0052373766</v>
      </c>
      <c r="X1032" s="69">
        <v>1.9257186E-4</v>
      </c>
      <c r="Y1032" s="88"/>
      <c r="Z1032" s="48"/>
    </row>
    <row r="1033" ht="12.75" customHeight="1">
      <c r="A1033" s="1" t="s">
        <v>1586</v>
      </c>
      <c r="B1033" s="2" t="s">
        <v>1569</v>
      </c>
      <c r="C1033" s="60" t="str">
        <f t="shared" si="286"/>
        <v>A.140.01.118</v>
      </c>
      <c r="D1033" s="51" t="s">
        <v>1567</v>
      </c>
      <c r="E1033" s="62" t="s">
        <v>45</v>
      </c>
      <c r="F1033" s="63" t="str">
        <f t="shared" si="287"/>
        <v>Viscose production</v>
      </c>
      <c r="G1033" s="64">
        <v>0.37663849153382</v>
      </c>
      <c r="H1033" s="10">
        <f t="shared" si="288"/>
        <v>0.3766384915</v>
      </c>
      <c r="I1033" s="65">
        <v>0.0051729563361999995</v>
      </c>
      <c r="J1033" s="65">
        <v>0.14646553519762</v>
      </c>
      <c r="K1033" s="65">
        <v>0.0</v>
      </c>
      <c r="L1033" s="65">
        <v>0.225</v>
      </c>
      <c r="N1033" s="66">
        <v>1.5</v>
      </c>
      <c r="O1033" s="10">
        <f t="shared" si="289"/>
        <v>1.5</v>
      </c>
      <c r="Q1033" s="67">
        <v>21.783</v>
      </c>
      <c r="S1033" s="68">
        <v>0.064586084</v>
      </c>
      <c r="T1033" s="68">
        <v>0.061168312</v>
      </c>
      <c r="U1033" s="68">
        <v>0.0018624651</v>
      </c>
      <c r="V1033" s="68">
        <v>0.0015553062</v>
      </c>
      <c r="X1033" s="69">
        <v>1.0362125E-4</v>
      </c>
      <c r="Y1033" s="88"/>
      <c r="Z1033" s="48"/>
    </row>
    <row r="1034" ht="12.75" customHeight="1">
      <c r="A1034" s="1" t="s">
        <v>1587</v>
      </c>
      <c r="B1034" s="2" t="s">
        <v>1569</v>
      </c>
      <c r="C1034" s="60" t="str">
        <f t="shared" si="286"/>
        <v>A.140.01.119</v>
      </c>
      <c r="D1034" s="51" t="s">
        <v>1567</v>
      </c>
      <c r="E1034" s="62" t="s">
        <v>45</v>
      </c>
      <c r="F1034" s="63" t="str">
        <f t="shared" si="287"/>
        <v>Wool from Australia - transported to Rotterdam</v>
      </c>
      <c r="G1034" s="64">
        <v>9.571887391576421</v>
      </c>
      <c r="H1034" s="10">
        <f t="shared" si="288"/>
        <v>9.571887392</v>
      </c>
      <c r="I1034" s="65">
        <v>0.02738969239</v>
      </c>
      <c r="J1034" s="65">
        <v>0.10809775291000001</v>
      </c>
      <c r="K1034" s="65">
        <v>0.27911454627642196</v>
      </c>
      <c r="L1034" s="65">
        <v>9.1572854</v>
      </c>
      <c r="N1034" s="66">
        <v>61.04856933333333</v>
      </c>
      <c r="O1034" s="10">
        <f t="shared" si="289"/>
        <v>61.04856933</v>
      </c>
      <c r="Q1034" s="67">
        <v>58.89182</v>
      </c>
      <c r="S1034" s="68">
        <v>1.0089608</v>
      </c>
      <c r="T1034" s="68">
        <v>0.95819484</v>
      </c>
      <c r="U1034" s="68">
        <v>0.046868234</v>
      </c>
      <c r="V1034" s="68">
        <v>0.0038977277</v>
      </c>
      <c r="X1034" s="69">
        <v>0.0017954795</v>
      </c>
      <c r="Y1034" s="77"/>
      <c r="Z1034" s="48"/>
    </row>
    <row r="1035" ht="12.75" customHeight="1">
      <c r="A1035" s="1" t="s">
        <v>1588</v>
      </c>
      <c r="B1035" s="2" t="s">
        <v>1569</v>
      </c>
      <c r="C1035" s="60" t="str">
        <f t="shared" si="286"/>
        <v>A.140.01.120</v>
      </c>
      <c r="D1035" s="51" t="s">
        <v>1567</v>
      </c>
      <c r="E1035" s="62" t="s">
        <v>45</v>
      </c>
      <c r="F1035" s="63" t="str">
        <f t="shared" si="287"/>
        <v>PP (Polypropylene) pellets</v>
      </c>
      <c r="G1035" s="64">
        <v>1.1938793114000001</v>
      </c>
      <c r="H1035" s="10">
        <f t="shared" si="288"/>
        <v>1.193879311</v>
      </c>
      <c r="I1035" s="65">
        <v>0.018569084299999997</v>
      </c>
      <c r="J1035" s="65">
        <v>0.9308102271</v>
      </c>
      <c r="K1035" s="65">
        <v>0.0</v>
      </c>
      <c r="L1035" s="65">
        <v>0.2445</v>
      </c>
      <c r="N1035" s="66">
        <v>1.6300000000000001</v>
      </c>
      <c r="O1035" s="10">
        <f t="shared" si="289"/>
        <v>1.63</v>
      </c>
      <c r="Q1035" s="67">
        <v>82.255</v>
      </c>
      <c r="S1035" s="68">
        <v>0.045945706</v>
      </c>
      <c r="T1035" s="68">
        <v>0.038641326</v>
      </c>
      <c r="U1035" s="68">
        <v>0.0014903489</v>
      </c>
      <c r="V1035" s="68">
        <v>0.0058140306</v>
      </c>
      <c r="X1035" s="69">
        <v>1.8693736E-4</v>
      </c>
      <c r="Y1035" s="77"/>
      <c r="Z1035" s="48"/>
    </row>
    <row r="1036" ht="12.75" customHeight="1">
      <c r="A1036" s="1" t="s">
        <v>1589</v>
      </c>
      <c r="B1036" s="2" t="s">
        <v>1569</v>
      </c>
      <c r="C1036" s="60" t="str">
        <f t="shared" si="286"/>
        <v>A.140.01.121</v>
      </c>
      <c r="D1036" s="51" t="s">
        <v>1567</v>
      </c>
      <c r="E1036" s="62" t="s">
        <v>45</v>
      </c>
      <c r="F1036" s="63" t="str">
        <f t="shared" si="287"/>
        <v>Flax fibres for spinning linen</v>
      </c>
      <c r="G1036" s="64">
        <v>0.3655319991204</v>
      </c>
      <c r="H1036" s="10">
        <f t="shared" si="288"/>
        <v>0.3655319991</v>
      </c>
      <c r="I1036" s="65">
        <v>0.07396214935</v>
      </c>
      <c r="J1036" s="65">
        <v>0.0838200733204</v>
      </c>
      <c r="K1036" s="65">
        <v>0.00107759645</v>
      </c>
      <c r="L1036" s="65">
        <v>0.20667218</v>
      </c>
      <c r="N1036" s="66">
        <v>1.3778145333333334</v>
      </c>
      <c r="O1036" s="10">
        <f t="shared" si="289"/>
        <v>1.377814533</v>
      </c>
      <c r="Q1036" s="67">
        <v>10.828352</v>
      </c>
      <c r="S1036" s="68">
        <v>0.028565447</v>
      </c>
      <c r="T1036" s="68">
        <v>0.026607972</v>
      </c>
      <c r="U1036" s="68">
        <v>0.0011962754</v>
      </c>
      <c r="V1036" s="68">
        <v>7.6120024E-4</v>
      </c>
      <c r="X1036" s="69">
        <v>9.9245685E-5</v>
      </c>
      <c r="Y1036" s="77"/>
      <c r="Z1036" s="48"/>
    </row>
    <row r="1037" ht="12.75" customHeight="1">
      <c r="B1037" s="2"/>
      <c r="C1037" s="60"/>
      <c r="D1037" s="75" t="s">
        <v>1590</v>
      </c>
      <c r="E1037" s="62"/>
      <c r="G1037" s="10"/>
      <c r="H1037" s="10"/>
      <c r="I1037" s="10"/>
      <c r="J1037" s="10"/>
      <c r="K1037" s="10"/>
      <c r="L1037" s="10"/>
      <c r="N1037" s="10"/>
      <c r="O1037" s="10"/>
      <c r="Q1037" s="67"/>
      <c r="Z1037" s="48"/>
    </row>
    <row r="1038" ht="12.75" customHeight="1">
      <c r="A1038" s="1" t="s">
        <v>1591</v>
      </c>
      <c r="B1038" s="2" t="s">
        <v>1569</v>
      </c>
      <c r="C1038" s="60" t="str">
        <f t="shared" ref="C1038:C1072" si="290">MID(A1038,1,12)</f>
        <v>A.140.03.101</v>
      </c>
      <c r="D1038" s="51" t="s">
        <v>1590</v>
      </c>
      <c r="E1038" s="62" t="s">
        <v>45</v>
      </c>
      <c r="F1038" s="63" t="str">
        <f t="shared" ref="F1038:F1072" si="291">MID(A1038, 21,85)</f>
        <v>dyeing with pollution in India - without materials input</v>
      </c>
      <c r="G1038" s="64">
        <v>7.370412326475201</v>
      </c>
      <c r="H1038" s="10">
        <f t="shared" ref="H1038:H1072" si="292">G1038</f>
        <v>7.370412326</v>
      </c>
      <c r="I1038" s="65">
        <v>0.03609106698</v>
      </c>
      <c r="J1038" s="65">
        <v>6.8585203289452</v>
      </c>
      <c r="K1038" s="65">
        <v>0.01250822055</v>
      </c>
      <c r="L1038" s="65">
        <v>0.46329271</v>
      </c>
      <c r="N1038" s="66">
        <v>3.0886180666666667</v>
      </c>
      <c r="O1038" s="10">
        <f t="shared" ref="O1038:O1072" si="293">N1038</f>
        <v>3.088618067</v>
      </c>
      <c r="Q1038" s="67">
        <v>42.60957</v>
      </c>
      <c r="S1038" s="68">
        <v>0.096598226</v>
      </c>
      <c r="T1038" s="68">
        <v>0.091047251</v>
      </c>
      <c r="U1038" s="68">
        <v>0.0028550913</v>
      </c>
      <c r="V1038" s="68">
        <v>0.0026958843</v>
      </c>
      <c r="X1038" s="69">
        <v>0.0010891414</v>
      </c>
      <c r="Y1038" s="77"/>
      <c r="Z1038" s="48"/>
    </row>
    <row r="1039" ht="12.75" customHeight="1">
      <c r="A1039" s="1" t="s">
        <v>1592</v>
      </c>
      <c r="B1039" s="2" t="s">
        <v>1569</v>
      </c>
      <c r="C1039" s="60" t="str">
        <f t="shared" si="290"/>
        <v>A.140.03.102</v>
      </c>
      <c r="D1039" s="51" t="s">
        <v>1590</v>
      </c>
      <c r="E1039" s="62" t="s">
        <v>45</v>
      </c>
      <c r="F1039" s="63" t="str">
        <f t="shared" si="291"/>
        <v>dyeing in Europe - without materials input</v>
      </c>
      <c r="G1039" s="64">
        <v>0.6258693649752001</v>
      </c>
      <c r="H1039" s="10">
        <f t="shared" si="292"/>
        <v>0.625869365</v>
      </c>
      <c r="I1039" s="65">
        <v>0.03609106698</v>
      </c>
      <c r="J1039" s="65">
        <v>0.1139773674452</v>
      </c>
      <c r="K1039" s="65">
        <v>0.01250822055</v>
      </c>
      <c r="L1039" s="65">
        <v>0.46329271</v>
      </c>
      <c r="N1039" s="66">
        <v>3.0886180666666667</v>
      </c>
      <c r="O1039" s="10">
        <f t="shared" si="293"/>
        <v>3.088618067</v>
      </c>
      <c r="Q1039" s="67">
        <v>42.60957</v>
      </c>
      <c r="S1039" s="68">
        <v>0.079583162</v>
      </c>
      <c r="T1039" s="68">
        <v>0.07404506</v>
      </c>
      <c r="U1039" s="68">
        <v>0.0028422177</v>
      </c>
      <c r="V1039" s="68">
        <v>0.0026958843</v>
      </c>
      <c r="X1039" s="69">
        <v>1.7207035E-4</v>
      </c>
      <c r="Y1039" s="88"/>
      <c r="Z1039" s="48"/>
    </row>
    <row r="1040" ht="12.75" customHeight="1">
      <c r="A1040" s="1" t="s">
        <v>1593</v>
      </c>
      <c r="B1040" s="2" t="s">
        <v>1569</v>
      </c>
      <c r="C1040" s="60" t="str">
        <f t="shared" si="290"/>
        <v>A.140.03.103</v>
      </c>
      <c r="D1040" s="51" t="s">
        <v>1590</v>
      </c>
      <c r="E1040" s="62" t="s">
        <v>45</v>
      </c>
      <c r="F1040" s="63" t="str">
        <f t="shared" si="291"/>
        <v>heat setting and washing synthetic fabrics</v>
      </c>
      <c r="G1040" s="64">
        <v>0.22261066220070003</v>
      </c>
      <c r="H1040" s="10">
        <f t="shared" si="292"/>
        <v>0.2226106622</v>
      </c>
      <c r="I1040" s="65">
        <v>0.011389595012000002</v>
      </c>
      <c r="J1040" s="65">
        <v>0.0340510724187</v>
      </c>
      <c r="K1040" s="65">
        <v>0.01217622477</v>
      </c>
      <c r="L1040" s="65">
        <v>0.16499377</v>
      </c>
      <c r="N1040" s="66">
        <v>1.0999584666666669</v>
      </c>
      <c r="O1040" s="10">
        <f t="shared" si="293"/>
        <v>1.099958467</v>
      </c>
      <c r="Q1040" s="67">
        <v>16.636686</v>
      </c>
      <c r="S1040" s="68">
        <v>0.026485397</v>
      </c>
      <c r="T1040" s="68">
        <v>0.024688902</v>
      </c>
      <c r="U1040" s="68">
        <v>9.8106578E-4</v>
      </c>
      <c r="V1040" s="68">
        <v>8.1542984E-4</v>
      </c>
      <c r="X1040" s="69">
        <v>5.9883519E-5</v>
      </c>
      <c r="Y1040" s="88"/>
      <c r="Z1040" s="48"/>
    </row>
    <row r="1041" ht="12.75" customHeight="1">
      <c r="A1041" s="1" t="s">
        <v>1594</v>
      </c>
      <c r="B1041" s="2" t="s">
        <v>1569</v>
      </c>
      <c r="C1041" s="60" t="str">
        <f t="shared" si="290"/>
        <v>A.140.03.104</v>
      </c>
      <c r="D1041" s="51" t="s">
        <v>1590</v>
      </c>
      <c r="E1041" s="62" t="s">
        <v>45</v>
      </c>
      <c r="F1041" s="63" t="str">
        <f t="shared" si="291"/>
        <v>knitting  83 dtex</v>
      </c>
      <c r="G1041" s="64">
        <v>0.04632587579</v>
      </c>
      <c r="H1041" s="10">
        <f t="shared" si="292"/>
        <v>0.04632587579</v>
      </c>
      <c r="I1041" s="65">
        <v>0.00146789415</v>
      </c>
      <c r="J1041" s="65">
        <v>0.0030409643</v>
      </c>
      <c r="K1041" s="65">
        <v>0.00735123334</v>
      </c>
      <c r="L1041" s="65">
        <v>0.034465784</v>
      </c>
      <c r="N1041" s="66">
        <v>0.22977189333333334</v>
      </c>
      <c r="O1041" s="10">
        <f t="shared" si="293"/>
        <v>0.2297718933</v>
      </c>
      <c r="Q1041" s="67">
        <v>4.3855574</v>
      </c>
      <c r="S1041" s="68">
        <v>0.0043764825</v>
      </c>
      <c r="T1041" s="68">
        <v>0.0041106712</v>
      </c>
      <c r="U1041" s="68">
        <v>1.8554664E-4</v>
      </c>
      <c r="V1041" s="68">
        <v>8.0264588E-5</v>
      </c>
      <c r="X1041" s="69">
        <v>1.1639717E-5</v>
      </c>
      <c r="Y1041" s="88"/>
      <c r="Z1041" s="48"/>
    </row>
    <row r="1042" ht="12.75" customHeight="1">
      <c r="A1042" s="1" t="s">
        <v>1595</v>
      </c>
      <c r="B1042" s="2" t="s">
        <v>1569</v>
      </c>
      <c r="C1042" s="60" t="str">
        <f t="shared" si="290"/>
        <v>A.140.03.105</v>
      </c>
      <c r="D1042" s="51" t="s">
        <v>1590</v>
      </c>
      <c r="E1042" s="62" t="s">
        <v>45</v>
      </c>
      <c r="F1042" s="63" t="str">
        <f t="shared" si="291"/>
        <v>knitting 200 dtex</v>
      </c>
      <c r="G1042" s="64">
        <v>0.019075360171</v>
      </c>
      <c r="H1042" s="10">
        <f t="shared" si="292"/>
        <v>0.01907536017</v>
      </c>
      <c r="I1042" s="65">
        <v>6.04426994E-4</v>
      </c>
      <c r="J1042" s="65">
        <v>0.00125216176</v>
      </c>
      <c r="K1042" s="65">
        <v>0.003026978417</v>
      </c>
      <c r="L1042" s="65">
        <v>0.014191793</v>
      </c>
      <c r="N1042" s="66">
        <v>0.09461195333333333</v>
      </c>
      <c r="O1042" s="10">
        <f t="shared" si="293"/>
        <v>0.09461195333</v>
      </c>
      <c r="Q1042" s="67">
        <v>1.8058177</v>
      </c>
      <c r="S1042" s="68">
        <v>0.001802081</v>
      </c>
      <c r="T1042" s="68">
        <v>0.0016926293</v>
      </c>
      <c r="U1042" s="68">
        <v>7.6401559E-5</v>
      </c>
      <c r="V1042" s="68">
        <v>3.3050125E-5</v>
      </c>
      <c r="X1042" s="69">
        <v>4.7928246E-6</v>
      </c>
      <c r="Y1042" s="88"/>
      <c r="Z1042" s="48"/>
    </row>
    <row r="1043" ht="12.75" customHeight="1">
      <c r="A1043" s="1" t="s">
        <v>1596</v>
      </c>
      <c r="B1043" s="2" t="s">
        <v>1569</v>
      </c>
      <c r="C1043" s="60" t="str">
        <f t="shared" si="290"/>
        <v>A.140.03.106</v>
      </c>
      <c r="D1043" s="51" t="s">
        <v>1590</v>
      </c>
      <c r="E1043" s="62" t="s">
        <v>45</v>
      </c>
      <c r="F1043" s="63" t="str">
        <f t="shared" si="291"/>
        <v>knitting 300 dtex</v>
      </c>
      <c r="G1043" s="64">
        <v>0.012716906921</v>
      </c>
      <c r="H1043" s="10">
        <f t="shared" si="292"/>
        <v>0.01271690692</v>
      </c>
      <c r="I1043" s="65">
        <v>4.02951333E-4</v>
      </c>
      <c r="J1043" s="65">
        <v>8.347745100000001E-4</v>
      </c>
      <c r="K1043" s="65">
        <v>0.0020179855779999998</v>
      </c>
      <c r="L1043" s="65">
        <v>0.0094611955</v>
      </c>
      <c r="N1043" s="66">
        <v>0.06307463666666667</v>
      </c>
      <c r="O1043" s="10">
        <f t="shared" si="293"/>
        <v>0.06307463667</v>
      </c>
      <c r="Q1043" s="67">
        <v>1.2038785</v>
      </c>
      <c r="S1043" s="68">
        <v>0.0012013873</v>
      </c>
      <c r="T1043" s="68">
        <v>0.0011284196</v>
      </c>
      <c r="U1043" s="68">
        <v>5.0934372E-5</v>
      </c>
      <c r="V1043" s="68">
        <v>2.2033416E-5</v>
      </c>
      <c r="X1043" s="69">
        <v>3.1952164E-6</v>
      </c>
      <c r="Y1043" s="88"/>
      <c r="Z1043" s="48"/>
    </row>
    <row r="1044" ht="12.75" customHeight="1">
      <c r="A1044" s="1" t="s">
        <v>1597</v>
      </c>
      <c r="B1044" s="2" t="s">
        <v>1569</v>
      </c>
      <c r="C1044" s="60" t="str">
        <f t="shared" si="290"/>
        <v>A.140.03.107</v>
      </c>
      <c r="D1044" s="51" t="s">
        <v>1590</v>
      </c>
      <c r="E1044" s="62" t="s">
        <v>45</v>
      </c>
      <c r="F1044" s="63" t="str">
        <f t="shared" si="291"/>
        <v>pretreatment of cotton</v>
      </c>
      <c r="G1044" s="64">
        <v>0.3453027622375</v>
      </c>
      <c r="H1044" s="10">
        <f t="shared" si="292"/>
        <v>0.3453027622</v>
      </c>
      <c r="I1044" s="65">
        <v>0.01961314351</v>
      </c>
      <c r="J1044" s="65">
        <v>0.0615432010375</v>
      </c>
      <c r="K1044" s="65">
        <v>0.00849684769</v>
      </c>
      <c r="L1044" s="65">
        <v>0.25564957</v>
      </c>
      <c r="N1044" s="66">
        <v>1.7043304666666668</v>
      </c>
      <c r="O1044" s="10">
        <f t="shared" si="293"/>
        <v>1.704330467</v>
      </c>
      <c r="Q1044" s="67">
        <v>23.814328</v>
      </c>
      <c r="S1044" s="68">
        <v>0.043531323</v>
      </c>
      <c r="T1044" s="68">
        <v>0.04051165</v>
      </c>
      <c r="U1044" s="68">
        <v>0.0015619329</v>
      </c>
      <c r="V1044" s="68">
        <v>0.00145774</v>
      </c>
      <c r="X1044" s="69">
        <v>9.4661766E-5</v>
      </c>
      <c r="Y1044" s="88"/>
      <c r="Z1044" s="48"/>
    </row>
    <row r="1045" ht="12.75" customHeight="1">
      <c r="A1045" s="1" t="s">
        <v>1598</v>
      </c>
      <c r="B1045" s="2" t="s">
        <v>1569</v>
      </c>
      <c r="C1045" s="60" t="str">
        <f t="shared" si="290"/>
        <v>A.140.03.108</v>
      </c>
      <c r="D1045" s="51" t="s">
        <v>1590</v>
      </c>
      <c r="E1045" s="62" t="s">
        <v>45</v>
      </c>
      <c r="F1045" s="63" t="str">
        <f t="shared" si="291"/>
        <v>spinning cotton  45 dtex</v>
      </c>
      <c r="G1045" s="64">
        <v>2.038338534</v>
      </c>
      <c r="H1045" s="10">
        <f t="shared" si="292"/>
        <v>2.038338534</v>
      </c>
      <c r="I1045" s="65">
        <v>0.0645873418</v>
      </c>
      <c r="J1045" s="65">
        <v>0.133802428</v>
      </c>
      <c r="K1045" s="65">
        <v>0.3234542642</v>
      </c>
      <c r="L1045" s="65">
        <v>1.5164945</v>
      </c>
      <c r="N1045" s="66">
        <v>10.109963333333335</v>
      </c>
      <c r="O1045" s="10">
        <f t="shared" si="293"/>
        <v>10.10996333</v>
      </c>
      <c r="Q1045" s="67">
        <v>192.96453</v>
      </c>
      <c r="S1045" s="68">
        <v>0.19256523</v>
      </c>
      <c r="T1045" s="68">
        <v>0.18086953</v>
      </c>
      <c r="U1045" s="68">
        <v>0.0081640523</v>
      </c>
      <c r="V1045" s="68">
        <v>0.0035316419</v>
      </c>
      <c r="X1045" s="69">
        <v>5.1214754E-4</v>
      </c>
      <c r="Y1045" s="88"/>
      <c r="Z1045" s="48"/>
    </row>
    <row r="1046" ht="12.75" customHeight="1">
      <c r="A1046" s="1" t="s">
        <v>1599</v>
      </c>
      <c r="B1046" s="2" t="s">
        <v>1569</v>
      </c>
      <c r="C1046" s="60" t="str">
        <f t="shared" si="290"/>
        <v>A.140.03.109</v>
      </c>
      <c r="D1046" s="51" t="s">
        <v>1590</v>
      </c>
      <c r="E1046" s="62" t="s">
        <v>45</v>
      </c>
      <c r="F1046" s="63" t="str">
        <f t="shared" si="291"/>
        <v>spinning cotton  70 dtex</v>
      </c>
      <c r="G1046" s="64">
        <v>1.3107497694</v>
      </c>
      <c r="H1046" s="10">
        <f t="shared" si="292"/>
        <v>1.310749769</v>
      </c>
      <c r="I1046" s="65">
        <v>0.0415327694</v>
      </c>
      <c r="J1046" s="65">
        <v>0.086041401</v>
      </c>
      <c r="K1046" s="65">
        <v>0.207996659</v>
      </c>
      <c r="L1046" s="65">
        <v>0.97517894</v>
      </c>
      <c r="N1046" s="66">
        <v>6.501192933333334</v>
      </c>
      <c r="O1046" s="10">
        <f t="shared" si="293"/>
        <v>6.501192933</v>
      </c>
      <c r="Q1046" s="67">
        <v>124.08548</v>
      </c>
      <c r="S1046" s="68">
        <v>0.12382871</v>
      </c>
      <c r="T1046" s="68">
        <v>0.11630782</v>
      </c>
      <c r="U1046" s="68">
        <v>0.0052498785</v>
      </c>
      <c r="V1046" s="68">
        <v>0.0022710157</v>
      </c>
      <c r="X1046" s="69">
        <v>3.2933552E-4</v>
      </c>
      <c r="Y1046" s="88"/>
      <c r="Z1046" s="48"/>
    </row>
    <row r="1047" ht="12.75" customHeight="1">
      <c r="A1047" s="1" t="s">
        <v>1600</v>
      </c>
      <c r="B1047" s="2" t="s">
        <v>1569</v>
      </c>
      <c r="C1047" s="60" t="str">
        <f t="shared" si="290"/>
        <v>A.140.03.110</v>
      </c>
      <c r="D1047" s="51" t="s">
        <v>1590</v>
      </c>
      <c r="E1047" s="62" t="s">
        <v>45</v>
      </c>
      <c r="F1047" s="63" t="str">
        <f t="shared" si="291"/>
        <v>spinning cotton 100 dtex</v>
      </c>
      <c r="G1047" s="64">
        <v>0.9174340009</v>
      </c>
      <c r="H1047" s="10">
        <f t="shared" si="292"/>
        <v>0.9174340009</v>
      </c>
      <c r="I1047" s="65">
        <v>0.0290700604</v>
      </c>
      <c r="J1047" s="65">
        <v>0.060223017</v>
      </c>
      <c r="K1047" s="65">
        <v>0.1455832535</v>
      </c>
      <c r="L1047" s="65">
        <v>0.68255767</v>
      </c>
      <c r="N1047" s="66">
        <v>4.550384466666667</v>
      </c>
      <c r="O1047" s="10">
        <f t="shared" si="293"/>
        <v>4.550384467</v>
      </c>
      <c r="Q1047" s="67">
        <v>86.851235</v>
      </c>
      <c r="S1047" s="68">
        <v>0.086671516</v>
      </c>
      <c r="T1047" s="68">
        <v>0.081407411</v>
      </c>
      <c r="U1047" s="68">
        <v>0.0036745511</v>
      </c>
      <c r="V1047" s="68">
        <v>0.0015895536</v>
      </c>
      <c r="X1047" s="69">
        <v>2.3051204E-4</v>
      </c>
      <c r="Y1047" s="88"/>
      <c r="Z1047" s="48"/>
    </row>
    <row r="1048" ht="12.75" customHeight="1">
      <c r="A1048" s="1" t="s">
        <v>1601</v>
      </c>
      <c r="B1048" s="2" t="s">
        <v>1569</v>
      </c>
      <c r="C1048" s="60" t="str">
        <f t="shared" si="290"/>
        <v>A.140.03.111</v>
      </c>
      <c r="D1048" s="51" t="s">
        <v>1590</v>
      </c>
      <c r="E1048" s="62" t="s">
        <v>45</v>
      </c>
      <c r="F1048" s="63" t="str">
        <f t="shared" si="291"/>
        <v>spinning cotton 150 dtex</v>
      </c>
      <c r="G1048" s="64">
        <v>0.6113198809</v>
      </c>
      <c r="H1048" s="10">
        <f t="shared" si="292"/>
        <v>0.6113198809</v>
      </c>
      <c r="I1048" s="65">
        <v>0.019370446200000002</v>
      </c>
      <c r="J1048" s="65">
        <v>0.040128803000000005</v>
      </c>
      <c r="K1048" s="65">
        <v>0.0970074517</v>
      </c>
      <c r="L1048" s="65">
        <v>0.45481318</v>
      </c>
      <c r="N1048" s="66">
        <v>3.0320878666666666</v>
      </c>
      <c r="O1048" s="10">
        <f t="shared" si="293"/>
        <v>3.032087867</v>
      </c>
      <c r="Q1048" s="67">
        <v>57.872159</v>
      </c>
      <c r="S1048" s="68">
        <v>0.057752406</v>
      </c>
      <c r="T1048" s="68">
        <v>0.05424474</v>
      </c>
      <c r="U1048" s="68">
        <v>0.002448488</v>
      </c>
      <c r="V1048" s="68">
        <v>0.0010591778</v>
      </c>
      <c r="X1048" s="69">
        <v>1.5359862E-4</v>
      </c>
      <c r="Y1048" s="88"/>
      <c r="Z1048" s="48"/>
    </row>
    <row r="1049" ht="12.75" customHeight="1">
      <c r="A1049" s="1" t="s">
        <v>1602</v>
      </c>
      <c r="B1049" s="2" t="s">
        <v>1569</v>
      </c>
      <c r="C1049" s="60" t="str">
        <f t="shared" si="290"/>
        <v>A.140.03.112</v>
      </c>
      <c r="D1049" s="51" t="s">
        <v>1590</v>
      </c>
      <c r="E1049" s="62" t="s">
        <v>45</v>
      </c>
      <c r="F1049" s="63" t="str">
        <f t="shared" si="291"/>
        <v>spinning cotton 200 dtex</v>
      </c>
      <c r="G1049" s="64">
        <v>0.45871700390000003</v>
      </c>
      <c r="H1049" s="10">
        <f t="shared" si="292"/>
        <v>0.4587170039</v>
      </c>
      <c r="I1049" s="65">
        <v>0.0145350302</v>
      </c>
      <c r="J1049" s="65">
        <v>0.030111508999999998</v>
      </c>
      <c r="K1049" s="65">
        <v>0.0727916247</v>
      </c>
      <c r="L1049" s="65">
        <v>0.34127884</v>
      </c>
      <c r="N1049" s="66">
        <v>2.275192266666667</v>
      </c>
      <c r="O1049" s="10">
        <f t="shared" si="293"/>
        <v>2.275192267</v>
      </c>
      <c r="Q1049" s="67">
        <v>43.425617</v>
      </c>
      <c r="S1049" s="68">
        <v>0.043335758</v>
      </c>
      <c r="T1049" s="68">
        <v>0.040703705</v>
      </c>
      <c r="U1049" s="68">
        <v>0.0018372756</v>
      </c>
      <c r="V1049" s="68">
        <v>7.9477681E-4</v>
      </c>
      <c r="X1049" s="69">
        <v>1.1525602E-4</v>
      </c>
      <c r="Y1049" s="88"/>
      <c r="Z1049" s="48"/>
    </row>
    <row r="1050" ht="12.75" customHeight="1">
      <c r="A1050" s="1" t="s">
        <v>1603</v>
      </c>
      <c r="B1050" s="2" t="s">
        <v>1569</v>
      </c>
      <c r="C1050" s="60" t="str">
        <f t="shared" si="290"/>
        <v>A.140.03.113</v>
      </c>
      <c r="D1050" s="51" t="s">
        <v>1590</v>
      </c>
      <c r="E1050" s="62" t="s">
        <v>45</v>
      </c>
      <c r="F1050" s="63" t="str">
        <f t="shared" si="291"/>
        <v>spinning cotton 300 dtex</v>
      </c>
      <c r="G1050" s="64">
        <v>0.30611411531</v>
      </c>
      <c r="H1050" s="10">
        <f t="shared" si="292"/>
        <v>0.3061141153</v>
      </c>
      <c r="I1050" s="65">
        <v>0.0096996141</v>
      </c>
      <c r="J1050" s="65">
        <v>0.020094214399999998</v>
      </c>
      <c r="K1050" s="65">
        <v>0.04857579681</v>
      </c>
      <c r="L1050" s="65">
        <v>0.22774449</v>
      </c>
      <c r="N1050" s="66">
        <v>1.5182966</v>
      </c>
      <c r="O1050" s="10">
        <f t="shared" si="293"/>
        <v>1.5182966</v>
      </c>
      <c r="Q1050" s="67">
        <v>28.979075</v>
      </c>
      <c r="S1050" s="68">
        <v>0.02891911</v>
      </c>
      <c r="T1050" s="68">
        <v>0.027162671</v>
      </c>
      <c r="U1050" s="68">
        <v>0.0012260631</v>
      </c>
      <c r="V1050" s="68">
        <v>5.3037581E-4</v>
      </c>
      <c r="X1050" s="69">
        <v>7.6913423E-5</v>
      </c>
      <c r="Y1050" s="88"/>
      <c r="Z1050" s="48"/>
    </row>
    <row r="1051" ht="12.75" customHeight="1">
      <c r="A1051" s="1" t="s">
        <v>1604</v>
      </c>
      <c r="B1051" s="2" t="s">
        <v>1569</v>
      </c>
      <c r="C1051" s="60" t="str">
        <f t="shared" si="290"/>
        <v>A.140.03.114</v>
      </c>
      <c r="D1051" s="51" t="s">
        <v>1590</v>
      </c>
      <c r="E1051" s="62" t="s">
        <v>45</v>
      </c>
      <c r="F1051" s="63" t="str">
        <f t="shared" si="291"/>
        <v>spinning cotton 400 dtex</v>
      </c>
      <c r="G1051" s="64">
        <v>0.22981267726</v>
      </c>
      <c r="H1051" s="10">
        <f t="shared" si="292"/>
        <v>0.2298126773</v>
      </c>
      <c r="I1051" s="65">
        <v>0.00728190612</v>
      </c>
      <c r="J1051" s="65">
        <v>0.0150855678</v>
      </c>
      <c r="K1051" s="65">
        <v>0.03646788334</v>
      </c>
      <c r="L1051" s="65">
        <v>0.17097732</v>
      </c>
      <c r="N1051" s="66">
        <v>1.1398488</v>
      </c>
      <c r="O1051" s="10">
        <f t="shared" si="293"/>
        <v>1.1398488</v>
      </c>
      <c r="Q1051" s="67">
        <v>21.755804</v>
      </c>
      <c r="S1051" s="68">
        <v>0.021710786</v>
      </c>
      <c r="T1051" s="68">
        <v>0.020392153</v>
      </c>
      <c r="U1051" s="68">
        <v>9.2045687E-4</v>
      </c>
      <c r="V1051" s="68">
        <v>3.9817531E-4</v>
      </c>
      <c r="X1051" s="69">
        <v>5.7742125E-5</v>
      </c>
      <c r="Y1051" s="88"/>
      <c r="Z1051" s="72"/>
    </row>
    <row r="1052" ht="12.75" customHeight="1">
      <c r="A1052" s="1" t="s">
        <v>1605</v>
      </c>
      <c r="B1052" s="2" t="s">
        <v>1569</v>
      </c>
      <c r="C1052" s="60" t="str">
        <f t="shared" si="290"/>
        <v>A.140.03.115</v>
      </c>
      <c r="D1052" s="51" t="s">
        <v>1590</v>
      </c>
      <c r="E1052" s="62" t="s">
        <v>45</v>
      </c>
      <c r="F1052" s="63" t="str">
        <f t="shared" si="291"/>
        <v>spinning cotton 500 dtex</v>
      </c>
      <c r="G1052" s="64">
        <v>0.18348679537</v>
      </c>
      <c r="H1052" s="10">
        <f t="shared" si="292"/>
        <v>0.1834867954</v>
      </c>
      <c r="I1052" s="65">
        <v>0.00581401207</v>
      </c>
      <c r="J1052" s="65">
        <v>0.0120446036</v>
      </c>
      <c r="K1052" s="65">
        <v>0.0291166497</v>
      </c>
      <c r="L1052" s="65">
        <v>0.13651153</v>
      </c>
      <c r="N1052" s="66">
        <v>0.9100768666666667</v>
      </c>
      <c r="O1052" s="10">
        <f t="shared" si="293"/>
        <v>0.9100768667</v>
      </c>
      <c r="Q1052" s="67">
        <v>17.370247</v>
      </c>
      <c r="S1052" s="68">
        <v>0.017334303</v>
      </c>
      <c r="T1052" s="68">
        <v>0.016281482</v>
      </c>
      <c r="U1052" s="68">
        <v>7.3491023E-4</v>
      </c>
      <c r="V1052" s="68">
        <v>3.1791072E-4</v>
      </c>
      <c r="X1052" s="69">
        <v>4.6102408E-5</v>
      </c>
      <c r="Y1052" s="88"/>
      <c r="Z1052" s="48"/>
    </row>
    <row r="1053" ht="12.75" customHeight="1">
      <c r="A1053" s="1" t="s">
        <v>1606</v>
      </c>
      <c r="B1053" s="2" t="s">
        <v>1569</v>
      </c>
      <c r="C1053" s="60" t="str">
        <f t="shared" si="290"/>
        <v>A.140.03.116</v>
      </c>
      <c r="D1053" s="51" t="s">
        <v>1590</v>
      </c>
      <c r="E1053" s="62" t="s">
        <v>45</v>
      </c>
      <c r="F1053" s="63" t="str">
        <f t="shared" si="291"/>
        <v>spinning extruder polymer filaments  (80 - 500 dtex)</v>
      </c>
      <c r="G1053" s="64">
        <v>0.151704611198</v>
      </c>
      <c r="H1053" s="10">
        <f t="shared" si="292"/>
        <v>0.1517046112</v>
      </c>
      <c r="I1053" s="65">
        <v>0.007381390185</v>
      </c>
      <c r="J1053" s="65">
        <v>0.021499798783</v>
      </c>
      <c r="K1053" s="65">
        <v>0.01032868223</v>
      </c>
      <c r="L1053" s="65">
        <v>0.11249474</v>
      </c>
      <c r="N1053" s="66">
        <v>0.7499649333333334</v>
      </c>
      <c r="O1053" s="10">
        <f t="shared" si="293"/>
        <v>0.7499649333</v>
      </c>
      <c r="Q1053" s="67">
        <v>11.726846</v>
      </c>
      <c r="S1053" s="68">
        <v>0.017570692</v>
      </c>
      <c r="T1053" s="68">
        <v>0.016391965</v>
      </c>
      <c r="U1053" s="68">
        <v>6.6072845E-4</v>
      </c>
      <c r="V1053" s="68">
        <v>5.179985E-4</v>
      </c>
      <c r="X1053" s="69">
        <v>4.0462779E-5</v>
      </c>
      <c r="Y1053" s="88"/>
      <c r="Z1053" s="48"/>
    </row>
    <row r="1054" ht="12.75" customHeight="1">
      <c r="A1054" s="1" t="s">
        <v>1607</v>
      </c>
      <c r="B1054" s="2" t="s">
        <v>1569</v>
      </c>
      <c r="C1054" s="60" t="str">
        <f t="shared" si="290"/>
        <v>A.140.03.117</v>
      </c>
      <c r="D1054" s="51" t="s">
        <v>1590</v>
      </c>
      <c r="E1054" s="62" t="s">
        <v>45</v>
      </c>
      <c r="F1054" s="63" t="str">
        <f t="shared" si="291"/>
        <v>spinning viscose fibres (80-500 dtex)</v>
      </c>
      <c r="G1054" s="64">
        <v>0.042519152813398</v>
      </c>
      <c r="H1054" s="10">
        <f t="shared" si="292"/>
        <v>0.04251915281</v>
      </c>
      <c r="I1054" s="65">
        <v>0.00152612893</v>
      </c>
      <c r="J1054" s="65">
        <v>0.003592908463398</v>
      </c>
      <c r="K1054" s="65">
        <v>0.00579227442</v>
      </c>
      <c r="L1054" s="65">
        <v>0.031607841</v>
      </c>
      <c r="N1054" s="66">
        <v>0.21071894</v>
      </c>
      <c r="O1054" s="10">
        <f t="shared" si="293"/>
        <v>0.21071894</v>
      </c>
      <c r="Q1054" s="67">
        <v>3.8421448</v>
      </c>
      <c r="S1054" s="68">
        <v>0.0042418737</v>
      </c>
      <c r="T1054" s="68">
        <v>0.0039764885</v>
      </c>
      <c r="U1054" s="68">
        <v>1.7398978E-4</v>
      </c>
      <c r="V1054" s="68">
        <v>9.1395508E-5</v>
      </c>
      <c r="X1054" s="69">
        <v>1.0846227E-5</v>
      </c>
      <c r="Y1054" s="88"/>
      <c r="Z1054" s="72"/>
    </row>
    <row r="1055" ht="12.75" customHeight="1">
      <c r="A1055" s="1" t="s">
        <v>1608</v>
      </c>
      <c r="B1055" s="2" t="s">
        <v>1569</v>
      </c>
      <c r="C1055" s="60" t="str">
        <f t="shared" si="290"/>
        <v>A.140.03.118</v>
      </c>
      <c r="D1055" s="51" t="s">
        <v>1590</v>
      </c>
      <c r="E1055" s="62" t="s">
        <v>45</v>
      </c>
      <c r="F1055" s="63" t="str">
        <f t="shared" si="291"/>
        <v>texturing polymer fibres (to improve insulation properties)</v>
      </c>
      <c r="G1055" s="64">
        <v>0.09083505027000001</v>
      </c>
      <c r="H1055" s="10">
        <f t="shared" si="292"/>
        <v>0.09083505027</v>
      </c>
      <c r="I1055" s="65">
        <v>0.00287822376</v>
      </c>
      <c r="J1055" s="65">
        <v>0.0059626751</v>
      </c>
      <c r="K1055" s="65">
        <v>0.014414183410000002</v>
      </c>
      <c r="L1055" s="65">
        <v>0.067579968</v>
      </c>
      <c r="N1055" s="66">
        <v>0.45053312000000006</v>
      </c>
      <c r="O1055" s="10">
        <f t="shared" si="293"/>
        <v>0.45053312</v>
      </c>
      <c r="Q1055" s="67">
        <v>8.5991321</v>
      </c>
      <c r="S1055" s="68">
        <v>0.0085813382</v>
      </c>
      <c r="T1055" s="68">
        <v>0.0080601397</v>
      </c>
      <c r="U1055" s="68">
        <v>3.6381695E-4</v>
      </c>
      <c r="V1055" s="68">
        <v>1.5738155E-4</v>
      </c>
      <c r="X1055" s="69">
        <v>2.2822974E-5</v>
      </c>
      <c r="Y1055" s="88"/>
      <c r="Z1055" s="72"/>
    </row>
    <row r="1056" ht="12.75" customHeight="1">
      <c r="A1056" s="1" t="s">
        <v>1609</v>
      </c>
      <c r="B1056" s="2" t="s">
        <v>1569</v>
      </c>
      <c r="C1056" s="60" t="str">
        <f t="shared" si="290"/>
        <v>A.140.03.119</v>
      </c>
      <c r="D1056" s="51" t="s">
        <v>1590</v>
      </c>
      <c r="E1056" s="62" t="s">
        <v>45</v>
      </c>
      <c r="F1056" s="63" t="str">
        <f t="shared" si="291"/>
        <v>weaving  15 dtex</v>
      </c>
      <c r="G1056" s="64">
        <v>8.962694348</v>
      </c>
      <c r="H1056" s="10">
        <f t="shared" si="292"/>
        <v>8.962694348</v>
      </c>
      <c r="I1056" s="65">
        <v>0.283994342</v>
      </c>
      <c r="J1056" s="65">
        <v>0.58833714</v>
      </c>
      <c r="K1056" s="65">
        <v>1.422247466</v>
      </c>
      <c r="L1056" s="65">
        <v>6.6681154</v>
      </c>
      <c r="N1056" s="66">
        <v>44.454102666666664</v>
      </c>
      <c r="O1056" s="10">
        <f t="shared" si="293"/>
        <v>44.45410267</v>
      </c>
      <c r="Q1056" s="67">
        <v>848.47637</v>
      </c>
      <c r="S1056" s="68">
        <v>0.84672064</v>
      </c>
      <c r="T1056" s="68">
        <v>0.79529398</v>
      </c>
      <c r="U1056" s="68">
        <v>0.035897818</v>
      </c>
      <c r="V1056" s="68">
        <v>0.015528837</v>
      </c>
      <c r="X1056" s="69">
        <v>0.0022519429</v>
      </c>
      <c r="Y1056" s="88"/>
      <c r="Z1056" s="48"/>
    </row>
    <row r="1057" ht="12.75" customHeight="1">
      <c r="A1057" s="1" t="s">
        <v>1610</v>
      </c>
      <c r="B1057" s="2" t="s">
        <v>1569</v>
      </c>
      <c r="C1057" s="60" t="str">
        <f t="shared" si="290"/>
        <v>A.140.03.120</v>
      </c>
      <c r="D1057" s="51" t="s">
        <v>1590</v>
      </c>
      <c r="E1057" s="62" t="s">
        <v>45</v>
      </c>
      <c r="F1057" s="63" t="str">
        <f t="shared" si="291"/>
        <v>weaving  30 dtex</v>
      </c>
      <c r="G1057" s="64">
        <v>4.480892987</v>
      </c>
      <c r="H1057" s="10">
        <f t="shared" si="292"/>
        <v>4.480892987</v>
      </c>
      <c r="I1057" s="65">
        <v>0.141982778</v>
      </c>
      <c r="J1057" s="65">
        <v>0.29413876</v>
      </c>
      <c r="K1057" s="65">
        <v>0.711051649</v>
      </c>
      <c r="L1057" s="65">
        <v>3.3337198</v>
      </c>
      <c r="N1057" s="66">
        <v>22.22479866666667</v>
      </c>
      <c r="O1057" s="10">
        <f t="shared" si="293"/>
        <v>22.22479867</v>
      </c>
      <c r="Q1057" s="67">
        <v>424.19519</v>
      </c>
      <c r="S1057" s="68">
        <v>0.42331741</v>
      </c>
      <c r="T1057" s="68">
        <v>0.39760669</v>
      </c>
      <c r="U1057" s="68">
        <v>0.01794709</v>
      </c>
      <c r="V1057" s="68">
        <v>0.0077636317</v>
      </c>
      <c r="X1057" s="69">
        <v>0.0011258573</v>
      </c>
      <c r="Y1057" s="88"/>
      <c r="Z1057" s="72"/>
    </row>
    <row r="1058" ht="12.75" customHeight="1">
      <c r="A1058" s="1" t="s">
        <v>1611</v>
      </c>
      <c r="B1058" s="2" t="s">
        <v>1569</v>
      </c>
      <c r="C1058" s="60" t="str">
        <f t="shared" si="290"/>
        <v>A.140.03.121</v>
      </c>
      <c r="D1058" s="51" t="s">
        <v>1590</v>
      </c>
      <c r="E1058" s="62" t="s">
        <v>45</v>
      </c>
      <c r="F1058" s="63" t="str">
        <f t="shared" si="291"/>
        <v>weaving  45 dtex</v>
      </c>
      <c r="G1058" s="64">
        <v>2.9875647364000004</v>
      </c>
      <c r="H1058" s="10">
        <f t="shared" si="292"/>
        <v>2.987564736</v>
      </c>
      <c r="I1058" s="65">
        <v>0.09466477999999999</v>
      </c>
      <c r="J1058" s="65">
        <v>0.196112381</v>
      </c>
      <c r="K1058" s="65">
        <v>0.4740824754</v>
      </c>
      <c r="L1058" s="65">
        <v>2.2227051</v>
      </c>
      <c r="N1058" s="66">
        <v>14.818034000000003</v>
      </c>
      <c r="O1058" s="10">
        <f t="shared" si="293"/>
        <v>14.818034</v>
      </c>
      <c r="Q1058" s="67">
        <v>282.82546</v>
      </c>
      <c r="S1058" s="68">
        <v>0.28224021</v>
      </c>
      <c r="T1058" s="68">
        <v>0.26509799</v>
      </c>
      <c r="U1058" s="68">
        <v>0.011965939</v>
      </c>
      <c r="V1058" s="68">
        <v>0.005176279</v>
      </c>
      <c r="X1058" s="69">
        <v>7.5064762E-4</v>
      </c>
      <c r="Y1058" s="88"/>
      <c r="Z1058" s="72"/>
    </row>
    <row r="1059" ht="12.75" customHeight="1">
      <c r="A1059" s="1" t="s">
        <v>1612</v>
      </c>
      <c r="B1059" s="2" t="s">
        <v>1569</v>
      </c>
      <c r="C1059" s="60" t="str">
        <f t="shared" si="290"/>
        <v>A.140.03.122</v>
      </c>
      <c r="D1059" s="51" t="s">
        <v>1590</v>
      </c>
      <c r="E1059" s="62" t="s">
        <v>45</v>
      </c>
      <c r="F1059" s="63" t="str">
        <f t="shared" si="291"/>
        <v>weaving  70 dtex</v>
      </c>
      <c r="G1059" s="64">
        <v>1.9202529342</v>
      </c>
      <c r="H1059" s="10">
        <f t="shared" si="292"/>
        <v>1.920252934</v>
      </c>
      <c r="I1059" s="65">
        <v>0.060845650400000006</v>
      </c>
      <c r="J1059" s="65">
        <v>0.126050951</v>
      </c>
      <c r="K1059" s="65">
        <v>0.30471583280000003</v>
      </c>
      <c r="L1059" s="65">
        <v>1.4286405</v>
      </c>
      <c r="N1059" s="66">
        <v>9.52427</v>
      </c>
      <c r="O1059" s="10">
        <f t="shared" si="293"/>
        <v>9.52427</v>
      </c>
      <c r="Q1059" s="67">
        <v>181.78565</v>
      </c>
      <c r="S1059" s="68">
        <v>0.18140949</v>
      </c>
      <c r="T1059" s="68">
        <v>0.17039135</v>
      </c>
      <c r="U1059" s="68">
        <v>0.0076910902</v>
      </c>
      <c r="V1059" s="68">
        <v>0.0033270459</v>
      </c>
      <c r="X1059" s="69">
        <v>4.8247767E-4</v>
      </c>
      <c r="Y1059" s="88"/>
      <c r="Z1059" s="72"/>
    </row>
    <row r="1060" ht="12.75" customHeight="1">
      <c r="A1060" s="1" t="s">
        <v>1613</v>
      </c>
      <c r="B1060" s="2" t="s">
        <v>1569</v>
      </c>
      <c r="C1060" s="60" t="str">
        <f t="shared" si="290"/>
        <v>A.140.03.123</v>
      </c>
      <c r="D1060" s="51" t="s">
        <v>1590</v>
      </c>
      <c r="E1060" s="62" t="s">
        <v>45</v>
      </c>
      <c r="F1060" s="63" t="str">
        <f t="shared" si="291"/>
        <v>weaving 100 dtex</v>
      </c>
      <c r="G1060" s="64">
        <v>1.3443587154999999</v>
      </c>
      <c r="H1060" s="10">
        <f t="shared" si="292"/>
        <v>1.344358716</v>
      </c>
      <c r="I1060" s="65">
        <v>0.042597712</v>
      </c>
      <c r="J1060" s="65">
        <v>0.088247591</v>
      </c>
      <c r="K1060" s="65">
        <v>0.2133299125</v>
      </c>
      <c r="L1060" s="65">
        <v>1.0001835</v>
      </c>
      <c r="N1060" s="66">
        <v>6.66789</v>
      </c>
      <c r="O1060" s="10">
        <f t="shared" si="293"/>
        <v>6.66789</v>
      </c>
      <c r="Q1060" s="67">
        <v>127.26716</v>
      </c>
      <c r="S1060" s="68">
        <v>0.1270038</v>
      </c>
      <c r="T1060" s="68">
        <v>0.11929007</v>
      </c>
      <c r="U1060" s="68">
        <v>0.0053844908</v>
      </c>
      <c r="V1060" s="68">
        <v>0.0023292469</v>
      </c>
      <c r="X1060" s="69">
        <v>3.3778002E-4</v>
      </c>
      <c r="Y1060" s="88"/>
      <c r="Z1060" s="72"/>
    </row>
    <row r="1061" ht="12.75" customHeight="1">
      <c r="A1061" s="1" t="s">
        <v>1614</v>
      </c>
      <c r="B1061" s="2" t="s">
        <v>1569</v>
      </c>
      <c r="C1061" s="60" t="str">
        <f t="shared" si="290"/>
        <v>A.140.03.124</v>
      </c>
      <c r="D1061" s="51" t="s">
        <v>1590</v>
      </c>
      <c r="E1061" s="62" t="s">
        <v>45</v>
      </c>
      <c r="F1061" s="63" t="str">
        <f t="shared" si="291"/>
        <v>weaving 150 dtex</v>
      </c>
      <c r="G1061" s="64">
        <v>0.8965419427</v>
      </c>
      <c r="H1061" s="10">
        <f t="shared" si="292"/>
        <v>0.8965419427</v>
      </c>
      <c r="I1061" s="65">
        <v>0.0284080687</v>
      </c>
      <c r="J1061" s="65">
        <v>0.058851603</v>
      </c>
      <c r="K1061" s="65">
        <v>0.142267991</v>
      </c>
      <c r="L1061" s="65">
        <v>0.66701428</v>
      </c>
      <c r="N1061" s="66">
        <v>4.446761866666667</v>
      </c>
      <c r="O1061" s="10">
        <f t="shared" si="293"/>
        <v>4.446761867</v>
      </c>
      <c r="Q1061" s="67">
        <v>84.873434</v>
      </c>
      <c r="S1061" s="68">
        <v>0.084697808</v>
      </c>
      <c r="T1061" s="68">
        <v>0.079553579</v>
      </c>
      <c r="U1061" s="68">
        <v>0.0035908732</v>
      </c>
      <c r="V1061" s="68">
        <v>0.0015533559</v>
      </c>
      <c r="X1061" s="69">
        <v>2.2526275E-4</v>
      </c>
      <c r="Y1061" s="88"/>
      <c r="Z1061" s="72"/>
    </row>
    <row r="1062" ht="12.75" customHeight="1">
      <c r="A1062" s="1" t="s">
        <v>1615</v>
      </c>
      <c r="B1062" s="2" t="s">
        <v>1569</v>
      </c>
      <c r="C1062" s="60" t="str">
        <f t="shared" si="290"/>
        <v>A.140.03.125</v>
      </c>
      <c r="D1062" s="51" t="s">
        <v>1590</v>
      </c>
      <c r="E1062" s="62" t="s">
        <v>45</v>
      </c>
      <c r="F1062" s="63" t="str">
        <f t="shared" si="291"/>
        <v>weaving 200 dtex</v>
      </c>
      <c r="G1062" s="64">
        <v>0.6721793623</v>
      </c>
      <c r="H1062" s="10">
        <f t="shared" si="292"/>
        <v>0.6721793623</v>
      </c>
      <c r="I1062" s="65">
        <v>0.021298856</v>
      </c>
      <c r="J1062" s="65">
        <v>0.044123795</v>
      </c>
      <c r="K1062" s="65">
        <v>0.1066649513</v>
      </c>
      <c r="L1062" s="65">
        <v>0.50009176</v>
      </c>
      <c r="N1062" s="66">
        <v>3.333945066666667</v>
      </c>
      <c r="O1062" s="10">
        <f t="shared" si="293"/>
        <v>3.333945067</v>
      </c>
      <c r="Q1062" s="67">
        <v>63.633578</v>
      </c>
      <c r="S1062" s="68">
        <v>0.063501902</v>
      </c>
      <c r="T1062" s="68">
        <v>0.059645034</v>
      </c>
      <c r="U1062" s="68">
        <v>0.0026922454</v>
      </c>
      <c r="V1062" s="68">
        <v>0.0011646234</v>
      </c>
      <c r="X1062" s="69">
        <v>1.6889001E-4</v>
      </c>
      <c r="Y1062" s="88"/>
      <c r="Z1062" s="72"/>
    </row>
    <row r="1063" ht="12.75" customHeight="1">
      <c r="A1063" s="1" t="s">
        <v>1616</v>
      </c>
      <c r="B1063" s="2" t="s">
        <v>1569</v>
      </c>
      <c r="C1063" s="60" t="str">
        <f t="shared" si="290"/>
        <v>A.140.03.126</v>
      </c>
      <c r="D1063" s="51" t="s">
        <v>1590</v>
      </c>
      <c r="E1063" s="62" t="s">
        <v>45</v>
      </c>
      <c r="F1063" s="63" t="str">
        <f t="shared" si="291"/>
        <v>weaving 300 dtex</v>
      </c>
      <c r="G1063" s="64">
        <v>0.44781679379999995</v>
      </c>
      <c r="H1063" s="10">
        <f t="shared" si="292"/>
        <v>0.4478167938</v>
      </c>
      <c r="I1063" s="65">
        <v>0.0141896433</v>
      </c>
      <c r="J1063" s="65">
        <v>0.029395987999999998</v>
      </c>
      <c r="K1063" s="65">
        <v>0.0710619225</v>
      </c>
      <c r="L1063" s="65">
        <v>0.33316924</v>
      </c>
      <c r="N1063" s="66">
        <v>2.2211282666666667</v>
      </c>
      <c r="O1063" s="10">
        <f t="shared" si="293"/>
        <v>2.221128267</v>
      </c>
      <c r="Q1063" s="67">
        <v>42.393721</v>
      </c>
      <c r="S1063" s="68">
        <v>0.042305997</v>
      </c>
      <c r="T1063" s="68">
        <v>0.039736489</v>
      </c>
      <c r="U1063" s="68">
        <v>0.0017936175</v>
      </c>
      <c r="V1063" s="68">
        <v>7.7589102E-4</v>
      </c>
      <c r="X1063" s="69">
        <v>1.1251726E-4</v>
      </c>
      <c r="Y1063" s="88"/>
      <c r="Z1063" s="72"/>
    </row>
    <row r="1064" ht="12.75" customHeight="1">
      <c r="A1064" s="1" t="s">
        <v>1617</v>
      </c>
      <c r="B1064" s="2" t="s">
        <v>1569</v>
      </c>
      <c r="C1064" s="60" t="str">
        <f t="shared" si="290"/>
        <v>A.140.03.127</v>
      </c>
      <c r="D1064" s="51" t="s">
        <v>1590</v>
      </c>
      <c r="E1064" s="62" t="s">
        <v>45</v>
      </c>
      <c r="F1064" s="63" t="str">
        <f t="shared" si="291"/>
        <v>weaving 400 dtex</v>
      </c>
      <c r="G1064" s="64">
        <v>0.3360896836</v>
      </c>
      <c r="H1064" s="10">
        <f t="shared" si="292"/>
        <v>0.3360896836</v>
      </c>
      <c r="I1064" s="65">
        <v>0.010649428</v>
      </c>
      <c r="J1064" s="65">
        <v>0.022061898</v>
      </c>
      <c r="K1064" s="65">
        <v>0.0533324776</v>
      </c>
      <c r="L1064" s="65">
        <v>0.25004588</v>
      </c>
      <c r="N1064" s="66">
        <v>1.6669725333333334</v>
      </c>
      <c r="O1064" s="10">
        <f t="shared" si="293"/>
        <v>1.666972533</v>
      </c>
      <c r="Q1064" s="67">
        <v>31.816789</v>
      </c>
      <c r="S1064" s="68">
        <v>0.031750951</v>
      </c>
      <c r="T1064" s="68">
        <v>0.029822517</v>
      </c>
      <c r="U1064" s="68">
        <v>0.0013461227</v>
      </c>
      <c r="V1064" s="68">
        <v>5.8231172E-4</v>
      </c>
      <c r="X1064" s="69">
        <v>8.4445004E-5</v>
      </c>
      <c r="Y1064" s="88"/>
      <c r="Z1064" s="72"/>
    </row>
    <row r="1065" ht="12.75" customHeight="1">
      <c r="A1065" s="1" t="s">
        <v>1618</v>
      </c>
      <c r="B1065" s="2" t="s">
        <v>1569</v>
      </c>
      <c r="C1065" s="60" t="str">
        <f t="shared" si="290"/>
        <v>A.140.03.128</v>
      </c>
      <c r="D1065" s="51" t="s">
        <v>1590</v>
      </c>
      <c r="E1065" s="62" t="s">
        <v>45</v>
      </c>
      <c r="F1065" s="63" t="str">
        <f t="shared" si="291"/>
        <v>weaving 500 dtex</v>
      </c>
      <c r="G1065" s="64">
        <v>0.26887174201</v>
      </c>
      <c r="H1065" s="10">
        <f t="shared" si="292"/>
        <v>0.268871742</v>
      </c>
      <c r="I1065" s="65">
        <v>0.0085195424</v>
      </c>
      <c r="J1065" s="65">
        <v>0.017649518099999997</v>
      </c>
      <c r="K1065" s="65">
        <v>0.04266598151</v>
      </c>
      <c r="L1065" s="65">
        <v>0.2000367</v>
      </c>
      <c r="N1065" s="66">
        <v>1.3335780000000002</v>
      </c>
      <c r="O1065" s="10">
        <f t="shared" si="293"/>
        <v>1.333578</v>
      </c>
      <c r="Q1065" s="67">
        <v>25.453431</v>
      </c>
      <c r="S1065" s="68">
        <v>0.025400761</v>
      </c>
      <c r="T1065" s="68">
        <v>0.023858013</v>
      </c>
      <c r="U1065" s="68">
        <v>0.0010768982</v>
      </c>
      <c r="V1065" s="68">
        <v>4.6584938E-4</v>
      </c>
      <c r="X1065" s="69">
        <v>6.7556003E-5</v>
      </c>
      <c r="Y1065" s="77"/>
      <c r="Z1065" s="72"/>
    </row>
    <row r="1066" ht="12.75" customHeight="1">
      <c r="A1066" s="1" t="s">
        <v>1619</v>
      </c>
      <c r="B1066" s="2" t="s">
        <v>1569</v>
      </c>
      <c r="C1066" s="60" t="str">
        <f t="shared" si="290"/>
        <v>A.140.03.131</v>
      </c>
      <c r="D1066" s="51" t="s">
        <v>1590</v>
      </c>
      <c r="E1066" s="62" t="s">
        <v>45</v>
      </c>
      <c r="F1066" s="63" t="str">
        <f t="shared" si="291"/>
        <v>circular knitting (fabric interlock, 83 dtex, 28 GG)</v>
      </c>
      <c r="G1066" s="64">
        <v>0.03179226766</v>
      </c>
      <c r="H1066" s="10">
        <f t="shared" si="292"/>
        <v>0.03179226766</v>
      </c>
      <c r="I1066" s="65">
        <v>0.00100737832</v>
      </c>
      <c r="J1066" s="65">
        <v>0.00208693625</v>
      </c>
      <c r="K1066" s="65">
        <v>0.00504496409</v>
      </c>
      <c r="L1066" s="65">
        <v>0.023652989</v>
      </c>
      <c r="N1066" s="66">
        <v>0.15768659333333335</v>
      </c>
      <c r="O1066" s="10">
        <f t="shared" si="293"/>
        <v>0.1576865933</v>
      </c>
      <c r="Q1066" s="67">
        <v>3.0096962</v>
      </c>
      <c r="S1066" s="68">
        <v>0.0030034684</v>
      </c>
      <c r="T1066" s="68">
        <v>0.0028210489</v>
      </c>
      <c r="U1066" s="68">
        <v>1.2733593E-4</v>
      </c>
      <c r="V1066" s="68">
        <v>5.5083541E-5</v>
      </c>
      <c r="X1066" s="69">
        <v>7.988041E-6</v>
      </c>
      <c r="Y1066" s="88"/>
      <c r="Z1066" s="72"/>
    </row>
    <row r="1067" ht="12.75" customHeight="1">
      <c r="A1067" s="1" t="s">
        <v>1620</v>
      </c>
      <c r="B1067" s="2" t="s">
        <v>1569</v>
      </c>
      <c r="C1067" s="60" t="str">
        <f t="shared" si="290"/>
        <v>A.140.03.132</v>
      </c>
      <c r="D1067" s="51" t="s">
        <v>1590</v>
      </c>
      <c r="E1067" s="62" t="s">
        <v>45</v>
      </c>
      <c r="F1067" s="63" t="str">
        <f t="shared" si="291"/>
        <v>circular knitting  (cotton, 200 dtex)</v>
      </c>
      <c r="G1067" s="64">
        <v>0.017258659529999998</v>
      </c>
      <c r="H1067" s="10">
        <f t="shared" si="292"/>
        <v>0.01725865953</v>
      </c>
      <c r="I1067" s="65">
        <v>5.46862521E-4</v>
      </c>
      <c r="J1067" s="65">
        <v>0.00113290826</v>
      </c>
      <c r="K1067" s="65">
        <v>0.002738694749</v>
      </c>
      <c r="L1067" s="65">
        <v>0.012840194</v>
      </c>
      <c r="N1067" s="66">
        <v>0.08560129333333333</v>
      </c>
      <c r="O1067" s="10">
        <f t="shared" si="293"/>
        <v>0.08560129333</v>
      </c>
      <c r="Q1067" s="67">
        <v>1.6338351</v>
      </c>
      <c r="S1067" s="68">
        <v>0.0016304543</v>
      </c>
      <c r="T1067" s="68">
        <v>0.0015314265</v>
      </c>
      <c r="U1067" s="68">
        <v>6.912522E-5</v>
      </c>
      <c r="V1067" s="68">
        <v>2.9902494E-5</v>
      </c>
      <c r="X1067" s="69">
        <v>4.3363651E-6</v>
      </c>
      <c r="Y1067" s="88"/>
    </row>
    <row r="1068" ht="12.75" customHeight="1">
      <c r="A1068" s="1" t="s">
        <v>1621</v>
      </c>
      <c r="B1068" s="2" t="s">
        <v>1569</v>
      </c>
      <c r="C1068" s="60" t="str">
        <f t="shared" si="290"/>
        <v>A.140.03.133</v>
      </c>
      <c r="D1068" s="51" t="s">
        <v>1590</v>
      </c>
      <c r="E1068" s="62" t="s">
        <v>45</v>
      </c>
      <c r="F1068" s="63" t="str">
        <f t="shared" si="291"/>
        <v>circular knitting (cotton, 300 dtex)</v>
      </c>
      <c r="G1068" s="64">
        <v>0.014533608061999999</v>
      </c>
      <c r="H1068" s="10">
        <f t="shared" si="292"/>
        <v>0.01453360806</v>
      </c>
      <c r="I1068" s="65">
        <v>4.6051580599999997E-4</v>
      </c>
      <c r="J1068" s="65">
        <v>9.5402801E-4</v>
      </c>
      <c r="K1068" s="65">
        <v>0.002306269246</v>
      </c>
      <c r="L1068" s="65">
        <v>0.010812795</v>
      </c>
      <c r="N1068" s="66">
        <v>0.0720853</v>
      </c>
      <c r="O1068" s="10">
        <f t="shared" si="293"/>
        <v>0.0720853</v>
      </c>
      <c r="Q1068" s="67">
        <v>1.3758611</v>
      </c>
      <c r="S1068" s="68">
        <v>0.0013730141</v>
      </c>
      <c r="T1068" s="68">
        <v>0.0012896223</v>
      </c>
      <c r="U1068" s="68">
        <v>5.8210711E-5</v>
      </c>
      <c r="V1068" s="68">
        <v>2.5181047E-5</v>
      </c>
      <c r="X1068" s="69">
        <v>3.6516759E-6</v>
      </c>
      <c r="Y1068" s="88"/>
    </row>
    <row r="1069" ht="12.75" customHeight="1">
      <c r="A1069" s="1" t="s">
        <v>1622</v>
      </c>
      <c r="B1069" s="2" t="s">
        <v>1569</v>
      </c>
      <c r="C1069" s="60" t="str">
        <f t="shared" si="290"/>
        <v>A.140.03.134</v>
      </c>
      <c r="D1069" s="51" t="s">
        <v>1590</v>
      </c>
      <c r="E1069" s="62" t="s">
        <v>45</v>
      </c>
      <c r="F1069" s="63" t="str">
        <f t="shared" si="291"/>
        <v>flat bed knitting panels (cotton, thin)</v>
      </c>
      <c r="G1069" s="64">
        <v>0.10627700787</v>
      </c>
      <c r="H1069" s="10">
        <f t="shared" si="292"/>
        <v>0.1062770079</v>
      </c>
      <c r="I1069" s="65">
        <v>0.00336752178</v>
      </c>
      <c r="J1069" s="65">
        <v>0.0069763298</v>
      </c>
      <c r="K1069" s="65">
        <v>0.01686459429</v>
      </c>
      <c r="L1069" s="65">
        <v>0.079068562</v>
      </c>
      <c r="N1069" s="66">
        <v>0.5271237466666666</v>
      </c>
      <c r="O1069" s="10">
        <f t="shared" si="293"/>
        <v>0.5271237467</v>
      </c>
      <c r="Q1069" s="67">
        <v>10.060985</v>
      </c>
      <c r="S1069" s="68">
        <v>0.010040166</v>
      </c>
      <c r="T1069" s="68">
        <v>0.0094303634</v>
      </c>
      <c r="U1069" s="68">
        <v>4.2566583E-4</v>
      </c>
      <c r="V1069" s="68">
        <v>1.8413641E-4</v>
      </c>
      <c r="X1069" s="69">
        <v>2.670288E-5</v>
      </c>
      <c r="Y1069" s="88"/>
    </row>
    <row r="1070" ht="12.75" customHeight="1">
      <c r="A1070" s="1" t="s">
        <v>1623</v>
      </c>
      <c r="B1070" s="2" t="s">
        <v>1569</v>
      </c>
      <c r="C1070" s="60" t="str">
        <f t="shared" si="290"/>
        <v>A.140.03.135</v>
      </c>
      <c r="D1070" s="51" t="s">
        <v>1590</v>
      </c>
      <c r="E1070" s="62" t="s">
        <v>45</v>
      </c>
      <c r="F1070" s="63" t="str">
        <f t="shared" si="291"/>
        <v>fully fashioned flat bed knitting (cotton, thick)</v>
      </c>
      <c r="G1070" s="64">
        <v>0.20801226711999998</v>
      </c>
      <c r="H1070" s="10">
        <f t="shared" si="292"/>
        <v>0.2080122671</v>
      </c>
      <c r="I1070" s="65">
        <v>0.0065911324000000006</v>
      </c>
      <c r="J1070" s="65">
        <v>0.013654525800000001</v>
      </c>
      <c r="K1070" s="65">
        <v>0.03300847892</v>
      </c>
      <c r="L1070" s="65">
        <v>0.15475813</v>
      </c>
      <c r="N1070" s="66">
        <v>1.0317208666666666</v>
      </c>
      <c r="O1070" s="10">
        <f t="shared" si="293"/>
        <v>1.031720867</v>
      </c>
      <c r="Q1070" s="67">
        <v>19.692013</v>
      </c>
      <c r="S1070" s="68">
        <v>0.019651264</v>
      </c>
      <c r="T1070" s="68">
        <v>0.01845772</v>
      </c>
      <c r="U1070" s="68">
        <v>8.331408E-4</v>
      </c>
      <c r="V1070" s="68">
        <v>3.6040374E-4</v>
      </c>
      <c r="X1070" s="69">
        <v>5.2264611E-5</v>
      </c>
      <c r="Y1070" s="77"/>
      <c r="Z1070" s="72"/>
    </row>
    <row r="1071" ht="12.75" customHeight="1">
      <c r="A1071" s="1" t="s">
        <v>1624</v>
      </c>
      <c r="B1071" s="2" t="s">
        <v>1569</v>
      </c>
      <c r="C1071" s="60" t="str">
        <f t="shared" si="290"/>
        <v>A.140.03.136</v>
      </c>
      <c r="D1071" s="51" t="s">
        <v>1590</v>
      </c>
      <c r="E1071" s="62" t="s">
        <v>45</v>
      </c>
      <c r="F1071" s="63" t="str">
        <f t="shared" si="291"/>
        <v>fully fashioned flat bed knitting (cotton, thin)</v>
      </c>
      <c r="G1071" s="64">
        <v>0.4169328747</v>
      </c>
      <c r="H1071" s="10">
        <f t="shared" si="292"/>
        <v>0.4169328747</v>
      </c>
      <c r="I1071" s="65">
        <v>0.0132110469</v>
      </c>
      <c r="J1071" s="65">
        <v>0.027368678</v>
      </c>
      <c r="K1071" s="65">
        <v>0.06616109980000001</v>
      </c>
      <c r="L1071" s="65">
        <v>0.31019205</v>
      </c>
      <c r="N1071" s="66">
        <v>2.067947</v>
      </c>
      <c r="O1071" s="10">
        <f t="shared" si="293"/>
        <v>2.067947</v>
      </c>
      <c r="Q1071" s="67">
        <v>39.470017</v>
      </c>
      <c r="S1071" s="68">
        <v>0.039388342</v>
      </c>
      <c r="T1071" s="68">
        <v>0.036996041</v>
      </c>
      <c r="U1071" s="68">
        <v>0.0016699198</v>
      </c>
      <c r="V1071" s="68">
        <v>7.223813E-4</v>
      </c>
      <c r="X1071" s="69">
        <v>1.0475745E-4</v>
      </c>
      <c r="Y1071" s="77"/>
      <c r="Z1071" s="72"/>
    </row>
    <row r="1072" ht="12.75" customHeight="1">
      <c r="A1072" s="1" t="s">
        <v>1625</v>
      </c>
      <c r="B1072" s="2" t="s">
        <v>1569</v>
      </c>
      <c r="C1072" s="60" t="str">
        <f t="shared" si="290"/>
        <v>A.140.03.137</v>
      </c>
      <c r="D1072" s="51" t="s">
        <v>1590</v>
      </c>
      <c r="E1072" s="62" t="s">
        <v>45</v>
      </c>
      <c r="F1072" s="63" t="str">
        <f t="shared" si="291"/>
        <v>whole garment flat bed knitting (recycled wool, 1400 dtex (2-ply), normal speed)</v>
      </c>
      <c r="G1072" s="64">
        <v>0.27886360107999997</v>
      </c>
      <c r="H1072" s="10">
        <f t="shared" si="292"/>
        <v>0.2788636011</v>
      </c>
      <c r="I1072" s="65">
        <v>0.008836146999999999</v>
      </c>
      <c r="J1072" s="65">
        <v>0.0183054123</v>
      </c>
      <c r="K1072" s="65">
        <v>0.04425154178</v>
      </c>
      <c r="L1072" s="65">
        <v>0.2074705</v>
      </c>
      <c r="N1072" s="66">
        <v>1.3831366666666667</v>
      </c>
      <c r="O1072" s="10">
        <f t="shared" si="293"/>
        <v>1.383136667</v>
      </c>
      <c r="Q1072" s="67">
        <v>26.399336</v>
      </c>
      <c r="S1072" s="68">
        <v>0.026344708</v>
      </c>
      <c r="T1072" s="68">
        <v>0.024744629</v>
      </c>
      <c r="U1072" s="68">
        <v>0.001116918</v>
      </c>
      <c r="V1072" s="68">
        <v>4.8316135E-4</v>
      </c>
      <c r="X1072" s="69">
        <v>7.0066531E-5</v>
      </c>
      <c r="Y1072" s="88"/>
      <c r="Z1072" s="72"/>
    </row>
    <row r="1073" ht="12.75" customHeight="1">
      <c r="B1073" s="2"/>
      <c r="C1073" s="60"/>
      <c r="D1073" s="75" t="s">
        <v>1626</v>
      </c>
      <c r="E1073" s="62"/>
      <c r="G1073" s="10"/>
      <c r="H1073" s="10"/>
      <c r="I1073" s="10"/>
      <c r="J1073" s="10"/>
      <c r="K1073" s="10"/>
      <c r="L1073" s="10"/>
      <c r="N1073" s="10"/>
      <c r="O1073" s="10"/>
      <c r="Q1073" s="67"/>
      <c r="Y1073" s="89"/>
      <c r="Z1073" s="72"/>
    </row>
    <row r="1074" ht="12.75" customHeight="1">
      <c r="A1074" s="1" t="s">
        <v>1627</v>
      </c>
      <c r="B1074" s="2" t="s">
        <v>1569</v>
      </c>
      <c r="C1074" s="60" t="str">
        <f t="shared" ref="C1074:C1077" si="294">MID(A1074,1,12)</f>
        <v>A.140.04.101</v>
      </c>
      <c r="D1074" s="51" t="s">
        <v>1590</v>
      </c>
      <c r="E1074" s="62" t="s">
        <v>45</v>
      </c>
      <c r="F1074" s="63" t="str">
        <f t="shared" ref="F1074:F1077" si="295">MID(A1074, 21,85)</f>
        <v>Geotextiles (PP  500 dTex  woven)</v>
      </c>
      <c r="G1074" s="64">
        <v>1.614455683233</v>
      </c>
      <c r="H1074" s="10">
        <f t="shared" ref="H1074:H1077" si="296">G1074</f>
        <v>1.614455683</v>
      </c>
      <c r="I1074" s="65">
        <v>0.0344700173</v>
      </c>
      <c r="J1074" s="65">
        <v>0.969959551233</v>
      </c>
      <c r="K1074" s="65">
        <v>0.0529946647</v>
      </c>
      <c r="L1074" s="65">
        <v>0.55703145</v>
      </c>
      <c r="N1074" s="66">
        <v>3.713543</v>
      </c>
      <c r="O1074" s="10">
        <f t="shared" ref="O1074:O1077" si="297">N1074</f>
        <v>3.713543</v>
      </c>
      <c r="Q1074" s="67">
        <v>119.43528</v>
      </c>
      <c r="S1074" s="68">
        <v>0.088917159</v>
      </c>
      <c r="T1074" s="68">
        <v>0.078891305</v>
      </c>
      <c r="U1074" s="68">
        <v>0.0032279756</v>
      </c>
      <c r="V1074" s="68">
        <v>0.0067978785</v>
      </c>
      <c r="X1074" s="69">
        <v>2.9495615E-4</v>
      </c>
      <c r="Y1074" s="88"/>
      <c r="Z1074" s="72"/>
    </row>
    <row r="1075" ht="12.75" customHeight="1">
      <c r="A1075" s="1" t="s">
        <v>1628</v>
      </c>
      <c r="B1075" s="2" t="s">
        <v>1569</v>
      </c>
      <c r="C1075" s="60" t="str">
        <f t="shared" si="294"/>
        <v>A.140.04.102</v>
      </c>
      <c r="D1075" s="51" t="s">
        <v>1590</v>
      </c>
      <c r="E1075" s="62" t="s">
        <v>45</v>
      </c>
      <c r="F1075" s="63" t="str">
        <f t="shared" si="295"/>
        <v>Duck Down in Rotterdam from China</v>
      </c>
      <c r="G1075" s="64">
        <v>0.12122720927944908</v>
      </c>
      <c r="H1075" s="10">
        <f t="shared" si="296"/>
        <v>0.1212272093</v>
      </c>
      <c r="I1075" s="65">
        <v>0.007365370442</v>
      </c>
      <c r="J1075" s="65">
        <v>0.015872803128</v>
      </c>
      <c r="K1075" s="65">
        <v>0.033626349709449076</v>
      </c>
      <c r="L1075" s="65">
        <v>0.064362686</v>
      </c>
      <c r="N1075" s="66">
        <v>0.4290845733333334</v>
      </c>
      <c r="O1075" s="10">
        <f t="shared" si="297"/>
        <v>0.4290845733</v>
      </c>
      <c r="Q1075" s="67">
        <v>6.0377841</v>
      </c>
      <c r="S1075" s="68">
        <v>0.011181919</v>
      </c>
      <c r="T1075" s="68">
        <v>0.010365099</v>
      </c>
      <c r="U1075" s="68">
        <v>4.0148847E-4</v>
      </c>
      <c r="V1075" s="68">
        <v>4.1533143E-4</v>
      </c>
      <c r="X1075" s="69">
        <v>2.5632171E-5</v>
      </c>
      <c r="Y1075" s="88"/>
      <c r="Z1075" s="73" t="s">
        <v>1629</v>
      </c>
    </row>
    <row r="1076" ht="12.75" customHeight="1">
      <c r="A1076" s="1" t="s">
        <v>1630</v>
      </c>
      <c r="B1076" s="2" t="s">
        <v>1569</v>
      </c>
      <c r="C1076" s="60" t="str">
        <f t="shared" si="294"/>
        <v>A.140.04.103</v>
      </c>
      <c r="D1076" s="51" t="s">
        <v>1590</v>
      </c>
      <c r="E1076" s="62" t="s">
        <v>45</v>
      </c>
      <c r="F1076" s="63" t="str">
        <f t="shared" si="295"/>
        <v>Duck Down in Rotterdam from Poland</v>
      </c>
      <c r="G1076" s="64">
        <v>0.09163649712728347</v>
      </c>
      <c r="H1076" s="10">
        <f t="shared" si="296"/>
        <v>0.09163649713</v>
      </c>
      <c r="I1076" s="65">
        <v>0.010683715532</v>
      </c>
      <c r="J1076" s="65">
        <v>0.01236532215</v>
      </c>
      <c r="K1076" s="65">
        <v>0.02130331244528347</v>
      </c>
      <c r="L1076" s="65">
        <v>0.047284147</v>
      </c>
      <c r="N1076" s="66">
        <v>0.3152276466666667</v>
      </c>
      <c r="O1076" s="10">
        <f t="shared" si="297"/>
        <v>0.3152276467</v>
      </c>
      <c r="Q1076" s="67">
        <v>5.3430843</v>
      </c>
      <c r="S1076" s="68">
        <v>0.0067384699</v>
      </c>
      <c r="T1076" s="68">
        <v>0.006107618</v>
      </c>
      <c r="U1076" s="68">
        <v>2.7640142E-4</v>
      </c>
      <c r="V1076" s="68">
        <v>3.5445045E-4</v>
      </c>
      <c r="X1076" s="69">
        <v>1.9018463E-5</v>
      </c>
      <c r="Y1076" s="88"/>
      <c r="Z1076" s="73" t="s">
        <v>1629</v>
      </c>
    </row>
    <row r="1077" ht="12.75" customHeight="1">
      <c r="A1077" s="1" t="s">
        <v>1631</v>
      </c>
      <c r="B1077" s="2" t="s">
        <v>1569</v>
      </c>
      <c r="C1077" s="60" t="str">
        <f t="shared" si="294"/>
        <v>A.140.04.104</v>
      </c>
      <c r="D1077" s="51" t="s">
        <v>1590</v>
      </c>
      <c r="E1077" s="62" t="s">
        <v>45</v>
      </c>
      <c r="F1077" s="63" t="str">
        <f t="shared" si="295"/>
        <v>Polyester fiberfill</v>
      </c>
      <c r="G1077" s="64">
        <v>1.24853908122573</v>
      </c>
      <c r="H1077" s="10">
        <f t="shared" si="296"/>
        <v>1.248539081</v>
      </c>
      <c r="I1077" s="65">
        <v>0.0499522894</v>
      </c>
      <c r="J1077" s="65">
        <v>0.68255167068573</v>
      </c>
      <c r="K1077" s="65">
        <v>0.028259751139999997</v>
      </c>
      <c r="L1077" s="65">
        <v>0.48777537</v>
      </c>
      <c r="N1077" s="66">
        <v>3.2518358</v>
      </c>
      <c r="O1077" s="10">
        <f t="shared" si="297"/>
        <v>3.2518358</v>
      </c>
      <c r="Q1077" s="67">
        <v>92.421469</v>
      </c>
      <c r="S1077" s="68">
        <v>0.0855604</v>
      </c>
      <c r="T1077" s="68">
        <v>0.076800264</v>
      </c>
      <c r="U1077" s="68">
        <v>0.0029717446</v>
      </c>
      <c r="V1077" s="68">
        <v>0.005788391</v>
      </c>
      <c r="X1077" s="69">
        <v>2.4975441E-4</v>
      </c>
      <c r="Y1077" s="88"/>
      <c r="Z1077" s="73" t="s">
        <v>1632</v>
      </c>
    </row>
    <row r="1078" ht="12.75" customHeight="1">
      <c r="B1078" s="2"/>
      <c r="C1078" s="60"/>
      <c r="D1078" s="51"/>
      <c r="E1078" s="62"/>
      <c r="G1078" s="10"/>
      <c r="H1078" s="10"/>
      <c r="I1078" s="10"/>
      <c r="J1078" s="10"/>
      <c r="K1078" s="10"/>
      <c r="L1078" s="10"/>
      <c r="N1078" s="10"/>
      <c r="O1078" s="10"/>
      <c r="Q1078" s="67"/>
      <c r="Y1078" s="89"/>
      <c r="Z1078" s="72"/>
    </row>
    <row r="1079" ht="12.75" customHeight="1">
      <c r="B1079" s="2"/>
      <c r="C1079" s="60"/>
      <c r="D1079" s="75" t="s">
        <v>1633</v>
      </c>
      <c r="E1079" s="62"/>
      <c r="G1079" s="10"/>
      <c r="H1079" s="10"/>
      <c r="I1079" s="10"/>
      <c r="J1079" s="10"/>
      <c r="K1079" s="10"/>
      <c r="L1079" s="10"/>
      <c r="N1079" s="10"/>
      <c r="O1079" s="10"/>
      <c r="Q1079" s="67"/>
      <c r="Y1079" s="89"/>
      <c r="Z1079" s="48"/>
    </row>
    <row r="1080" ht="12.75" customHeight="1">
      <c r="A1080" s="1" t="s">
        <v>1634</v>
      </c>
      <c r="B1080" s="2" t="s">
        <v>1635</v>
      </c>
      <c r="C1080" s="60" t="str">
        <f t="shared" ref="C1080:C1087" si="298">MID(A1080,1,12)</f>
        <v>A.150.01.101</v>
      </c>
      <c r="D1080" s="51" t="s">
        <v>1633</v>
      </c>
      <c r="E1080" s="62" t="s">
        <v>887</v>
      </c>
      <c r="F1080" s="63" t="str">
        <f t="shared" ref="F1080:F1087" si="299">MID(A1080, 21,85)</f>
        <v>drinking water without water stress</v>
      </c>
      <c r="G1080" s="64">
        <v>0.151868879686</v>
      </c>
      <c r="H1080" s="10">
        <f t="shared" ref="H1080:H1087" si="300">G1080</f>
        <v>0.1518688797</v>
      </c>
      <c r="I1080" s="65">
        <v>0.028651162686</v>
      </c>
      <c r="J1080" s="65">
        <v>0.021888789699999998</v>
      </c>
      <c r="K1080" s="65">
        <v>0.0069555273</v>
      </c>
      <c r="L1080" s="65">
        <v>0.0943734</v>
      </c>
      <c r="N1080" s="66">
        <v>0.629156</v>
      </c>
      <c r="O1080" s="10">
        <f t="shared" ref="O1080:O1087" si="301">N1080</f>
        <v>0.629156</v>
      </c>
      <c r="Q1080" s="67">
        <v>3.7859518</v>
      </c>
      <c r="S1080" s="68">
        <v>0.018344712</v>
      </c>
      <c r="T1080" s="68">
        <v>0.017572311</v>
      </c>
      <c r="U1080" s="68">
        <v>5.3680163E-4</v>
      </c>
      <c r="V1080" s="68">
        <v>2.3559892E-4</v>
      </c>
      <c r="X1080" s="69">
        <v>4.4765028E-5</v>
      </c>
      <c r="Y1080" s="88"/>
      <c r="Z1080" s="72"/>
    </row>
    <row r="1081" ht="12.75" customHeight="1">
      <c r="A1081" s="1" t="s">
        <v>1636</v>
      </c>
      <c r="B1081" s="2" t="s">
        <v>1635</v>
      </c>
      <c r="C1081" s="60" t="str">
        <f t="shared" si="298"/>
        <v>A.150.01.102</v>
      </c>
      <c r="D1081" s="51" t="s">
        <v>1633</v>
      </c>
      <c r="E1081" s="62" t="s">
        <v>887</v>
      </c>
      <c r="F1081" s="63" t="str">
        <f t="shared" si="299"/>
        <v>industrial reverse osmosis water</v>
      </c>
      <c r="G1081" s="64">
        <v>2.8951192409399997</v>
      </c>
      <c r="H1081" s="10">
        <f t="shared" si="300"/>
        <v>2.895119241</v>
      </c>
      <c r="I1081" s="65">
        <v>0.13640730094</v>
      </c>
      <c r="J1081" s="65">
        <v>1.23645022</v>
      </c>
      <c r="K1081" s="65">
        <v>0.23571051999999998</v>
      </c>
      <c r="L1081" s="65">
        <v>1.2865512</v>
      </c>
      <c r="N1081" s="66">
        <v>8.577008</v>
      </c>
      <c r="O1081" s="10">
        <f t="shared" si="301"/>
        <v>8.577008</v>
      </c>
      <c r="Q1081" s="67">
        <v>113.57024</v>
      </c>
      <c r="S1081" s="68">
        <v>0.19837371</v>
      </c>
      <c r="T1081" s="68">
        <v>0.18511821</v>
      </c>
      <c r="U1081" s="68">
        <v>0.0075136607</v>
      </c>
      <c r="V1081" s="68">
        <v>0.0057418404</v>
      </c>
      <c r="X1081" s="69">
        <v>6.0591115E-4</v>
      </c>
      <c r="Y1081" s="88"/>
      <c r="Z1081" s="72"/>
    </row>
    <row r="1082" ht="12.75" customHeight="1">
      <c r="A1082" s="1" t="s">
        <v>1637</v>
      </c>
      <c r="B1082" s="2" t="s">
        <v>1635</v>
      </c>
      <c r="C1082" s="60" t="str">
        <f t="shared" si="298"/>
        <v>A.150.02.101</v>
      </c>
      <c r="D1082" s="51" t="s">
        <v>1633</v>
      </c>
      <c r="E1082" s="62" t="s">
        <v>887</v>
      </c>
      <c r="F1082" s="63" t="str">
        <f t="shared" si="299"/>
        <v>cooling water - excluding pumping energy - excluding BWS</v>
      </c>
      <c r="G1082" s="64">
        <v>0.0</v>
      </c>
      <c r="H1082" s="10">
        <f t="shared" si="300"/>
        <v>0</v>
      </c>
      <c r="I1082" s="65">
        <v>0.0</v>
      </c>
      <c r="J1082" s="65">
        <v>0.0</v>
      </c>
      <c r="K1082" s="65">
        <v>0.0</v>
      </c>
      <c r="L1082" s="65">
        <v>0.0</v>
      </c>
      <c r="N1082" s="66">
        <v>0.0</v>
      </c>
      <c r="O1082" s="10">
        <f t="shared" si="301"/>
        <v>0</v>
      </c>
      <c r="Q1082" s="67">
        <v>0.0</v>
      </c>
      <c r="S1082" s="68">
        <v>0.0</v>
      </c>
      <c r="T1082" s="68">
        <v>0.0</v>
      </c>
      <c r="U1082" s="68">
        <v>0.0</v>
      </c>
      <c r="V1082" s="68">
        <v>0.0</v>
      </c>
      <c r="X1082" s="69">
        <v>0.0</v>
      </c>
      <c r="Y1082" s="88"/>
    </row>
    <row r="1083" ht="12.75" customHeight="1">
      <c r="A1083" s="1" t="s">
        <v>1638</v>
      </c>
      <c r="B1083" s="2" t="s">
        <v>1635</v>
      </c>
      <c r="C1083" s="60" t="str">
        <f t="shared" si="298"/>
        <v>A.150.03.101</v>
      </c>
      <c r="D1083" s="51" t="s">
        <v>1633</v>
      </c>
      <c r="E1083" s="62" t="s">
        <v>887</v>
      </c>
      <c r="F1083" s="63" t="str">
        <f t="shared" si="299"/>
        <v>low water stress (BWS &lt; 10%) drinking water and cooling tower water</v>
      </c>
      <c r="G1083" s="64">
        <v>0.266368879686</v>
      </c>
      <c r="H1083" s="10">
        <f t="shared" si="300"/>
        <v>0.2663688797</v>
      </c>
      <c r="I1083" s="65">
        <v>0.028651162686</v>
      </c>
      <c r="J1083" s="65">
        <v>0.021888789699999998</v>
      </c>
      <c r="K1083" s="65">
        <v>0.1214555273</v>
      </c>
      <c r="L1083" s="65">
        <v>0.0943734</v>
      </c>
      <c r="N1083" s="66">
        <v>0.629156</v>
      </c>
      <c r="O1083" s="10">
        <f t="shared" si="301"/>
        <v>0.629156</v>
      </c>
      <c r="Q1083" s="67">
        <v>3.7859518</v>
      </c>
      <c r="S1083" s="68">
        <v>0.018344712</v>
      </c>
      <c r="T1083" s="68">
        <v>0.017572311</v>
      </c>
      <c r="U1083" s="68">
        <v>5.3680163E-4</v>
      </c>
      <c r="V1083" s="68">
        <v>2.3559892E-4</v>
      </c>
      <c r="X1083" s="69">
        <v>4.4765028E-5</v>
      </c>
      <c r="Y1083" s="88"/>
    </row>
    <row r="1084" ht="12.75" customHeight="1">
      <c r="A1084" s="1" t="s">
        <v>1639</v>
      </c>
      <c r="B1084" s="2" t="s">
        <v>1635</v>
      </c>
      <c r="C1084" s="60" t="str">
        <f t="shared" si="298"/>
        <v>A.150.03.102</v>
      </c>
      <c r="D1084" s="51" t="s">
        <v>1633</v>
      </c>
      <c r="E1084" s="62" t="s">
        <v>887</v>
      </c>
      <c r="F1084" s="63" t="str">
        <f t="shared" si="299"/>
        <v>low medium water stress (BWS 10%-20%) drinking water and cooling tower water</v>
      </c>
      <c r="G1084" s="64">
        <v>0.38086887968600003</v>
      </c>
      <c r="H1084" s="10">
        <f t="shared" si="300"/>
        <v>0.3808688797</v>
      </c>
      <c r="I1084" s="65">
        <v>0.028651162686</v>
      </c>
      <c r="J1084" s="65">
        <v>0.021888789699999998</v>
      </c>
      <c r="K1084" s="65">
        <v>0.23595552730000002</v>
      </c>
      <c r="L1084" s="65">
        <v>0.0943734</v>
      </c>
      <c r="N1084" s="66">
        <v>0.629156</v>
      </c>
      <c r="O1084" s="10">
        <f t="shared" si="301"/>
        <v>0.629156</v>
      </c>
      <c r="Q1084" s="67">
        <v>3.7859518</v>
      </c>
      <c r="S1084" s="68">
        <v>0.018344712</v>
      </c>
      <c r="T1084" s="68">
        <v>0.017572311</v>
      </c>
      <c r="U1084" s="68">
        <v>5.3680163E-4</v>
      </c>
      <c r="V1084" s="68">
        <v>2.3559892E-4</v>
      </c>
      <c r="X1084" s="69">
        <v>4.4765028E-5</v>
      </c>
      <c r="Y1084" s="88"/>
    </row>
    <row r="1085" ht="12.75" customHeight="1">
      <c r="A1085" s="1" t="s">
        <v>1640</v>
      </c>
      <c r="B1085" s="2" t="s">
        <v>1635</v>
      </c>
      <c r="C1085" s="60" t="str">
        <f t="shared" si="298"/>
        <v>A.150.03.103</v>
      </c>
      <c r="D1085" s="51" t="s">
        <v>1633</v>
      </c>
      <c r="E1085" s="62" t="s">
        <v>887</v>
      </c>
      <c r="F1085" s="63" t="str">
        <f t="shared" si="299"/>
        <v>medium high water stress (BWS 20%-40%) drinking water and cooling tower water</v>
      </c>
      <c r="G1085" s="64">
        <v>0.6098688796859999</v>
      </c>
      <c r="H1085" s="10">
        <f t="shared" si="300"/>
        <v>0.6098688797</v>
      </c>
      <c r="I1085" s="65">
        <v>0.028651162686</v>
      </c>
      <c r="J1085" s="65">
        <v>0.021888789699999998</v>
      </c>
      <c r="K1085" s="65">
        <v>0.4649555273</v>
      </c>
      <c r="L1085" s="65">
        <v>0.0943734</v>
      </c>
      <c r="N1085" s="66">
        <v>0.629156</v>
      </c>
      <c r="O1085" s="10">
        <f t="shared" si="301"/>
        <v>0.629156</v>
      </c>
      <c r="Q1085" s="67">
        <v>3.7859518</v>
      </c>
      <c r="S1085" s="68">
        <v>0.018344712</v>
      </c>
      <c r="T1085" s="68">
        <v>0.017572311</v>
      </c>
      <c r="U1085" s="68">
        <v>5.3680163E-4</v>
      </c>
      <c r="V1085" s="68">
        <v>2.3559892E-4</v>
      </c>
      <c r="X1085" s="69">
        <v>4.4765028E-5</v>
      </c>
      <c r="Y1085" s="88"/>
    </row>
    <row r="1086" ht="12.75" customHeight="1">
      <c r="A1086" s="1" t="s">
        <v>1641</v>
      </c>
      <c r="B1086" s="2" t="s">
        <v>1635</v>
      </c>
      <c r="C1086" s="60" t="str">
        <f t="shared" si="298"/>
        <v>A.150.03.104</v>
      </c>
      <c r="D1086" s="51" t="s">
        <v>1633</v>
      </c>
      <c r="E1086" s="62" t="s">
        <v>887</v>
      </c>
      <c r="F1086" s="63" t="str">
        <f t="shared" si="299"/>
        <v>high water stress (BWS 40%-80%) drinking water and cooling tower water</v>
      </c>
      <c r="G1086" s="64">
        <v>1.067868879686</v>
      </c>
      <c r="H1086" s="10">
        <f t="shared" si="300"/>
        <v>1.06786888</v>
      </c>
      <c r="I1086" s="65">
        <v>0.028651162686</v>
      </c>
      <c r="J1086" s="65">
        <v>0.021888789699999998</v>
      </c>
      <c r="K1086" s="65">
        <v>0.9229555273000001</v>
      </c>
      <c r="L1086" s="65">
        <v>0.0943734</v>
      </c>
      <c r="N1086" s="66">
        <v>0.629156</v>
      </c>
      <c r="O1086" s="10">
        <f t="shared" si="301"/>
        <v>0.629156</v>
      </c>
      <c r="Q1086" s="67">
        <v>3.7859518</v>
      </c>
      <c r="S1086" s="68">
        <v>0.018344712</v>
      </c>
      <c r="T1086" s="68">
        <v>0.017572311</v>
      </c>
      <c r="U1086" s="68">
        <v>5.3680163E-4</v>
      </c>
      <c r="V1086" s="68">
        <v>2.3559892E-4</v>
      </c>
      <c r="X1086" s="69">
        <v>4.4765028E-5</v>
      </c>
      <c r="Y1086" s="88"/>
    </row>
    <row r="1087" ht="12.75" customHeight="1">
      <c r="A1087" s="1" t="s">
        <v>1642</v>
      </c>
      <c r="B1087" s="2" t="s">
        <v>1635</v>
      </c>
      <c r="C1087" s="60" t="str">
        <f t="shared" si="298"/>
        <v>A.150.03.105</v>
      </c>
      <c r="D1087" s="51" t="s">
        <v>1633</v>
      </c>
      <c r="E1087" s="62" t="s">
        <v>887</v>
      </c>
      <c r="F1087" s="63" t="str">
        <f t="shared" si="299"/>
        <v>extremely high water stress (BWS &gt; 80%) drinking water and cooling tower water</v>
      </c>
      <c r="G1087" s="64">
        <v>1.296868879686</v>
      </c>
      <c r="H1087" s="10">
        <f t="shared" si="300"/>
        <v>1.29686888</v>
      </c>
      <c r="I1087" s="65">
        <v>0.028651162686</v>
      </c>
      <c r="J1087" s="65">
        <v>0.021888789699999998</v>
      </c>
      <c r="K1087" s="65">
        <v>1.1519555273</v>
      </c>
      <c r="L1087" s="65">
        <v>0.0943734</v>
      </c>
      <c r="N1087" s="66">
        <v>0.629156</v>
      </c>
      <c r="O1087" s="10">
        <f t="shared" si="301"/>
        <v>0.629156</v>
      </c>
      <c r="Q1087" s="67">
        <v>3.7859518</v>
      </c>
      <c r="S1087" s="68">
        <v>0.018344712</v>
      </c>
      <c r="T1087" s="68">
        <v>0.017572311</v>
      </c>
      <c r="U1087" s="68">
        <v>5.3680163E-4</v>
      </c>
      <c r="V1087" s="68">
        <v>2.3559892E-4</v>
      </c>
      <c r="X1087" s="69">
        <v>4.4765028E-5</v>
      </c>
      <c r="Y1087" s="88"/>
    </row>
    <row r="1088" ht="12.75" customHeight="1">
      <c r="B1088" s="2"/>
      <c r="C1088" s="60"/>
      <c r="D1088" s="51"/>
      <c r="E1088" s="62"/>
      <c r="G1088" s="10"/>
      <c r="H1088" s="10"/>
      <c r="I1088" s="10"/>
      <c r="J1088" s="10"/>
      <c r="K1088" s="10"/>
      <c r="L1088" s="10"/>
      <c r="N1088" s="10"/>
      <c r="O1088" s="10"/>
      <c r="Q1088" s="67"/>
    </row>
    <row r="1089" ht="12.75" customHeight="1">
      <c r="B1089" s="2"/>
      <c r="C1089" s="60"/>
      <c r="D1089" s="75" t="s">
        <v>1643</v>
      </c>
      <c r="E1089" s="62"/>
      <c r="G1089" s="10"/>
      <c r="H1089" s="10"/>
      <c r="I1089" s="10"/>
      <c r="J1089" s="10"/>
      <c r="K1089" s="10"/>
      <c r="L1089" s="10"/>
      <c r="N1089" s="10"/>
      <c r="O1089" s="10"/>
      <c r="Q1089" s="67"/>
    </row>
    <row r="1090" ht="12.75" customHeight="1">
      <c r="A1090" s="1" t="s">
        <v>1644</v>
      </c>
      <c r="B1090" s="2" t="s">
        <v>1645</v>
      </c>
      <c r="C1090" s="60" t="str">
        <f t="shared" ref="C1090:C1110" si="302">MID(A1090,1,12)</f>
        <v>A.160.01.101</v>
      </c>
      <c r="D1090" s="51" t="s">
        <v>1643</v>
      </c>
      <c r="E1090" s="62" t="s">
        <v>45</v>
      </c>
      <c r="F1090" s="63" t="str">
        <f t="shared" ref="F1090:F1110" si="303">MID(A1090, 21,85)</f>
        <v>Afrormosia FSC/PEFC 700 (kg/m3)</v>
      </c>
      <c r="G1090" s="64">
        <v>0.055231224461627045</v>
      </c>
      <c r="H1090" s="10">
        <f t="shared" ref="H1090:H1280" si="304">G1090</f>
        <v>0.05523122446</v>
      </c>
      <c r="I1090" s="65">
        <v>0.0027528483714</v>
      </c>
      <c r="J1090" s="65">
        <v>0.0058722523290000005</v>
      </c>
      <c r="K1090" s="65">
        <v>0.012634041761227042</v>
      </c>
      <c r="L1090" s="65">
        <v>0.033972082</v>
      </c>
      <c r="N1090" s="66">
        <v>0.22648054666666667</v>
      </c>
      <c r="O1090" s="10">
        <f t="shared" ref="O1090:O1280" si="305">N1090</f>
        <v>0.2264805467</v>
      </c>
      <c r="Q1090" s="67">
        <v>24.765605</v>
      </c>
      <c r="S1090" s="68">
        <v>0.0049251124</v>
      </c>
      <c r="T1090" s="68">
        <v>0.0045735165</v>
      </c>
      <c r="U1090" s="68">
        <v>1.9525864E-4</v>
      </c>
      <c r="V1090" s="68">
        <v>1.5633731E-4</v>
      </c>
      <c r="X1090" s="69">
        <v>1.2078612E-5</v>
      </c>
      <c r="Y1090" s="88"/>
      <c r="Z1090" s="73" t="s">
        <v>1646</v>
      </c>
    </row>
    <row r="1091" ht="12.75" customHeight="1">
      <c r="A1091" s="1" t="s">
        <v>1647</v>
      </c>
      <c r="B1091" s="2" t="s">
        <v>1645</v>
      </c>
      <c r="C1091" s="60" t="str">
        <f t="shared" si="302"/>
        <v>A.160.01.102</v>
      </c>
      <c r="D1091" s="51" t="s">
        <v>1643</v>
      </c>
      <c r="E1091" s="62" t="s">
        <v>45</v>
      </c>
      <c r="F1091" s="63" t="str">
        <f t="shared" si="303"/>
        <v>Afrormosia natural forest clear cut 700 (kg/m3)</v>
      </c>
      <c r="G1091" s="64">
        <v>5.601172718262626</v>
      </c>
      <c r="H1091" s="10">
        <f t="shared" si="304"/>
        <v>5.601172718</v>
      </c>
      <c r="I1091" s="65">
        <v>0.0027528483714</v>
      </c>
      <c r="J1091" s="65">
        <v>5.03431374813</v>
      </c>
      <c r="K1091" s="65">
        <v>0.012634041761227042</v>
      </c>
      <c r="L1091" s="65">
        <v>0.55147208</v>
      </c>
      <c r="N1091" s="66">
        <v>3.6764805333333337</v>
      </c>
      <c r="O1091" s="10">
        <f t="shared" si="305"/>
        <v>3.676480533</v>
      </c>
      <c r="Q1091" s="67">
        <v>24.765605</v>
      </c>
      <c r="S1091" s="68">
        <v>0.060939936</v>
      </c>
      <c r="T1091" s="68">
        <v>0.057976204</v>
      </c>
      <c r="U1091" s="68">
        <v>0.002807394</v>
      </c>
      <c r="V1091" s="68">
        <v>1.5633731E-4</v>
      </c>
      <c r="X1091" s="69">
        <v>1.0827377E-4</v>
      </c>
      <c r="Y1091" s="88"/>
      <c r="Z1091" s="73" t="s">
        <v>1646</v>
      </c>
    </row>
    <row r="1092" ht="12.75" customHeight="1">
      <c r="A1092" s="1" t="s">
        <v>1648</v>
      </c>
      <c r="B1092" s="2" t="s">
        <v>1645</v>
      </c>
      <c r="C1092" s="60" t="str">
        <f t="shared" si="302"/>
        <v>A.160.01.103</v>
      </c>
      <c r="D1092" s="51" t="s">
        <v>1643</v>
      </c>
      <c r="E1092" s="62" t="s">
        <v>45</v>
      </c>
      <c r="F1092" s="63" t="str">
        <f t="shared" si="303"/>
        <v>Afzelia FCS/PEFC 820 (kg/m3)</v>
      </c>
      <c r="G1092" s="64">
        <v>0.05296835537942705</v>
      </c>
      <c r="H1092" s="10">
        <f t="shared" si="304"/>
        <v>0.05296835538</v>
      </c>
      <c r="I1092" s="65">
        <v>0.0027277443332</v>
      </c>
      <c r="J1092" s="65">
        <v>0.005581706295000001</v>
      </c>
      <c r="K1092" s="65">
        <v>0.011921350751227043</v>
      </c>
      <c r="L1092" s="65">
        <v>0.032737554</v>
      </c>
      <c r="N1092" s="66">
        <v>0.21825036000000003</v>
      </c>
      <c r="O1092" s="10">
        <f t="shared" si="305"/>
        <v>0.21825036</v>
      </c>
      <c r="Q1092" s="67">
        <v>24.657506</v>
      </c>
      <c r="S1092" s="68">
        <v>0.0046989939</v>
      </c>
      <c r="T1092" s="68">
        <v>0.0043627782</v>
      </c>
      <c r="U1092" s="68">
        <v>1.8742435E-4</v>
      </c>
      <c r="V1092" s="68">
        <v>1.4879137E-4</v>
      </c>
      <c r="X1092" s="69">
        <v>1.1637066E-5</v>
      </c>
      <c r="Y1092" s="88"/>
      <c r="Z1092" s="73" t="s">
        <v>1649</v>
      </c>
    </row>
    <row r="1093" ht="12.75" customHeight="1">
      <c r="A1093" s="1" t="s">
        <v>1650</v>
      </c>
      <c r="B1093" s="2" t="s">
        <v>1645</v>
      </c>
      <c r="C1093" s="60" t="str">
        <f t="shared" si="302"/>
        <v>A.160.01.104</v>
      </c>
      <c r="D1093" s="51" t="s">
        <v>1643</v>
      </c>
      <c r="E1093" s="62" t="s">
        <v>45</v>
      </c>
      <c r="F1093" s="63" t="str">
        <f t="shared" si="303"/>
        <v>Afzelia natural forest clear cut 820 (kg/m3)</v>
      </c>
      <c r="G1093" s="64">
        <v>6.547368361884427</v>
      </c>
      <c r="H1093" s="10">
        <f t="shared" si="304"/>
        <v>6.547368362</v>
      </c>
      <c r="I1093" s="65">
        <v>0.0027277443332</v>
      </c>
      <c r="J1093" s="65">
        <v>5.9824817168</v>
      </c>
      <c r="K1093" s="65">
        <v>0.011921350751227043</v>
      </c>
      <c r="L1093" s="65">
        <v>0.55023755</v>
      </c>
      <c r="N1093" s="66">
        <v>3.6682503333333334</v>
      </c>
      <c r="O1093" s="10">
        <f t="shared" si="305"/>
        <v>3.668250333</v>
      </c>
      <c r="Q1093" s="67">
        <v>24.657506</v>
      </c>
      <c r="S1093" s="68">
        <v>0.060713817</v>
      </c>
      <c r="T1093" s="68">
        <v>0.057765466</v>
      </c>
      <c r="U1093" s="68">
        <v>0.0027995597</v>
      </c>
      <c r="V1093" s="68">
        <v>1.4879137E-4</v>
      </c>
      <c r="X1093" s="69">
        <v>1.0783222E-4</v>
      </c>
      <c r="Y1093" s="88"/>
      <c r="Z1093" s="73" t="s">
        <v>1649</v>
      </c>
    </row>
    <row r="1094" ht="12.75" customHeight="1">
      <c r="A1094" s="1" t="s">
        <v>1651</v>
      </c>
      <c r="B1094" s="2" t="s">
        <v>1645</v>
      </c>
      <c r="C1094" s="60" t="str">
        <f t="shared" si="302"/>
        <v>A.160.01.105</v>
      </c>
      <c r="D1094" s="51" t="s">
        <v>1643</v>
      </c>
      <c r="E1094" s="62" t="s">
        <v>45</v>
      </c>
      <c r="F1094" s="63" t="str">
        <f t="shared" si="303"/>
        <v>Guaiacum wood FSC/PEFC 1250 (kg/m3)</v>
      </c>
      <c r="G1094" s="64">
        <v>0.051761490929727046</v>
      </c>
      <c r="H1094" s="10">
        <f t="shared" si="304"/>
        <v>0.05176149093</v>
      </c>
      <c r="I1094" s="65">
        <v>0.0027143555554999996</v>
      </c>
      <c r="J1094" s="65">
        <v>0.005426748363</v>
      </c>
      <c r="K1094" s="65">
        <v>0.011541248011227044</v>
      </c>
      <c r="L1094" s="65">
        <v>0.032079139</v>
      </c>
      <c r="N1094" s="66">
        <v>0.21386092666666667</v>
      </c>
      <c r="O1094" s="10">
        <f t="shared" si="305"/>
        <v>0.2138609267</v>
      </c>
      <c r="Q1094" s="67">
        <v>24.599853</v>
      </c>
      <c r="S1094" s="68">
        <v>0.0045783973</v>
      </c>
      <c r="T1094" s="68">
        <v>0.0042503844</v>
      </c>
      <c r="U1094" s="68">
        <v>1.8324606E-4</v>
      </c>
      <c r="V1094" s="68">
        <v>1.4476687E-4</v>
      </c>
      <c r="X1094" s="69">
        <v>1.1401575E-5</v>
      </c>
      <c r="Y1094" s="88"/>
      <c r="Z1094" s="73" t="s">
        <v>1652</v>
      </c>
    </row>
    <row r="1095" ht="12.75" customHeight="1">
      <c r="A1095" s="1" t="s">
        <v>1653</v>
      </c>
      <c r="B1095" s="2" t="s">
        <v>1645</v>
      </c>
      <c r="C1095" s="60" t="str">
        <f t="shared" si="302"/>
        <v>A.160.01.106</v>
      </c>
      <c r="D1095" s="51" t="s">
        <v>1643</v>
      </c>
      <c r="E1095" s="62" t="s">
        <v>45</v>
      </c>
      <c r="F1095" s="63" t="str">
        <f t="shared" si="303"/>
        <v>Guaiacum wood natural forest clear cut 1250 (kg/m3)</v>
      </c>
      <c r="G1095" s="64">
        <v>3.5061865102767267</v>
      </c>
      <c r="H1095" s="10">
        <f t="shared" si="304"/>
        <v>3.50618651</v>
      </c>
      <c r="I1095" s="65">
        <v>0.0027143555554999996</v>
      </c>
      <c r="J1095" s="65">
        <v>2.94235176671</v>
      </c>
      <c r="K1095" s="65">
        <v>0.011541248011227044</v>
      </c>
      <c r="L1095" s="65">
        <v>0.54957914</v>
      </c>
      <c r="N1095" s="66">
        <v>3.6638609333333334</v>
      </c>
      <c r="O1095" s="10">
        <f t="shared" si="305"/>
        <v>3.663860933</v>
      </c>
      <c r="Q1095" s="67">
        <v>24.599853</v>
      </c>
      <c r="S1095" s="68">
        <v>0.060593221</v>
      </c>
      <c r="T1095" s="68">
        <v>0.057653072</v>
      </c>
      <c r="U1095" s="68">
        <v>0.0027953814</v>
      </c>
      <c r="V1095" s="68">
        <v>1.4476687E-4</v>
      </c>
      <c r="X1095" s="69">
        <v>1.0759673E-4</v>
      </c>
      <c r="Y1095" s="88"/>
      <c r="Z1095" s="73" t="s">
        <v>1652</v>
      </c>
    </row>
    <row r="1096" ht="12.75" customHeight="1">
      <c r="A1096" s="1" t="s">
        <v>1654</v>
      </c>
      <c r="B1096" s="2" t="s">
        <v>1645</v>
      </c>
      <c r="C1096" s="60" t="str">
        <f t="shared" si="302"/>
        <v>A.160.01.107</v>
      </c>
      <c r="D1096" s="51" t="s">
        <v>1643</v>
      </c>
      <c r="E1096" s="62" t="s">
        <v>45</v>
      </c>
      <c r="F1096" s="63" t="str">
        <f t="shared" si="303"/>
        <v>Iroko FSC/PEFC 650 (kg/m3)</v>
      </c>
      <c r="G1096" s="64">
        <v>0.05839924250902705</v>
      </c>
      <c r="H1096" s="10">
        <f t="shared" si="304"/>
        <v>0.05839924251</v>
      </c>
      <c r="I1096" s="65">
        <v>0.0027879939827999997</v>
      </c>
      <c r="J1096" s="65">
        <v>0.006279016945000001</v>
      </c>
      <c r="K1096" s="65">
        <v>0.013631810581227042</v>
      </c>
      <c r="L1096" s="65">
        <v>0.035700421</v>
      </c>
      <c r="N1096" s="66">
        <v>0.2380028066666667</v>
      </c>
      <c r="O1096" s="10">
        <f t="shared" si="305"/>
        <v>0.2380028067</v>
      </c>
      <c r="Q1096" s="67">
        <v>24.916944</v>
      </c>
      <c r="S1096" s="68">
        <v>0.0052416784</v>
      </c>
      <c r="T1096" s="68">
        <v>0.0048685501</v>
      </c>
      <c r="U1096" s="68">
        <v>2.0622665E-4</v>
      </c>
      <c r="V1096" s="68">
        <v>1.6690163E-4</v>
      </c>
      <c r="X1096" s="69">
        <v>1.2696776E-5</v>
      </c>
      <c r="Y1096" s="88"/>
      <c r="Z1096" s="73" t="s">
        <v>1655</v>
      </c>
    </row>
    <row r="1097" ht="12.75" customHeight="1">
      <c r="A1097" s="1" t="s">
        <v>1656</v>
      </c>
      <c r="B1097" s="2" t="s">
        <v>1645</v>
      </c>
      <c r="C1097" s="60" t="str">
        <f t="shared" si="302"/>
        <v>A.160.01.108</v>
      </c>
      <c r="D1097" s="51" t="s">
        <v>1643</v>
      </c>
      <c r="E1097" s="62" t="s">
        <v>45</v>
      </c>
      <c r="F1097" s="63" t="str">
        <f t="shared" si="303"/>
        <v>Iroko natural forest clear cut 650 (kg/m3)</v>
      </c>
      <c r="G1097" s="64">
        <v>5.2990242167240265</v>
      </c>
      <c r="H1097" s="10">
        <f t="shared" si="304"/>
        <v>5.299024217</v>
      </c>
      <c r="I1097" s="65">
        <v>0.0027879939827999997</v>
      </c>
      <c r="J1097" s="65">
        <v>4.72940399216</v>
      </c>
      <c r="K1097" s="65">
        <v>0.013631810581227042</v>
      </c>
      <c r="L1097" s="65">
        <v>0.55320042</v>
      </c>
      <c r="N1097" s="66">
        <v>3.6880028000000005</v>
      </c>
      <c r="O1097" s="10">
        <f t="shared" si="305"/>
        <v>3.6880028</v>
      </c>
      <c r="Q1097" s="67">
        <v>24.916944</v>
      </c>
      <c r="S1097" s="68">
        <v>0.061256502</v>
      </c>
      <c r="T1097" s="68">
        <v>0.058271238</v>
      </c>
      <c r="U1097" s="68">
        <v>0.002818362</v>
      </c>
      <c r="V1097" s="68">
        <v>1.6690163E-4</v>
      </c>
      <c r="X1097" s="69">
        <v>1.0889193E-4</v>
      </c>
      <c r="Y1097" s="88"/>
      <c r="Z1097" s="73" t="s">
        <v>1655</v>
      </c>
    </row>
    <row r="1098" ht="12.75" customHeight="1">
      <c r="A1098" s="1" t="s">
        <v>1657</v>
      </c>
      <c r="B1098" s="2" t="s">
        <v>1645</v>
      </c>
      <c r="C1098" s="60" t="str">
        <f t="shared" si="302"/>
        <v>A.160.01.109</v>
      </c>
      <c r="D1098" s="51" t="s">
        <v>1643</v>
      </c>
      <c r="E1098" s="62" t="s">
        <v>45</v>
      </c>
      <c r="F1098" s="63" t="str">
        <f t="shared" si="303"/>
        <v>Makore FSC/PEFC 660 (kg/m3)</v>
      </c>
      <c r="G1098" s="64">
        <v>0.05568379898422704</v>
      </c>
      <c r="H1098" s="10">
        <f t="shared" si="304"/>
        <v>0.05568379898</v>
      </c>
      <c r="I1098" s="65">
        <v>0.002757869203</v>
      </c>
      <c r="J1098" s="65">
        <v>0.0059303616200000004</v>
      </c>
      <c r="K1098" s="65">
        <v>0.012776580161227043</v>
      </c>
      <c r="L1098" s="65">
        <v>0.034218988</v>
      </c>
      <c r="N1098" s="66">
        <v>0.22812658666666666</v>
      </c>
      <c r="O1098" s="10">
        <f t="shared" si="305"/>
        <v>0.2281265867</v>
      </c>
      <c r="Q1098" s="67">
        <v>24.787225</v>
      </c>
      <c r="S1098" s="68">
        <v>0.0049703361</v>
      </c>
      <c r="T1098" s="68">
        <v>0.0046156641</v>
      </c>
      <c r="U1098" s="68">
        <v>1.968255E-4</v>
      </c>
      <c r="V1098" s="68">
        <v>1.578465E-4</v>
      </c>
      <c r="X1098" s="69">
        <v>1.2166921E-5</v>
      </c>
      <c r="Y1098" s="88"/>
      <c r="Z1098" s="73" t="s">
        <v>1658</v>
      </c>
    </row>
    <row r="1099" ht="12.75" customHeight="1">
      <c r="A1099" s="1" t="s">
        <v>1659</v>
      </c>
      <c r="B1099" s="2" t="s">
        <v>1645</v>
      </c>
      <c r="C1099" s="60" t="str">
        <f t="shared" si="302"/>
        <v>A.160.01.110</v>
      </c>
      <c r="D1099" s="51" t="s">
        <v>1643</v>
      </c>
      <c r="E1099" s="62" t="s">
        <v>45</v>
      </c>
      <c r="F1099" s="63" t="str">
        <f t="shared" si="303"/>
        <v>Makore natural forest clear cut 660 (kg/m3)</v>
      </c>
      <c r="G1099" s="64">
        <v>5.210433793844228</v>
      </c>
      <c r="H1099" s="10">
        <f t="shared" si="304"/>
        <v>5.210433794</v>
      </c>
      <c r="I1099" s="65">
        <v>0.002757869203</v>
      </c>
      <c r="J1099" s="65">
        <v>4.64318035448</v>
      </c>
      <c r="K1099" s="65">
        <v>0.012776580161227043</v>
      </c>
      <c r="L1099" s="65">
        <v>0.55171899</v>
      </c>
      <c r="N1099" s="66">
        <v>3.6781266</v>
      </c>
      <c r="O1099" s="10">
        <f t="shared" si="305"/>
        <v>3.6781266</v>
      </c>
      <c r="Q1099" s="67">
        <v>24.787225</v>
      </c>
      <c r="S1099" s="68">
        <v>0.06098516</v>
      </c>
      <c r="T1099" s="68">
        <v>0.058018352</v>
      </c>
      <c r="U1099" s="68">
        <v>0.0028089609</v>
      </c>
      <c r="V1099" s="68">
        <v>1.578465E-4</v>
      </c>
      <c r="X1099" s="69">
        <v>1.0836207E-4</v>
      </c>
      <c r="Y1099" s="88"/>
      <c r="Z1099" s="73" t="s">
        <v>1658</v>
      </c>
    </row>
    <row r="1100" ht="12.75" customHeight="1">
      <c r="A1100" s="1" t="s">
        <v>1660</v>
      </c>
      <c r="B1100" s="2" t="s">
        <v>1645</v>
      </c>
      <c r="C1100" s="60" t="str">
        <f t="shared" si="302"/>
        <v>A.160.01.111</v>
      </c>
      <c r="D1100" s="51" t="s">
        <v>1643</v>
      </c>
      <c r="E1100" s="62" t="s">
        <v>45</v>
      </c>
      <c r="F1100" s="63" t="str">
        <f t="shared" si="303"/>
        <v>Mansonia FSC/PEFC 620 (kg/m3)</v>
      </c>
      <c r="G1100" s="64">
        <v>0.057192378059327045</v>
      </c>
      <c r="H1100" s="10">
        <f t="shared" si="304"/>
        <v>0.05719237806</v>
      </c>
      <c r="I1100" s="65">
        <v>0.0027746052051000002</v>
      </c>
      <c r="J1100" s="65">
        <v>0.006124059013000001</v>
      </c>
      <c r="K1100" s="65">
        <v>0.013251707841227044</v>
      </c>
      <c r="L1100" s="65">
        <v>0.035042006</v>
      </c>
      <c r="N1100" s="66">
        <v>0.23361337333333335</v>
      </c>
      <c r="O1100" s="10">
        <f t="shared" si="305"/>
        <v>0.2336133733</v>
      </c>
      <c r="Q1100" s="67">
        <v>24.859291</v>
      </c>
      <c r="S1100" s="68">
        <v>0.0051210818</v>
      </c>
      <c r="T1100" s="68">
        <v>0.0047561564</v>
      </c>
      <c r="U1100" s="68">
        <v>2.0204836E-4</v>
      </c>
      <c r="V1100" s="68">
        <v>1.6287713E-4</v>
      </c>
      <c r="X1100" s="69">
        <v>1.2461284E-5</v>
      </c>
      <c r="Y1100" s="88"/>
      <c r="Z1100" s="73" t="s">
        <v>1661</v>
      </c>
    </row>
    <row r="1101" ht="12.75" customHeight="1">
      <c r="A1101" s="1" t="s">
        <v>1662</v>
      </c>
      <c r="B1101" s="2" t="s">
        <v>1645</v>
      </c>
      <c r="C1101" s="60" t="str">
        <f t="shared" si="302"/>
        <v>A.160.01.112</v>
      </c>
      <c r="D1101" s="51" t="s">
        <v>1643</v>
      </c>
      <c r="E1101" s="62" t="s">
        <v>45</v>
      </c>
      <c r="F1101" s="63" t="str">
        <f t="shared" si="303"/>
        <v>Mansonia natural forest clear cut 620 (kg/m3)</v>
      </c>
      <c r="G1101" s="64">
        <v>6.255151865116326</v>
      </c>
      <c r="H1101" s="10">
        <f t="shared" si="304"/>
        <v>6.255151865</v>
      </c>
      <c r="I1101" s="65">
        <v>0.0027746052051000002</v>
      </c>
      <c r="J1101" s="65">
        <v>5.686583542069999</v>
      </c>
      <c r="K1101" s="65">
        <v>0.013251707841227044</v>
      </c>
      <c r="L1101" s="65">
        <v>0.55254201</v>
      </c>
      <c r="N1101" s="66">
        <v>3.6836134000000005</v>
      </c>
      <c r="O1101" s="10">
        <f t="shared" si="305"/>
        <v>3.6836134</v>
      </c>
      <c r="Q1101" s="67">
        <v>24.859291</v>
      </c>
      <c r="S1101" s="68">
        <v>0.061135905</v>
      </c>
      <c r="T1101" s="68">
        <v>0.058158844</v>
      </c>
      <c r="U1101" s="68">
        <v>0.0028141837</v>
      </c>
      <c r="V1101" s="68">
        <v>1.6287713E-4</v>
      </c>
      <c r="X1101" s="69">
        <v>1.0865644E-4</v>
      </c>
      <c r="Y1101" s="88"/>
      <c r="Z1101" s="73" t="s">
        <v>1661</v>
      </c>
    </row>
    <row r="1102" ht="12.75" customHeight="1">
      <c r="A1102" s="1" t="s">
        <v>1663</v>
      </c>
      <c r="B1102" s="2" t="s">
        <v>1645</v>
      </c>
      <c r="C1102" s="60" t="str">
        <f t="shared" si="302"/>
        <v>A.160.01.113</v>
      </c>
      <c r="D1102" s="51" t="s">
        <v>1643</v>
      </c>
      <c r="E1102" s="62" t="s">
        <v>45</v>
      </c>
      <c r="F1102" s="63" t="str">
        <f t="shared" si="303"/>
        <v>Moabi FSC/PEFC 815 (kg/m3)</v>
      </c>
      <c r="G1102" s="64">
        <v>0.053119213177627043</v>
      </c>
      <c r="H1102" s="10">
        <f t="shared" si="304"/>
        <v>0.05311921318</v>
      </c>
      <c r="I1102" s="65">
        <v>0.0027294179404</v>
      </c>
      <c r="J1102" s="65">
        <v>0.005601076026</v>
      </c>
      <c r="K1102" s="65">
        <v>0.011968863211227043</v>
      </c>
      <c r="L1102" s="65">
        <v>0.032819856</v>
      </c>
      <c r="N1102" s="66">
        <v>0.21879904000000003</v>
      </c>
      <c r="O1102" s="10">
        <f t="shared" si="305"/>
        <v>0.21879904</v>
      </c>
      <c r="Q1102" s="67">
        <v>24.664712</v>
      </c>
      <c r="S1102" s="68">
        <v>0.0047140685</v>
      </c>
      <c r="T1102" s="68">
        <v>0.0043768274</v>
      </c>
      <c r="U1102" s="68">
        <v>1.8794663E-4</v>
      </c>
      <c r="V1102" s="68">
        <v>1.4929443E-4</v>
      </c>
      <c r="X1102" s="69">
        <v>1.1666502E-5</v>
      </c>
      <c r="Y1102" s="88"/>
      <c r="Z1102" s="73" t="s">
        <v>1664</v>
      </c>
    </row>
    <row r="1103" ht="12.75" customHeight="1">
      <c r="A1103" s="1" t="s">
        <v>1665</v>
      </c>
      <c r="B1103" s="2" t="s">
        <v>1645</v>
      </c>
      <c r="C1103" s="60" t="str">
        <f t="shared" si="302"/>
        <v>A.160.01.114</v>
      </c>
      <c r="D1103" s="51" t="s">
        <v>1643</v>
      </c>
      <c r="E1103" s="62" t="s">
        <v>45</v>
      </c>
      <c r="F1103" s="63" t="str">
        <f t="shared" si="303"/>
        <v>Moabi natural forest clear cut 815 (kg/m3)</v>
      </c>
      <c r="G1103" s="64">
        <v>6.547519226701628</v>
      </c>
      <c r="H1103" s="10">
        <f t="shared" si="304"/>
        <v>6.547519227</v>
      </c>
      <c r="I1103" s="65">
        <v>0.0027294179404</v>
      </c>
      <c r="J1103" s="65">
        <v>5.98250108555</v>
      </c>
      <c r="K1103" s="65">
        <v>0.011968863211227043</v>
      </c>
      <c r="L1103" s="65">
        <v>0.55031986</v>
      </c>
      <c r="N1103" s="66">
        <v>3.6687990666666668</v>
      </c>
      <c r="O1103" s="10">
        <f t="shared" si="305"/>
        <v>3.668799067</v>
      </c>
      <c r="Q1103" s="67">
        <v>24.664712</v>
      </c>
      <c r="S1103" s="68">
        <v>0.060728892</v>
      </c>
      <c r="T1103" s="68">
        <v>0.057779515</v>
      </c>
      <c r="U1103" s="68">
        <v>0.002800082</v>
      </c>
      <c r="V1103" s="68">
        <v>1.4929443E-4</v>
      </c>
      <c r="X1103" s="69">
        <v>1.0786166E-4</v>
      </c>
      <c r="Y1103" s="88"/>
      <c r="Z1103" s="73" t="s">
        <v>1664</v>
      </c>
    </row>
    <row r="1104" ht="12.75" customHeight="1">
      <c r="A1104" s="1" t="s">
        <v>1666</v>
      </c>
      <c r="B1104" s="2" t="s">
        <v>1645</v>
      </c>
      <c r="C1104" s="60" t="str">
        <f t="shared" si="302"/>
        <v>A.160.01.115</v>
      </c>
      <c r="D1104" s="51" t="s">
        <v>1643</v>
      </c>
      <c r="E1104" s="62" t="s">
        <v>45</v>
      </c>
      <c r="F1104" s="63" t="str">
        <f t="shared" si="303"/>
        <v>Padouk African FSC/PEFC 740 (kg/m3)</v>
      </c>
      <c r="G1104" s="64">
        <v>0.05447693543452704</v>
      </c>
      <c r="H1104" s="10">
        <f t="shared" si="304"/>
        <v>0.05447693543</v>
      </c>
      <c r="I1104" s="65">
        <v>0.0027444803253</v>
      </c>
      <c r="J1104" s="65">
        <v>0.005775403688</v>
      </c>
      <c r="K1104" s="65">
        <v>0.012396478421227044</v>
      </c>
      <c r="L1104" s="65">
        <v>0.033560573</v>
      </c>
      <c r="N1104" s="66">
        <v>0.22373715333333336</v>
      </c>
      <c r="O1104" s="10">
        <f t="shared" si="305"/>
        <v>0.2237371533</v>
      </c>
      <c r="Q1104" s="67">
        <v>24.729572</v>
      </c>
      <c r="S1104" s="68">
        <v>0.0048497396</v>
      </c>
      <c r="T1104" s="68">
        <v>0.0045032704</v>
      </c>
      <c r="U1104" s="68">
        <v>1.9264721E-4</v>
      </c>
      <c r="V1104" s="68">
        <v>1.53822E-4</v>
      </c>
      <c r="X1104" s="69">
        <v>1.193143E-5</v>
      </c>
      <c r="Y1104" s="88"/>
      <c r="Z1104" s="73" t="s">
        <v>1667</v>
      </c>
    </row>
    <row r="1105" ht="12.75" customHeight="1">
      <c r="A1105" s="1" t="s">
        <v>1668</v>
      </c>
      <c r="B1105" s="2" t="s">
        <v>1645</v>
      </c>
      <c r="C1105" s="60" t="str">
        <f t="shared" si="302"/>
        <v>A.160.01.116</v>
      </c>
      <c r="D1105" s="51" t="s">
        <v>1643</v>
      </c>
      <c r="E1105" s="62" t="s">
        <v>45</v>
      </c>
      <c r="F1105" s="63" t="str">
        <f t="shared" si="303"/>
        <v>Padouk African natural forest clear cut 740 (kg/m3)</v>
      </c>
      <c r="G1105" s="64">
        <v>7.167176933136527</v>
      </c>
      <c r="H1105" s="10">
        <f t="shared" si="304"/>
        <v>7.167176933</v>
      </c>
      <c r="I1105" s="65">
        <v>0.0027444803253</v>
      </c>
      <c r="J1105" s="65">
        <v>6.60097540439</v>
      </c>
      <c r="K1105" s="65">
        <v>0.012396478421227044</v>
      </c>
      <c r="L1105" s="65">
        <v>0.55106057</v>
      </c>
      <c r="N1105" s="66">
        <v>3.6737371333333333</v>
      </c>
      <c r="O1105" s="10">
        <f t="shared" si="305"/>
        <v>3.673737133</v>
      </c>
      <c r="Q1105" s="67">
        <v>24.729572</v>
      </c>
      <c r="S1105" s="68">
        <v>0.060864562999999997</v>
      </c>
      <c r="T1105" s="68">
        <v>0.057905958</v>
      </c>
      <c r="U1105" s="68">
        <v>0.0028047826</v>
      </c>
      <c r="V1105" s="68">
        <v>1.53822E-4</v>
      </c>
      <c r="X1105" s="69">
        <v>1.0812658E-4</v>
      </c>
      <c r="Y1105" s="88"/>
      <c r="Z1105" s="73" t="s">
        <v>1667</v>
      </c>
    </row>
    <row r="1106" ht="12.75" customHeight="1">
      <c r="A1106" s="1" t="s">
        <v>1669</v>
      </c>
      <c r="B1106" s="2" t="s">
        <v>1645</v>
      </c>
      <c r="C1106" s="60" t="str">
        <f t="shared" si="302"/>
        <v>A.160.01.117</v>
      </c>
      <c r="D1106" s="51" t="s">
        <v>1643</v>
      </c>
      <c r="E1106" s="62" t="s">
        <v>45</v>
      </c>
      <c r="F1106" s="63" t="str">
        <f t="shared" si="303"/>
        <v>Palissander Indisch FSC/PEFC 850 (kg/m3)</v>
      </c>
      <c r="G1106" s="64">
        <v>0.051610634112527046</v>
      </c>
      <c r="H1106" s="10">
        <f t="shared" si="304"/>
        <v>0.05161063411</v>
      </c>
      <c r="I1106" s="65">
        <v>0.0027126819383</v>
      </c>
      <c r="J1106" s="65">
        <v>0.005407378633</v>
      </c>
      <c r="K1106" s="65">
        <v>0.011493735541227044</v>
      </c>
      <c r="L1106" s="65">
        <v>0.031996838</v>
      </c>
      <c r="N1106" s="66">
        <v>0.21331225333333334</v>
      </c>
      <c r="O1106" s="10">
        <f t="shared" si="305"/>
        <v>0.2133122533</v>
      </c>
      <c r="Q1106" s="67">
        <v>24.592646</v>
      </c>
      <c r="S1106" s="68">
        <v>0.0045633228</v>
      </c>
      <c r="T1106" s="68">
        <v>0.0042363352</v>
      </c>
      <c r="U1106" s="68">
        <v>1.8272377E-4</v>
      </c>
      <c r="V1106" s="68">
        <v>1.442638E-4</v>
      </c>
      <c r="X1106" s="69">
        <v>1.1372138E-5</v>
      </c>
      <c r="Y1106" s="88"/>
      <c r="Z1106" s="73" t="s">
        <v>1670</v>
      </c>
    </row>
    <row r="1107" ht="12.75" customHeight="1">
      <c r="A1107" s="1" t="s">
        <v>1671</v>
      </c>
      <c r="B1107" s="2" t="s">
        <v>1645</v>
      </c>
      <c r="C1107" s="60" t="str">
        <f t="shared" si="302"/>
        <v>A.160.01.118</v>
      </c>
      <c r="D1107" s="51" t="s">
        <v>1643</v>
      </c>
      <c r="E1107" s="62" t="s">
        <v>45</v>
      </c>
      <c r="F1107" s="63" t="str">
        <f t="shared" si="303"/>
        <v>Palissander Indisch natural forest clear cut 850 (kg/m3)</v>
      </c>
      <c r="G1107" s="64">
        <v>4.897210655439527</v>
      </c>
      <c r="H1107" s="10">
        <f t="shared" si="304"/>
        <v>4.897210655</v>
      </c>
      <c r="I1107" s="65">
        <v>0.0027126819383</v>
      </c>
      <c r="J1107" s="65">
        <v>4.33350739796</v>
      </c>
      <c r="K1107" s="65">
        <v>0.011493735541227044</v>
      </c>
      <c r="L1107" s="65">
        <v>0.54949684</v>
      </c>
      <c r="N1107" s="66">
        <v>3.663312266666667</v>
      </c>
      <c r="O1107" s="10">
        <f t="shared" si="305"/>
        <v>3.663312267</v>
      </c>
      <c r="Q1107" s="67">
        <v>24.592646</v>
      </c>
      <c r="S1107" s="68">
        <v>0.060578146</v>
      </c>
      <c r="T1107" s="68">
        <v>0.057639023</v>
      </c>
      <c r="U1107" s="68">
        <v>0.0027948591</v>
      </c>
      <c r="V1107" s="68">
        <v>1.442638E-4</v>
      </c>
      <c r="X1107" s="69">
        <v>1.0756729E-4</v>
      </c>
      <c r="Y1107" s="88"/>
      <c r="Z1107" s="73" t="s">
        <v>1670</v>
      </c>
    </row>
    <row r="1108" ht="12.75" customHeight="1">
      <c r="A1108" s="1" t="s">
        <v>1672</v>
      </c>
      <c r="B1108" s="2" t="s">
        <v>1645</v>
      </c>
      <c r="C1108" s="60" t="str">
        <f t="shared" si="302"/>
        <v>A.160.01.119</v>
      </c>
      <c r="D1108" s="51" t="s">
        <v>1643</v>
      </c>
      <c r="E1108" s="62" t="s">
        <v>45</v>
      </c>
      <c r="F1108" s="63" t="str">
        <f t="shared" si="303"/>
        <v>Robinia FSC/PEFC 740 (kg/m3)</v>
      </c>
      <c r="G1108" s="64">
        <v>0.055402509578425706</v>
      </c>
      <c r="H1108" s="10">
        <f t="shared" si="304"/>
        <v>0.05540250958</v>
      </c>
      <c r="I1108" s="65">
        <v>0.0042181788606000005</v>
      </c>
      <c r="J1108" s="65">
        <v>0.006074311773</v>
      </c>
      <c r="K1108" s="65">
        <v>0.011627080944825707</v>
      </c>
      <c r="L1108" s="65">
        <v>0.033482938</v>
      </c>
      <c r="N1108" s="66">
        <v>0.22321958666666666</v>
      </c>
      <c r="O1108" s="10">
        <f t="shared" si="305"/>
        <v>0.2232195867</v>
      </c>
      <c r="Q1108" s="67">
        <v>24.927961</v>
      </c>
      <c r="S1108" s="68">
        <v>0.0045309362</v>
      </c>
      <c r="T1108" s="68">
        <v>0.0041779589</v>
      </c>
      <c r="U1108" s="68">
        <v>1.8859635E-4</v>
      </c>
      <c r="V1108" s="68">
        <v>1.6438095E-4</v>
      </c>
      <c r="X1108" s="69">
        <v>1.213555E-5</v>
      </c>
      <c r="Y1108" s="88"/>
      <c r="Z1108" s="73" t="s">
        <v>1673</v>
      </c>
    </row>
    <row r="1109" ht="12.75" customHeight="1">
      <c r="A1109" s="1" t="s">
        <v>1674</v>
      </c>
      <c r="B1109" s="2" t="s">
        <v>1645</v>
      </c>
      <c r="C1109" s="60" t="str">
        <f t="shared" si="302"/>
        <v>A.160.01.120</v>
      </c>
      <c r="D1109" s="51" t="s">
        <v>1643</v>
      </c>
      <c r="E1109" s="62" t="s">
        <v>45</v>
      </c>
      <c r="F1109" s="63" t="str">
        <f t="shared" si="303"/>
        <v>Teak FSC/PEFC 665 (kg/m3)</v>
      </c>
      <c r="G1109" s="64">
        <v>0.07212731830022705</v>
      </c>
      <c r="H1109" s="10">
        <f t="shared" si="304"/>
        <v>0.0721273183</v>
      </c>
      <c r="I1109" s="65">
        <v>0.002940291769</v>
      </c>
      <c r="J1109" s="65">
        <v>0.0080416634</v>
      </c>
      <c r="K1109" s="65">
        <v>0.017955473131227043</v>
      </c>
      <c r="L1109" s="65">
        <v>0.04318989</v>
      </c>
      <c r="N1109" s="66">
        <v>0.28793260000000004</v>
      </c>
      <c r="O1109" s="10">
        <f t="shared" si="305"/>
        <v>0.2879326</v>
      </c>
      <c r="Q1109" s="67">
        <v>25.572744</v>
      </c>
      <c r="S1109" s="68">
        <v>0.0066134643</v>
      </c>
      <c r="T1109" s="68">
        <v>0.0061470293</v>
      </c>
      <c r="U1109" s="68">
        <v>2.5375468E-4</v>
      </c>
      <c r="V1109" s="68">
        <v>2.1268036E-4</v>
      </c>
      <c r="X1109" s="69">
        <v>1.5375486E-5</v>
      </c>
      <c r="Y1109" s="88"/>
      <c r="Z1109" s="73" t="s">
        <v>1675</v>
      </c>
    </row>
    <row r="1110" ht="12.75" customHeight="1">
      <c r="A1110" s="1" t="s">
        <v>1676</v>
      </c>
      <c r="B1110" s="2" t="s">
        <v>1645</v>
      </c>
      <c r="C1110" s="60" t="str">
        <f t="shared" si="302"/>
        <v>A.160.01.121</v>
      </c>
      <c r="D1110" s="51" t="s">
        <v>1643</v>
      </c>
      <c r="E1110" s="62" t="s">
        <v>45</v>
      </c>
      <c r="F1110" s="63" t="str">
        <f t="shared" si="303"/>
        <v>Teak natural forest clear cut 665 (kg/m3)</v>
      </c>
      <c r="G1110" s="64">
        <v>5.183939804310227</v>
      </c>
      <c r="H1110" s="10">
        <f t="shared" si="304"/>
        <v>5.183939804</v>
      </c>
      <c r="I1110" s="65">
        <v>0.002940291769</v>
      </c>
      <c r="J1110" s="65">
        <v>4.60235414941</v>
      </c>
      <c r="K1110" s="65">
        <v>0.017955473131227043</v>
      </c>
      <c r="L1110" s="65">
        <v>0.56068989</v>
      </c>
      <c r="N1110" s="66">
        <v>3.7379326</v>
      </c>
      <c r="O1110" s="10">
        <f t="shared" si="305"/>
        <v>3.7379326</v>
      </c>
      <c r="Q1110" s="67">
        <v>25.572744</v>
      </c>
      <c r="S1110" s="68">
        <v>0.062628288</v>
      </c>
      <c r="T1110" s="68">
        <v>0.059549717</v>
      </c>
      <c r="U1110" s="68">
        <v>0.00286589</v>
      </c>
      <c r="V1110" s="68">
        <v>2.1268036E-4</v>
      </c>
      <c r="X1110" s="69">
        <v>1.1157064E-4</v>
      </c>
      <c r="Y1110" s="88"/>
      <c r="Z1110" s="73" t="s">
        <v>1675</v>
      </c>
    </row>
    <row r="1111" ht="12.75" customHeight="1">
      <c r="B1111" s="2"/>
      <c r="C1111" s="60"/>
      <c r="D1111" s="75" t="s">
        <v>1677</v>
      </c>
      <c r="E1111" s="62"/>
      <c r="G1111" s="10"/>
      <c r="H1111" s="10" t="str">
        <f t="shared" si="304"/>
        <v/>
      </c>
      <c r="I1111" s="10"/>
      <c r="J1111" s="10"/>
      <c r="K1111" s="10"/>
      <c r="L1111" s="10"/>
      <c r="N1111" s="10"/>
      <c r="O1111" s="10" t="str">
        <f t="shared" si="305"/>
        <v/>
      </c>
      <c r="Q1111" s="67"/>
      <c r="Y1111" s="89"/>
      <c r="Z1111" s="72"/>
    </row>
    <row r="1112" ht="12.75" customHeight="1">
      <c r="A1112" s="1" t="s">
        <v>1678</v>
      </c>
      <c r="B1112" s="2" t="s">
        <v>1645</v>
      </c>
      <c r="C1112" s="60" t="str">
        <f t="shared" ref="C1112:C1142" si="306">MID(A1112,1,12)</f>
        <v>A.160.02.101</v>
      </c>
      <c r="D1112" s="51" t="s">
        <v>1677</v>
      </c>
      <c r="E1112" s="62" t="s">
        <v>45</v>
      </c>
      <c r="F1112" s="63" t="str">
        <f t="shared" ref="F1112:F1142" si="307">MID(A1112, 21,85)</f>
        <v>Agba FSC/PEFC 500 (kg/m3)</v>
      </c>
      <c r="G1112" s="64">
        <v>0.06126554293102704</v>
      </c>
      <c r="H1112" s="10">
        <f t="shared" si="304"/>
        <v>0.06126554293</v>
      </c>
      <c r="I1112" s="65">
        <v>0.0028197924698</v>
      </c>
      <c r="J1112" s="65">
        <v>0.006647042</v>
      </c>
      <c r="K1112" s="65">
        <v>0.014534552461227044</v>
      </c>
      <c r="L1112" s="65">
        <v>0.037264156</v>
      </c>
      <c r="N1112" s="66">
        <v>0.24842770666666666</v>
      </c>
      <c r="O1112" s="10">
        <f t="shared" si="305"/>
        <v>0.2484277067</v>
      </c>
      <c r="Q1112" s="67">
        <v>25.053869</v>
      </c>
      <c r="S1112" s="68">
        <v>0.0055280952</v>
      </c>
      <c r="T1112" s="68">
        <v>0.0051354853</v>
      </c>
      <c r="U1112" s="68">
        <v>2.1615008E-4</v>
      </c>
      <c r="V1112" s="68">
        <v>1.7645983E-4</v>
      </c>
      <c r="X1112" s="69">
        <v>1.3256067E-5</v>
      </c>
      <c r="Y1112" s="88"/>
      <c r="Z1112" s="73" t="s">
        <v>1679</v>
      </c>
    </row>
    <row r="1113" ht="12.75" customHeight="1">
      <c r="A1113" s="1" t="s">
        <v>1680</v>
      </c>
      <c r="B1113" s="2" t="s">
        <v>1645</v>
      </c>
      <c r="C1113" s="60" t="str">
        <f t="shared" si="306"/>
        <v>A.160.02.102</v>
      </c>
      <c r="D1113" s="51" t="s">
        <v>1677</v>
      </c>
      <c r="E1113" s="62" t="s">
        <v>45</v>
      </c>
      <c r="F1113" s="63" t="str">
        <f t="shared" si="307"/>
        <v>Agba natural forest clear cut 500 (kg/m3)</v>
      </c>
      <c r="G1113" s="64">
        <v>10.402865503521028</v>
      </c>
      <c r="H1113" s="10">
        <f t="shared" si="304"/>
        <v>10.4028655</v>
      </c>
      <c r="I1113" s="65">
        <v>0.0028197924698</v>
      </c>
      <c r="J1113" s="65">
        <v>9.830746998590001</v>
      </c>
      <c r="K1113" s="65">
        <v>0.014534552461227044</v>
      </c>
      <c r="L1113" s="65">
        <v>0.55476416</v>
      </c>
      <c r="N1113" s="66">
        <v>3.6984277333333333</v>
      </c>
      <c r="O1113" s="10">
        <f t="shared" si="305"/>
        <v>3.698427733</v>
      </c>
      <c r="Q1113" s="67">
        <v>25.053869</v>
      </c>
      <c r="S1113" s="68">
        <v>0.061542919</v>
      </c>
      <c r="T1113" s="68">
        <v>0.058538173</v>
      </c>
      <c r="U1113" s="68">
        <v>0.0028282854</v>
      </c>
      <c r="V1113" s="68">
        <v>1.7645983E-4</v>
      </c>
      <c r="X1113" s="69">
        <v>1.0945122E-4</v>
      </c>
      <c r="Y1113" s="88"/>
      <c r="Z1113" s="73" t="s">
        <v>1679</v>
      </c>
    </row>
    <row r="1114" ht="12.75" customHeight="1">
      <c r="A1114" s="1" t="s">
        <v>1681</v>
      </c>
      <c r="B1114" s="2" t="s">
        <v>1645</v>
      </c>
      <c r="C1114" s="60" t="str">
        <f t="shared" si="306"/>
        <v>A.160.02.103</v>
      </c>
      <c r="D1114" s="51" t="s">
        <v>1677</v>
      </c>
      <c r="E1114" s="62" t="s">
        <v>45</v>
      </c>
      <c r="F1114" s="63" t="str">
        <f t="shared" si="307"/>
        <v>Angelique FSC 735 (kg/m3)</v>
      </c>
      <c r="G1114" s="64">
        <v>0.05296835537942705</v>
      </c>
      <c r="H1114" s="10">
        <f t="shared" si="304"/>
        <v>0.05296835538</v>
      </c>
      <c r="I1114" s="65">
        <v>0.0027277443332</v>
      </c>
      <c r="J1114" s="65">
        <v>0.005581706295000001</v>
      </c>
      <c r="K1114" s="65">
        <v>0.011921350751227043</v>
      </c>
      <c r="L1114" s="65">
        <v>0.032737554</v>
      </c>
      <c r="N1114" s="66">
        <v>0.21825036000000003</v>
      </c>
      <c r="O1114" s="10">
        <f t="shared" si="305"/>
        <v>0.21825036</v>
      </c>
      <c r="Q1114" s="67">
        <v>24.657506</v>
      </c>
      <c r="S1114" s="68">
        <v>0.0046989939</v>
      </c>
      <c r="T1114" s="68">
        <v>0.0043627782</v>
      </c>
      <c r="U1114" s="68">
        <v>1.8742435E-4</v>
      </c>
      <c r="V1114" s="68">
        <v>1.4879137E-4</v>
      </c>
      <c r="X1114" s="69">
        <v>1.1637066E-5</v>
      </c>
      <c r="Y1114" s="88"/>
      <c r="Z1114" s="73" t="s">
        <v>1682</v>
      </c>
    </row>
    <row r="1115" ht="12.75" customHeight="1">
      <c r="A1115" s="1" t="s">
        <v>1683</v>
      </c>
      <c r="B1115" s="2" t="s">
        <v>1645</v>
      </c>
      <c r="C1115" s="60" t="str">
        <f t="shared" si="306"/>
        <v>A.160.02.104</v>
      </c>
      <c r="D1115" s="51" t="s">
        <v>1677</v>
      </c>
      <c r="E1115" s="62" t="s">
        <v>45</v>
      </c>
      <c r="F1115" s="63" t="str">
        <f t="shared" si="307"/>
        <v>Angelique natural forest clear cut 735 (kg/m3)</v>
      </c>
      <c r="G1115" s="64">
        <v>5.568393361884427</v>
      </c>
      <c r="H1115" s="10">
        <f t="shared" si="304"/>
        <v>5.568393362</v>
      </c>
      <c r="I1115" s="65">
        <v>0.0027277443332</v>
      </c>
      <c r="J1115" s="65">
        <v>5.0035067168</v>
      </c>
      <c r="K1115" s="65">
        <v>0.011921350751227043</v>
      </c>
      <c r="L1115" s="65">
        <v>0.55023755</v>
      </c>
      <c r="N1115" s="66">
        <v>3.6682503333333334</v>
      </c>
      <c r="O1115" s="10">
        <f t="shared" si="305"/>
        <v>3.668250333</v>
      </c>
      <c r="Q1115" s="67">
        <v>24.657506</v>
      </c>
      <c r="S1115" s="68">
        <v>0.060713817</v>
      </c>
      <c r="T1115" s="68">
        <v>0.057765466</v>
      </c>
      <c r="U1115" s="68">
        <v>0.0027995597</v>
      </c>
      <c r="V1115" s="68">
        <v>1.4879137E-4</v>
      </c>
      <c r="X1115" s="69">
        <v>1.0783222E-4</v>
      </c>
      <c r="Y1115" s="88"/>
      <c r="Z1115" s="73" t="s">
        <v>1682</v>
      </c>
    </row>
    <row r="1116" ht="12.75" customHeight="1">
      <c r="A1116" s="1" t="s">
        <v>1684</v>
      </c>
      <c r="B1116" s="2" t="s">
        <v>1645</v>
      </c>
      <c r="C1116" s="60" t="str">
        <f t="shared" si="306"/>
        <v>A.160.02.105</v>
      </c>
      <c r="D1116" s="51" t="s">
        <v>1677</v>
      </c>
      <c r="E1116" s="62" t="s">
        <v>45</v>
      </c>
      <c r="F1116" s="63" t="str">
        <f t="shared" si="307"/>
        <v>Azobé FSC/PEFC 1060 (kg/m3)</v>
      </c>
      <c r="G1116" s="64">
        <v>0.05236492315962704</v>
      </c>
      <c r="H1116" s="10">
        <f t="shared" si="304"/>
        <v>0.05236492316</v>
      </c>
      <c r="I1116" s="65">
        <v>0.0027210499943999995</v>
      </c>
      <c r="J1116" s="65">
        <v>0.005504227284000001</v>
      </c>
      <c r="K1116" s="65">
        <v>0.011731298881227042</v>
      </c>
      <c r="L1116" s="65">
        <v>0.032408347</v>
      </c>
      <c r="N1116" s="66">
        <v>0.21605564666666666</v>
      </c>
      <c r="O1116" s="10">
        <f t="shared" si="305"/>
        <v>0.2160556467</v>
      </c>
      <c r="Q1116" s="67">
        <v>24.628679</v>
      </c>
      <c r="S1116" s="68">
        <v>0.0046386956</v>
      </c>
      <c r="T1116" s="68">
        <v>0.0043065813</v>
      </c>
      <c r="U1116" s="68">
        <v>1.853352E-4</v>
      </c>
      <c r="V1116" s="68">
        <v>1.4677912E-4</v>
      </c>
      <c r="X1116" s="69">
        <v>1.151932E-5</v>
      </c>
      <c r="Y1116" s="88"/>
      <c r="Z1116" s="73" t="s">
        <v>1685</v>
      </c>
    </row>
    <row r="1117" ht="12.75" customHeight="1">
      <c r="A1117" s="1" t="s">
        <v>1686</v>
      </c>
      <c r="B1117" s="2" t="s">
        <v>1645</v>
      </c>
      <c r="C1117" s="60" t="str">
        <f t="shared" si="306"/>
        <v>A.160.02.106</v>
      </c>
      <c r="D1117" s="51" t="s">
        <v>1677</v>
      </c>
      <c r="E1117" s="62" t="s">
        <v>45</v>
      </c>
      <c r="F1117" s="63" t="str">
        <f t="shared" si="307"/>
        <v>Azobé natural forest clear cut 1060 (kg/m3)</v>
      </c>
      <c r="G1117" s="64">
        <v>5.172764940585627</v>
      </c>
      <c r="H1117" s="10">
        <f t="shared" si="304"/>
        <v>5.172764941</v>
      </c>
      <c r="I1117" s="65">
        <v>0.0027210499943999995</v>
      </c>
      <c r="J1117" s="65">
        <v>4.60840424171</v>
      </c>
      <c r="K1117" s="65">
        <v>0.011731298881227042</v>
      </c>
      <c r="L1117" s="65">
        <v>0.54990835</v>
      </c>
      <c r="N1117" s="66">
        <v>3.6660556666666673</v>
      </c>
      <c r="O1117" s="10">
        <f t="shared" si="305"/>
        <v>3.666055667</v>
      </c>
      <c r="Q1117" s="67">
        <v>24.628679</v>
      </c>
      <c r="S1117" s="68">
        <v>0.060653519</v>
      </c>
      <c r="T1117" s="68">
        <v>0.057709269</v>
      </c>
      <c r="U1117" s="68">
        <v>0.0027974706</v>
      </c>
      <c r="V1117" s="68">
        <v>1.4677912E-4</v>
      </c>
      <c r="X1117" s="69">
        <v>1.0771447E-4</v>
      </c>
      <c r="Y1117" s="88"/>
      <c r="Z1117" s="73" t="s">
        <v>1685</v>
      </c>
    </row>
    <row r="1118" ht="12.75" customHeight="1">
      <c r="A1118" s="1" t="s">
        <v>1687</v>
      </c>
      <c r="B1118" s="2" t="s">
        <v>1645</v>
      </c>
      <c r="C1118" s="60" t="str">
        <f t="shared" si="306"/>
        <v>A.160.02.107</v>
      </c>
      <c r="D1118" s="51" t="s">
        <v>1677</v>
      </c>
      <c r="E1118" s="62" t="s">
        <v>45</v>
      </c>
      <c r="F1118" s="63" t="str">
        <f t="shared" si="307"/>
        <v>Bosse clair FSC/PEFC 575 (kg/m3)</v>
      </c>
      <c r="G1118" s="64">
        <v>0.05855010051622704</v>
      </c>
      <c r="H1118" s="10">
        <f t="shared" si="304"/>
        <v>0.05855010052</v>
      </c>
      <c r="I1118" s="65">
        <v>0.00278966769</v>
      </c>
      <c r="J1118" s="65">
        <v>0.0062983867749999995</v>
      </c>
      <c r="K1118" s="65">
        <v>0.013679323051227042</v>
      </c>
      <c r="L1118" s="65">
        <v>0.035782723</v>
      </c>
      <c r="N1118" s="66">
        <v>0.2385514866666667</v>
      </c>
      <c r="O1118" s="10">
        <f t="shared" si="305"/>
        <v>0.2385514867</v>
      </c>
      <c r="Q1118" s="67">
        <v>24.92415</v>
      </c>
      <c r="S1118" s="68">
        <v>0.005256753</v>
      </c>
      <c r="T1118" s="68">
        <v>0.0048825994</v>
      </c>
      <c r="U1118" s="68">
        <v>2.0674893E-4</v>
      </c>
      <c r="V1118" s="68">
        <v>1.674047E-4</v>
      </c>
      <c r="X1118" s="69">
        <v>1.2726212E-5</v>
      </c>
      <c r="Y1118" s="88"/>
      <c r="Z1118" s="73" t="s">
        <v>1688</v>
      </c>
    </row>
    <row r="1119" ht="12.75" customHeight="1">
      <c r="A1119" s="1" t="s">
        <v>1689</v>
      </c>
      <c r="B1119" s="2" t="s">
        <v>1645</v>
      </c>
      <c r="C1119" s="60" t="str">
        <f t="shared" si="306"/>
        <v>A.160.02.108</v>
      </c>
      <c r="D1119" s="51" t="s">
        <v>1677</v>
      </c>
      <c r="E1119" s="62" t="s">
        <v>45</v>
      </c>
      <c r="F1119" s="63" t="str">
        <f t="shared" si="307"/>
        <v>Bosse clair natural forest clear cut 575 (kg/m3)</v>
      </c>
      <c r="G1119" s="64">
        <v>9.094850071751226</v>
      </c>
      <c r="H1119" s="10">
        <f t="shared" si="304"/>
        <v>9.094850072</v>
      </c>
      <c r="I1119" s="65">
        <v>0.00278966769</v>
      </c>
      <c r="J1119" s="65">
        <v>8.52509836101</v>
      </c>
      <c r="K1119" s="65">
        <v>0.013679323051227042</v>
      </c>
      <c r="L1119" s="65">
        <v>0.55328272</v>
      </c>
      <c r="N1119" s="66">
        <v>3.688551466666667</v>
      </c>
      <c r="O1119" s="10">
        <f t="shared" si="305"/>
        <v>3.688551467</v>
      </c>
      <c r="Q1119" s="67">
        <v>24.92415</v>
      </c>
      <c r="S1119" s="68">
        <v>0.061271576</v>
      </c>
      <c r="T1119" s="68">
        <v>0.058285287</v>
      </c>
      <c r="U1119" s="68">
        <v>0.0028188843</v>
      </c>
      <c r="V1119" s="68">
        <v>1.674047E-4</v>
      </c>
      <c r="X1119" s="69">
        <v>1.0892137E-4</v>
      </c>
      <c r="Y1119" s="88"/>
      <c r="Z1119" s="73" t="s">
        <v>1688</v>
      </c>
    </row>
    <row r="1120" ht="12.75" customHeight="1">
      <c r="A1120" s="1" t="s">
        <v>1690</v>
      </c>
      <c r="B1120" s="2" t="s">
        <v>1645</v>
      </c>
      <c r="C1120" s="60" t="str">
        <f t="shared" si="306"/>
        <v>A.160.02.109</v>
      </c>
      <c r="D1120" s="51" t="s">
        <v>1677</v>
      </c>
      <c r="E1120" s="62" t="s">
        <v>45</v>
      </c>
      <c r="F1120" s="63" t="str">
        <f t="shared" si="307"/>
        <v>Bubinga FSC/PEFC 830 (kg/m3)</v>
      </c>
      <c r="G1120" s="64">
        <v>0.05281749656222705</v>
      </c>
      <c r="H1120" s="10">
        <f t="shared" si="304"/>
        <v>0.05281749656</v>
      </c>
      <c r="I1120" s="65">
        <v>0.002726070716</v>
      </c>
      <c r="J1120" s="65">
        <v>0.005562336565000001</v>
      </c>
      <c r="K1120" s="65">
        <v>0.011873837281227043</v>
      </c>
      <c r="L1120" s="65">
        <v>0.032655252</v>
      </c>
      <c r="N1120" s="66">
        <v>0.21770168000000004</v>
      </c>
      <c r="O1120" s="10">
        <f t="shared" si="305"/>
        <v>0.21770168</v>
      </c>
      <c r="Q1120" s="67">
        <v>24.650299</v>
      </c>
      <c r="S1120" s="68">
        <v>0.0046839193</v>
      </c>
      <c r="T1120" s="68">
        <v>0.0043487289</v>
      </c>
      <c r="U1120" s="68">
        <v>1.8690206E-4</v>
      </c>
      <c r="V1120" s="68">
        <v>1.4828831E-4</v>
      </c>
      <c r="X1120" s="69">
        <v>1.1607629E-5</v>
      </c>
      <c r="Y1120" s="88"/>
      <c r="Z1120" s="73" t="s">
        <v>1691</v>
      </c>
    </row>
    <row r="1121" ht="12.75" customHeight="1">
      <c r="A1121" s="1" t="s">
        <v>1692</v>
      </c>
      <c r="B1121" s="2" t="s">
        <v>1645</v>
      </c>
      <c r="C1121" s="60" t="str">
        <f t="shared" si="306"/>
        <v>A.160.02.110</v>
      </c>
      <c r="D1121" s="51" t="s">
        <v>1677</v>
      </c>
      <c r="E1121" s="62" t="s">
        <v>45</v>
      </c>
      <c r="F1121" s="63" t="str">
        <f t="shared" si="307"/>
        <v>Bubinga natural forest clear cut 830 (kg/m3)</v>
      </c>
      <c r="G1121" s="64">
        <v>6.478517506047227</v>
      </c>
      <c r="H1121" s="10">
        <f t="shared" si="304"/>
        <v>6.478517506</v>
      </c>
      <c r="I1121" s="65">
        <v>0.002726070716</v>
      </c>
      <c r="J1121" s="65">
        <v>5.91376234805</v>
      </c>
      <c r="K1121" s="65">
        <v>0.011873837281227043</v>
      </c>
      <c r="L1121" s="65">
        <v>0.55015525</v>
      </c>
      <c r="N1121" s="66">
        <v>3.667701666666667</v>
      </c>
      <c r="O1121" s="10">
        <f t="shared" si="305"/>
        <v>3.667701667</v>
      </c>
      <c r="Q1121" s="67">
        <v>24.650299</v>
      </c>
      <c r="S1121" s="68">
        <v>0.060698743</v>
      </c>
      <c r="T1121" s="68">
        <v>0.057751417</v>
      </c>
      <c r="U1121" s="68">
        <v>0.0027990374</v>
      </c>
      <c r="V1121" s="68">
        <v>1.4828831E-4</v>
      </c>
      <c r="X1121" s="69">
        <v>1.0780278E-4</v>
      </c>
      <c r="Y1121" s="88"/>
      <c r="Z1121" s="73" t="s">
        <v>1691</v>
      </c>
    </row>
    <row r="1122" ht="12.75" customHeight="1">
      <c r="A1122" s="1" t="s">
        <v>1693</v>
      </c>
      <c r="B1122" s="2" t="s">
        <v>1645</v>
      </c>
      <c r="C1122" s="60" t="str">
        <f t="shared" si="306"/>
        <v>A.160.02.111</v>
      </c>
      <c r="D1122" s="51" t="s">
        <v>1677</v>
      </c>
      <c r="E1122" s="62" t="s">
        <v>45</v>
      </c>
      <c r="F1122" s="63" t="str">
        <f t="shared" si="307"/>
        <v>Cedar  American FSC/PEFC 490 (kg/m3)</v>
      </c>
      <c r="G1122" s="64">
        <v>0.06307583971052705</v>
      </c>
      <c r="H1122" s="10">
        <f t="shared" si="304"/>
        <v>0.06307583971</v>
      </c>
      <c r="I1122" s="65">
        <v>0.0028398756863</v>
      </c>
      <c r="J1122" s="65">
        <v>0.006879478953000001</v>
      </c>
      <c r="K1122" s="65">
        <v>0.015104706071227042</v>
      </c>
      <c r="L1122" s="65">
        <v>0.038251779</v>
      </c>
      <c r="N1122" s="66">
        <v>0.25501186000000003</v>
      </c>
      <c r="O1122" s="10">
        <f t="shared" si="305"/>
        <v>0.25501186</v>
      </c>
      <c r="Q1122" s="67">
        <v>25.140348</v>
      </c>
      <c r="S1122" s="68">
        <v>0.0057089901</v>
      </c>
      <c r="T1122" s="68">
        <v>0.005304076</v>
      </c>
      <c r="U1122" s="68">
        <v>2.2241751E-4</v>
      </c>
      <c r="V1122" s="68">
        <v>1.8249658E-4</v>
      </c>
      <c r="X1122" s="69">
        <v>1.3609303E-5</v>
      </c>
      <c r="Y1122" s="88"/>
      <c r="Z1122" s="73" t="s">
        <v>1694</v>
      </c>
    </row>
    <row r="1123" ht="12.75" customHeight="1">
      <c r="A1123" s="1" t="s">
        <v>1695</v>
      </c>
      <c r="B1123" s="2" t="s">
        <v>1645</v>
      </c>
      <c r="C1123" s="60" t="str">
        <f t="shared" si="306"/>
        <v>A.160.02.112</v>
      </c>
      <c r="D1123" s="51" t="s">
        <v>1677</v>
      </c>
      <c r="E1123" s="62" t="s">
        <v>45</v>
      </c>
      <c r="F1123" s="63" t="str">
        <f t="shared" si="307"/>
        <v>Cedar  American natural forest clear cut 490 (kg/m3)</v>
      </c>
      <c r="G1123" s="64">
        <v>9.320933385537527</v>
      </c>
      <c r="H1123" s="10">
        <f t="shared" si="304"/>
        <v>9.320933386</v>
      </c>
      <c r="I1123" s="65">
        <v>0.0028398756863</v>
      </c>
      <c r="J1123" s="65">
        <v>8.74723702378</v>
      </c>
      <c r="K1123" s="65">
        <v>0.015104706071227042</v>
      </c>
      <c r="L1123" s="65">
        <v>0.55575178</v>
      </c>
      <c r="N1123" s="66">
        <v>3.705011866666667</v>
      </c>
      <c r="O1123" s="10">
        <f t="shared" si="305"/>
        <v>3.705011867</v>
      </c>
      <c r="Q1123" s="67">
        <v>25.140348</v>
      </c>
      <c r="S1123" s="68">
        <v>0.061723813</v>
      </c>
      <c r="T1123" s="68">
        <v>0.058706764</v>
      </c>
      <c r="U1123" s="68">
        <v>0.0028345529</v>
      </c>
      <c r="V1123" s="68">
        <v>1.8249658E-4</v>
      </c>
      <c r="X1123" s="69">
        <v>1.0980446E-4</v>
      </c>
      <c r="Y1123" s="88"/>
      <c r="Z1123" s="73" t="s">
        <v>1694</v>
      </c>
    </row>
    <row r="1124" ht="12.75" customHeight="1">
      <c r="A1124" s="1" t="s">
        <v>1696</v>
      </c>
      <c r="B1124" s="2" t="s">
        <v>1645</v>
      </c>
      <c r="C1124" s="60" t="str">
        <f t="shared" si="306"/>
        <v>A.160.02.113</v>
      </c>
      <c r="D1124" s="51" t="s">
        <v>1677</v>
      </c>
      <c r="E1124" s="62" t="s">
        <v>45</v>
      </c>
      <c r="F1124" s="63" t="str">
        <f t="shared" si="307"/>
        <v>Chestnut FSC/PEFC 540 (kg/m3)</v>
      </c>
      <c r="G1124" s="64">
        <v>0.04080042566516761</v>
      </c>
      <c r="H1124" s="10">
        <f t="shared" si="304"/>
        <v>0.04080042567</v>
      </c>
      <c r="I1124" s="65">
        <v>0.005384386441</v>
      </c>
      <c r="J1124" s="65">
        <v>0.007602192741</v>
      </c>
      <c r="K1124" s="65">
        <v>0.014301592483167607</v>
      </c>
      <c r="L1124" s="65">
        <v>0.013512254</v>
      </c>
      <c r="N1124" s="66">
        <v>0.09008169333333334</v>
      </c>
      <c r="O1124" s="10">
        <f t="shared" si="305"/>
        <v>0.09008169333</v>
      </c>
      <c r="Q1124" s="67">
        <v>25.558687</v>
      </c>
      <c r="S1124" s="68">
        <v>0.002565986</v>
      </c>
      <c r="T1124" s="68">
        <v>0.0022674968</v>
      </c>
      <c r="U1124" s="68">
        <v>9.242981E-5</v>
      </c>
      <c r="V1124" s="68">
        <v>2.0605947E-4</v>
      </c>
      <c r="X1124" s="69">
        <v>9.5387676E-6</v>
      </c>
      <c r="Y1124" s="88"/>
      <c r="Z1124" s="73" t="s">
        <v>1697</v>
      </c>
    </row>
    <row r="1125" ht="12.75" customHeight="1">
      <c r="A1125" s="1" t="s">
        <v>1698</v>
      </c>
      <c r="B1125" s="2" t="s">
        <v>1645</v>
      </c>
      <c r="C1125" s="60" t="str">
        <f t="shared" si="306"/>
        <v>A.160.02.114</v>
      </c>
      <c r="D1125" s="51" t="s">
        <v>1677</v>
      </c>
      <c r="E1125" s="62" t="s">
        <v>45</v>
      </c>
      <c r="F1125" s="63" t="str">
        <f t="shared" si="307"/>
        <v>Cordia FCS/PEFC 540 (kg/m3)</v>
      </c>
      <c r="G1125" s="64">
        <v>0.06729986329042703</v>
      </c>
      <c r="H1125" s="10">
        <f t="shared" si="304"/>
        <v>0.06729986329</v>
      </c>
      <c r="I1125" s="65">
        <v>0.0028867364581999996</v>
      </c>
      <c r="J1125" s="65">
        <v>0.007421831671000001</v>
      </c>
      <c r="K1125" s="65">
        <v>0.01643506416122704</v>
      </c>
      <c r="L1125" s="65">
        <v>0.040556231</v>
      </c>
      <c r="N1125" s="66">
        <v>0.2703748733333333</v>
      </c>
      <c r="O1125" s="10">
        <f t="shared" si="305"/>
        <v>0.2703748733</v>
      </c>
      <c r="Q1125" s="67">
        <v>25.342133</v>
      </c>
      <c r="S1125" s="68">
        <v>0.0061310781</v>
      </c>
      <c r="T1125" s="68">
        <v>0.0056974542</v>
      </c>
      <c r="U1125" s="68">
        <v>2.3704152E-4</v>
      </c>
      <c r="V1125" s="68">
        <v>1.9658235E-4</v>
      </c>
      <c r="X1125" s="69">
        <v>1.4433522E-5</v>
      </c>
      <c r="Y1125" s="88"/>
      <c r="Z1125" s="73" t="s">
        <v>1699</v>
      </c>
    </row>
    <row r="1126" ht="12.75" customHeight="1">
      <c r="A1126" s="1" t="s">
        <v>1700</v>
      </c>
      <c r="B1126" s="2" t="s">
        <v>1645</v>
      </c>
      <c r="C1126" s="60" t="str">
        <f t="shared" si="306"/>
        <v>A.160.02.115</v>
      </c>
      <c r="D1126" s="51" t="s">
        <v>1677</v>
      </c>
      <c r="E1126" s="62" t="s">
        <v>45</v>
      </c>
      <c r="F1126" s="63" t="str">
        <f t="shared" si="307"/>
        <v>Cordia natural forest clear cut 540 (kg/m3)</v>
      </c>
      <c r="G1126" s="64">
        <v>6.252549879669427</v>
      </c>
      <c r="H1126" s="10">
        <f t="shared" si="304"/>
        <v>6.25254988</v>
      </c>
      <c r="I1126" s="65">
        <v>0.0028867364581999996</v>
      </c>
      <c r="J1126" s="65">
        <v>5.67517184905</v>
      </c>
      <c r="K1126" s="65">
        <v>0.01643506416122704</v>
      </c>
      <c r="L1126" s="65">
        <v>0.55805623</v>
      </c>
      <c r="N1126" s="66">
        <v>3.720374866666667</v>
      </c>
      <c r="O1126" s="10">
        <f t="shared" si="305"/>
        <v>3.720374867</v>
      </c>
      <c r="Q1126" s="67">
        <v>25.342133</v>
      </c>
      <c r="S1126" s="68">
        <v>0.062145901</v>
      </c>
      <c r="T1126" s="68">
        <v>0.059100142</v>
      </c>
      <c r="U1126" s="68">
        <v>0.0028491769</v>
      </c>
      <c r="V1126" s="68">
        <v>1.9658235E-4</v>
      </c>
      <c r="X1126" s="69">
        <v>1.1062868E-4</v>
      </c>
      <c r="Y1126" s="88"/>
      <c r="Z1126" s="73" t="s">
        <v>1699</v>
      </c>
    </row>
    <row r="1127" ht="12.75" customHeight="1">
      <c r="A1127" s="1" t="s">
        <v>1701</v>
      </c>
      <c r="B1127" s="2" t="s">
        <v>1645</v>
      </c>
      <c r="C1127" s="60" t="str">
        <f t="shared" si="306"/>
        <v>A.160.02.116</v>
      </c>
      <c r="D1127" s="51" t="s">
        <v>1677</v>
      </c>
      <c r="E1127" s="62" t="s">
        <v>45</v>
      </c>
      <c r="F1127" s="63" t="str">
        <f t="shared" si="307"/>
        <v>Idigbo FSC/PEFC 550 (kg/m3)</v>
      </c>
      <c r="G1127" s="64">
        <v>0.056438088932327046</v>
      </c>
      <c r="H1127" s="10">
        <f t="shared" si="304"/>
        <v>0.05643808893</v>
      </c>
      <c r="I1127" s="65">
        <v>0.0027662371591</v>
      </c>
      <c r="J1127" s="65">
        <v>0.0060272102720000005</v>
      </c>
      <c r="K1127" s="65">
        <v>0.013014144501227043</v>
      </c>
      <c r="L1127" s="65">
        <v>0.034630497</v>
      </c>
      <c r="N1127" s="66">
        <v>0.23086998000000003</v>
      </c>
      <c r="O1127" s="10">
        <f t="shared" si="305"/>
        <v>0.23086998</v>
      </c>
      <c r="Q1127" s="67">
        <v>24.823258</v>
      </c>
      <c r="S1127" s="68">
        <v>0.005045709</v>
      </c>
      <c r="T1127" s="68">
        <v>0.0046859103</v>
      </c>
      <c r="U1127" s="68">
        <v>1.9943693E-4</v>
      </c>
      <c r="V1127" s="68">
        <v>1.6036182E-4</v>
      </c>
      <c r="X1127" s="69">
        <v>1.2314103E-5</v>
      </c>
      <c r="Y1127" s="88"/>
      <c r="Z1127" s="73" t="s">
        <v>1702</v>
      </c>
    </row>
    <row r="1128" ht="12.75" customHeight="1">
      <c r="A1128" s="1" t="s">
        <v>1703</v>
      </c>
      <c r="B1128" s="2" t="s">
        <v>1645</v>
      </c>
      <c r="C1128" s="60" t="str">
        <f t="shared" si="306"/>
        <v>A.160.02.117</v>
      </c>
      <c r="D1128" s="51" t="s">
        <v>1677</v>
      </c>
      <c r="E1128" s="62" t="s">
        <v>45</v>
      </c>
      <c r="F1128" s="63" t="str">
        <f t="shared" si="307"/>
        <v>Idigbo natural forest clear cut 550 (kg/m3)</v>
      </c>
      <c r="G1128" s="64">
        <v>5.039438079890326</v>
      </c>
      <c r="H1128" s="10">
        <f t="shared" si="304"/>
        <v>5.03943808</v>
      </c>
      <c r="I1128" s="65">
        <v>0.0027662371591</v>
      </c>
      <c r="J1128" s="65">
        <v>4.4715271982299996</v>
      </c>
      <c r="K1128" s="65">
        <v>0.013014144501227043</v>
      </c>
      <c r="L1128" s="65">
        <v>0.5521305</v>
      </c>
      <c r="N1128" s="66">
        <v>3.68087</v>
      </c>
      <c r="O1128" s="10">
        <f t="shared" si="305"/>
        <v>3.68087</v>
      </c>
      <c r="Q1128" s="67">
        <v>24.823258</v>
      </c>
      <c r="S1128" s="68">
        <v>0.061060532</v>
      </c>
      <c r="T1128" s="68">
        <v>0.058088598</v>
      </c>
      <c r="U1128" s="68">
        <v>0.0028115723</v>
      </c>
      <c r="V1128" s="68">
        <v>1.6036182E-4</v>
      </c>
      <c r="X1128" s="69">
        <v>1.0850926E-4</v>
      </c>
      <c r="Y1128" s="88"/>
      <c r="Z1128" s="73" t="s">
        <v>1702</v>
      </c>
    </row>
    <row r="1129" ht="12.75" customHeight="1">
      <c r="A1129" s="1" t="s">
        <v>1704</v>
      </c>
      <c r="B1129" s="2" t="s">
        <v>1645</v>
      </c>
      <c r="C1129" s="60" t="str">
        <f t="shared" si="306"/>
        <v>A.160.02.118</v>
      </c>
      <c r="D1129" s="51" t="s">
        <v>1677</v>
      </c>
      <c r="E1129" s="62" t="s">
        <v>45</v>
      </c>
      <c r="F1129" s="63" t="str">
        <f t="shared" si="307"/>
        <v>Mahogany FSC/PEFC 1110 (kg/m3)</v>
      </c>
      <c r="G1129" s="64">
        <v>0.05266663975502704</v>
      </c>
      <c r="H1129" s="10">
        <f t="shared" si="304"/>
        <v>0.05266663976</v>
      </c>
      <c r="I1129" s="65">
        <v>0.0027243971088</v>
      </c>
      <c r="J1129" s="65">
        <v>0.005542966835</v>
      </c>
      <c r="K1129" s="65">
        <v>0.011826324811227043</v>
      </c>
      <c r="L1129" s="65">
        <v>0.032572951</v>
      </c>
      <c r="N1129" s="66">
        <v>0.2171530066666667</v>
      </c>
      <c r="O1129" s="10">
        <f t="shared" si="305"/>
        <v>0.2171530067</v>
      </c>
      <c r="Q1129" s="67">
        <v>24.643093</v>
      </c>
      <c r="S1129" s="68">
        <v>0.0046688447</v>
      </c>
      <c r="T1129" s="68">
        <v>0.0043346797</v>
      </c>
      <c r="U1129" s="68">
        <v>1.8637978E-4</v>
      </c>
      <c r="V1129" s="68">
        <v>1.4778524E-4</v>
      </c>
      <c r="X1129" s="69">
        <v>1.1578193E-5</v>
      </c>
      <c r="Y1129" s="88"/>
      <c r="Z1129" s="73" t="s">
        <v>1705</v>
      </c>
    </row>
    <row r="1130" ht="12.75" customHeight="1">
      <c r="A1130" s="1" t="s">
        <v>1706</v>
      </c>
      <c r="B1130" s="2" t="s">
        <v>1645</v>
      </c>
      <c r="C1130" s="60" t="str">
        <f t="shared" si="306"/>
        <v>A.160.02.119</v>
      </c>
      <c r="D1130" s="51" t="s">
        <v>1677</v>
      </c>
      <c r="E1130" s="62" t="s">
        <v>45</v>
      </c>
      <c r="F1130" s="63" t="str">
        <f t="shared" si="307"/>
        <v>Mahogany natural forest clear cut 1110 (kg/m3)</v>
      </c>
      <c r="G1130" s="64">
        <v>3.8780716512200266</v>
      </c>
      <c r="H1130" s="10">
        <f t="shared" si="304"/>
        <v>3.878071651</v>
      </c>
      <c r="I1130" s="65">
        <v>0.0027243971088</v>
      </c>
      <c r="J1130" s="65">
        <v>3.3134479793</v>
      </c>
      <c r="K1130" s="65">
        <v>0.011826324811227043</v>
      </c>
      <c r="L1130" s="65">
        <v>0.55007295</v>
      </c>
      <c r="N1130" s="66">
        <v>3.6671530000000003</v>
      </c>
      <c r="O1130" s="10">
        <f t="shared" si="305"/>
        <v>3.667153</v>
      </c>
      <c r="Q1130" s="67">
        <v>24.643093</v>
      </c>
      <c r="S1130" s="68">
        <v>0.060683668</v>
      </c>
      <c r="T1130" s="68">
        <v>0.057737368</v>
      </c>
      <c r="U1130" s="68">
        <v>0.0027985151</v>
      </c>
      <c r="V1130" s="68">
        <v>1.4778524E-4</v>
      </c>
      <c r="X1130" s="69">
        <v>1.0777335E-4</v>
      </c>
      <c r="Y1130" s="88"/>
      <c r="Z1130" s="73" t="s">
        <v>1705</v>
      </c>
    </row>
    <row r="1131" ht="12.75" customHeight="1">
      <c r="A1131" s="1" t="s">
        <v>1707</v>
      </c>
      <c r="B1131" s="2" t="s">
        <v>1645</v>
      </c>
      <c r="C1131" s="60" t="str">
        <f t="shared" si="306"/>
        <v>A.160.02.120</v>
      </c>
      <c r="D1131" s="51" t="s">
        <v>1677</v>
      </c>
      <c r="E1131" s="62" t="s">
        <v>45</v>
      </c>
      <c r="F1131" s="63" t="str">
        <f t="shared" si="307"/>
        <v>Meranti FSC/PEFC 640 (kg/m3)</v>
      </c>
      <c r="G1131" s="64">
        <v>0.07544619304482705</v>
      </c>
      <c r="H1131" s="10">
        <f t="shared" si="304"/>
        <v>0.07544619304</v>
      </c>
      <c r="I1131" s="65">
        <v>0.0029771109876</v>
      </c>
      <c r="J1131" s="65">
        <v>0.008467797646</v>
      </c>
      <c r="K1131" s="65">
        <v>0.019000753411227044</v>
      </c>
      <c r="L1131" s="65">
        <v>0.045000531</v>
      </c>
      <c r="N1131" s="66">
        <v>0.30000354</v>
      </c>
      <c r="O1131" s="10">
        <f t="shared" si="305"/>
        <v>0.30000354</v>
      </c>
      <c r="Q1131" s="67">
        <v>25.73129</v>
      </c>
      <c r="S1131" s="68">
        <v>0.0069451048</v>
      </c>
      <c r="T1131" s="68">
        <v>0.0064561121</v>
      </c>
      <c r="U1131" s="68">
        <v>2.6524497E-4</v>
      </c>
      <c r="V1131" s="68">
        <v>2.2374774E-4</v>
      </c>
      <c r="X1131" s="69">
        <v>1.6023086E-5</v>
      </c>
      <c r="Y1131" s="88"/>
      <c r="Z1131" s="73" t="s">
        <v>1708</v>
      </c>
    </row>
    <row r="1132" ht="12.75" customHeight="1">
      <c r="A1132" s="1" t="s">
        <v>1709</v>
      </c>
      <c r="B1132" s="2" t="s">
        <v>1645</v>
      </c>
      <c r="C1132" s="60" t="str">
        <f t="shared" si="306"/>
        <v>A.160.02.121</v>
      </c>
      <c r="D1132" s="51" t="s">
        <v>1677</v>
      </c>
      <c r="E1132" s="62" t="s">
        <v>45</v>
      </c>
      <c r="F1132" s="63" t="str">
        <f t="shared" si="307"/>
        <v>Meranti natural forest clear cut 640 (kg/m3)</v>
      </c>
      <c r="G1132" s="64">
        <v>8.218646156488827</v>
      </c>
      <c r="H1132" s="10">
        <f t="shared" si="304"/>
        <v>8.218646156</v>
      </c>
      <c r="I1132" s="65">
        <v>0.0029771109876</v>
      </c>
      <c r="J1132" s="65">
        <v>7.63416776209</v>
      </c>
      <c r="K1132" s="65">
        <v>0.019000753411227044</v>
      </c>
      <c r="L1132" s="65">
        <v>0.56250053</v>
      </c>
      <c r="N1132" s="66">
        <v>3.7500035333333335</v>
      </c>
      <c r="O1132" s="10">
        <f t="shared" si="305"/>
        <v>3.750003533</v>
      </c>
      <c r="Q1132" s="67">
        <v>25.73129</v>
      </c>
      <c r="S1132" s="68">
        <v>0.062959928</v>
      </c>
      <c r="T1132" s="68">
        <v>0.0598588</v>
      </c>
      <c r="U1132" s="68">
        <v>0.0028773803</v>
      </c>
      <c r="V1132" s="68">
        <v>2.2374774E-4</v>
      </c>
      <c r="X1132" s="69">
        <v>1.1221824E-4</v>
      </c>
      <c r="Y1132" s="88"/>
      <c r="Z1132" s="73" t="s">
        <v>1708</v>
      </c>
    </row>
    <row r="1133" ht="12.75" customHeight="1">
      <c r="A1133" s="1" t="s">
        <v>1710</v>
      </c>
      <c r="B1133" s="2" t="s">
        <v>1645</v>
      </c>
      <c r="C1133" s="60" t="str">
        <f t="shared" si="306"/>
        <v>A.160.02.122</v>
      </c>
      <c r="D1133" s="51" t="s">
        <v>1677</v>
      </c>
      <c r="E1133" s="62" t="s">
        <v>45</v>
      </c>
      <c r="F1133" s="63" t="str">
        <f t="shared" si="307"/>
        <v>Merbau FSC/PEFC 800 (kg/m3)</v>
      </c>
      <c r="G1133" s="64">
        <v>0.06835586904292705</v>
      </c>
      <c r="H1133" s="10">
        <f t="shared" si="304"/>
        <v>0.06835586904</v>
      </c>
      <c r="I1133" s="65">
        <v>0.0028984517287000003</v>
      </c>
      <c r="J1133" s="65">
        <v>0.0075574198730000005</v>
      </c>
      <c r="K1133" s="65">
        <v>0.016767653441227045</v>
      </c>
      <c r="L1133" s="65">
        <v>0.041132344</v>
      </c>
      <c r="N1133" s="66">
        <v>0.2742156266666667</v>
      </c>
      <c r="O1133" s="10">
        <f t="shared" si="305"/>
        <v>0.2742156267</v>
      </c>
      <c r="Q1133" s="67">
        <v>25.392579</v>
      </c>
      <c r="S1133" s="68">
        <v>0.0062366</v>
      </c>
      <c r="T1133" s="68">
        <v>0.0057957987</v>
      </c>
      <c r="U1133" s="68">
        <v>2.4069753E-4</v>
      </c>
      <c r="V1133" s="68">
        <v>2.0010379E-4</v>
      </c>
      <c r="X1133" s="69">
        <v>1.4639577E-5</v>
      </c>
      <c r="Y1133" s="88"/>
      <c r="Z1133" s="73" t="s">
        <v>1711</v>
      </c>
    </row>
    <row r="1134" ht="12.75" customHeight="1">
      <c r="A1134" s="1" t="s">
        <v>1712</v>
      </c>
      <c r="B1134" s="2" t="s">
        <v>1645</v>
      </c>
      <c r="C1134" s="60" t="str">
        <f t="shared" si="306"/>
        <v>A.160.02.123</v>
      </c>
      <c r="D1134" s="51" t="s">
        <v>1677</v>
      </c>
      <c r="E1134" s="62" t="s">
        <v>45</v>
      </c>
      <c r="F1134" s="63" t="str">
        <f t="shared" si="307"/>
        <v>Merbau natural forest clear cut 800 (kg/m3)</v>
      </c>
      <c r="G1134" s="64">
        <v>6.700155875559927</v>
      </c>
      <c r="H1134" s="10">
        <f t="shared" si="304"/>
        <v>6.700155876</v>
      </c>
      <c r="I1134" s="65">
        <v>0.0028984517287000003</v>
      </c>
      <c r="J1134" s="65">
        <v>6.12185743039</v>
      </c>
      <c r="K1134" s="65">
        <v>0.016767653441227045</v>
      </c>
      <c r="L1134" s="65">
        <v>0.55863234</v>
      </c>
      <c r="N1134" s="66">
        <v>3.7242156</v>
      </c>
      <c r="O1134" s="10">
        <f t="shared" si="305"/>
        <v>3.7242156</v>
      </c>
      <c r="Q1134" s="67">
        <v>25.392579</v>
      </c>
      <c r="S1134" s="68">
        <v>0.062251423</v>
      </c>
      <c r="T1134" s="68">
        <v>0.059198487</v>
      </c>
      <c r="U1134" s="68">
        <v>0.0028528329</v>
      </c>
      <c r="V1134" s="68">
        <v>2.0010379E-4</v>
      </c>
      <c r="X1134" s="69">
        <v>1.1083473E-4</v>
      </c>
      <c r="Y1134" s="88"/>
      <c r="Z1134" s="73" t="s">
        <v>1711</v>
      </c>
    </row>
    <row r="1135" ht="12.75" customHeight="1">
      <c r="A1135" s="1" t="s">
        <v>1713</v>
      </c>
      <c r="B1135" s="2" t="s">
        <v>1645</v>
      </c>
      <c r="C1135" s="60" t="str">
        <f t="shared" si="306"/>
        <v>A.160.02.124</v>
      </c>
      <c r="D1135" s="51" t="s">
        <v>1677</v>
      </c>
      <c r="E1135" s="62" t="s">
        <v>45</v>
      </c>
      <c r="F1135" s="63" t="str">
        <f t="shared" si="307"/>
        <v>Oak European FSC/PEFC 710 (kg/m3)</v>
      </c>
      <c r="G1135" s="64">
        <v>0.04886376042044056</v>
      </c>
      <c r="H1135" s="10">
        <f t="shared" si="304"/>
        <v>0.04886376042</v>
      </c>
      <c r="I1135" s="65">
        <v>0.0035184542505</v>
      </c>
      <c r="J1135" s="65">
        <v>0.005157583238</v>
      </c>
      <c r="K1135" s="65">
        <v>0.010022373931940566</v>
      </c>
      <c r="L1135" s="65">
        <v>0.030165349</v>
      </c>
      <c r="N1135" s="66">
        <v>0.2011023266666667</v>
      </c>
      <c r="O1135" s="10">
        <f t="shared" si="305"/>
        <v>0.2011023267</v>
      </c>
      <c r="Q1135" s="67">
        <v>24.549525</v>
      </c>
      <c r="S1135" s="68">
        <v>0.0040538159</v>
      </c>
      <c r="T1135" s="68">
        <v>0.0037453741</v>
      </c>
      <c r="U1135" s="68">
        <v>1.6906793E-4</v>
      </c>
      <c r="V1135" s="68">
        <v>1.3937384E-4</v>
      </c>
      <c r="X1135" s="69">
        <v>1.0849589E-5</v>
      </c>
      <c r="Y1135" s="88"/>
      <c r="Z1135" s="73" t="s">
        <v>1714</v>
      </c>
    </row>
    <row r="1136" ht="12.75" customHeight="1">
      <c r="A1136" s="1" t="s">
        <v>1715</v>
      </c>
      <c r="B1136" s="2" t="s">
        <v>1645</v>
      </c>
      <c r="C1136" s="60" t="str">
        <f t="shared" si="306"/>
        <v>A.160.02.125</v>
      </c>
      <c r="D1136" s="51" t="s">
        <v>1677</v>
      </c>
      <c r="E1136" s="62" t="s">
        <v>45</v>
      </c>
      <c r="F1136" s="63" t="str">
        <f t="shared" si="307"/>
        <v>Purpleheart FSC/PEFC 850 (kg/m3)</v>
      </c>
      <c r="G1136" s="64">
        <v>0.05145977630532704</v>
      </c>
      <c r="H1136" s="10">
        <f t="shared" si="304"/>
        <v>0.05145977631</v>
      </c>
      <c r="I1136" s="65">
        <v>0.0027110083311</v>
      </c>
      <c r="J1136" s="65">
        <v>0.005388008903</v>
      </c>
      <c r="K1136" s="65">
        <v>0.011446223071227044</v>
      </c>
      <c r="L1136" s="65">
        <v>0.031914536</v>
      </c>
      <c r="N1136" s="66">
        <v>0.21276357333333334</v>
      </c>
      <c r="O1136" s="10">
        <f t="shared" si="305"/>
        <v>0.2127635733</v>
      </c>
      <c r="Q1136" s="67">
        <v>24.58544</v>
      </c>
      <c r="S1136" s="68">
        <v>0.0045482482</v>
      </c>
      <c r="T1136" s="68">
        <v>0.004222286</v>
      </c>
      <c r="U1136" s="68">
        <v>1.8220149E-4</v>
      </c>
      <c r="V1136" s="68">
        <v>1.4376074E-4</v>
      </c>
      <c r="X1136" s="69">
        <v>1.1342702E-5</v>
      </c>
      <c r="Y1136" s="88"/>
      <c r="Z1136" s="73" t="s">
        <v>1716</v>
      </c>
    </row>
    <row r="1137" ht="12.75" customHeight="1">
      <c r="A1137" s="1" t="s">
        <v>1717</v>
      </c>
      <c r="B1137" s="2" t="s">
        <v>1645</v>
      </c>
      <c r="C1137" s="60" t="str">
        <f t="shared" si="306"/>
        <v>A.160.02.126</v>
      </c>
      <c r="D1137" s="51" t="s">
        <v>1677</v>
      </c>
      <c r="E1137" s="62" t="s">
        <v>45</v>
      </c>
      <c r="F1137" s="63" t="str">
        <f t="shared" si="307"/>
        <v>Purpleheart natural forest clear cut 850 (kg/m3)</v>
      </c>
      <c r="G1137" s="64">
        <v>4.897059800612326</v>
      </c>
      <c r="H1137" s="10">
        <f t="shared" si="304"/>
        <v>4.897059801</v>
      </c>
      <c r="I1137" s="65">
        <v>0.0027110083311</v>
      </c>
      <c r="J1137" s="65">
        <v>4.33348802921</v>
      </c>
      <c r="K1137" s="65">
        <v>0.011446223071227044</v>
      </c>
      <c r="L1137" s="65">
        <v>0.54941454</v>
      </c>
      <c r="N1137" s="66">
        <v>3.6627636000000003</v>
      </c>
      <c r="O1137" s="10">
        <f t="shared" si="305"/>
        <v>3.6627636</v>
      </c>
      <c r="Q1137" s="67">
        <v>24.58544</v>
      </c>
      <c r="S1137" s="68">
        <v>0.060563072</v>
      </c>
      <c r="T1137" s="68">
        <v>0.057624974</v>
      </c>
      <c r="U1137" s="68">
        <v>0.0027943369</v>
      </c>
      <c r="V1137" s="68">
        <v>1.4376074E-4</v>
      </c>
      <c r="X1137" s="69">
        <v>1.0753786E-4</v>
      </c>
      <c r="Y1137" s="88"/>
      <c r="Z1137" s="73" t="s">
        <v>1716</v>
      </c>
    </row>
    <row r="1138" ht="12.75" customHeight="1">
      <c r="A1138" s="1" t="s">
        <v>1718</v>
      </c>
      <c r="B1138" s="2" t="s">
        <v>1645</v>
      </c>
      <c r="C1138" s="60" t="str">
        <f t="shared" si="306"/>
        <v>A.160.02.127</v>
      </c>
      <c r="D1138" s="51" t="s">
        <v>1677</v>
      </c>
      <c r="E1138" s="62" t="s">
        <v>45</v>
      </c>
      <c r="F1138" s="63" t="str">
        <f t="shared" si="307"/>
        <v>Red Cedar Western 370 (kg/m3)</v>
      </c>
      <c r="G1138" s="64">
        <v>0.09859503528385544</v>
      </c>
      <c r="H1138" s="10">
        <f t="shared" si="304"/>
        <v>0.09859503528</v>
      </c>
      <c r="I1138" s="65">
        <v>0.0034429832798999996</v>
      </c>
      <c r="J1138" s="65">
        <v>0.011465767895</v>
      </c>
      <c r="K1138" s="65">
        <v>0.026139932108955426</v>
      </c>
      <c r="L1138" s="65">
        <v>0.057546352</v>
      </c>
      <c r="N1138" s="66">
        <v>0.3836423466666667</v>
      </c>
      <c r="O1138" s="10">
        <f t="shared" si="305"/>
        <v>0.3836423467</v>
      </c>
      <c r="Q1138" s="67">
        <v>26.859153</v>
      </c>
      <c r="S1138" s="68">
        <v>0.0091995102</v>
      </c>
      <c r="T1138" s="68">
        <v>0.0085531488</v>
      </c>
      <c r="U1138" s="68">
        <v>3.4435221E-4</v>
      </c>
      <c r="V1138" s="68">
        <v>3.0200919E-4</v>
      </c>
      <c r="X1138" s="69">
        <v>2.0543397E-5</v>
      </c>
      <c r="Y1138" s="88"/>
      <c r="Z1138" s="73" t="s">
        <v>1719</v>
      </c>
    </row>
    <row r="1139" ht="12.75" customHeight="1">
      <c r="A1139" s="1" t="s">
        <v>1720</v>
      </c>
      <c r="B1139" s="2" t="s">
        <v>1645</v>
      </c>
      <c r="C1139" s="60" t="str">
        <f t="shared" si="306"/>
        <v>A.160.02.128</v>
      </c>
      <c r="D1139" s="51" t="s">
        <v>1677</v>
      </c>
      <c r="E1139" s="62" t="s">
        <v>45</v>
      </c>
      <c r="F1139" s="63" t="str">
        <f t="shared" si="307"/>
        <v>Utile (Sipo) FSC/PEFC 640 (kg/m3)</v>
      </c>
      <c r="G1139" s="64">
        <v>0.056739804636727044</v>
      </c>
      <c r="H1139" s="10">
        <f t="shared" si="304"/>
        <v>0.05673980464</v>
      </c>
      <c r="I1139" s="65">
        <v>0.0027695843735</v>
      </c>
      <c r="J1139" s="65">
        <v>0.006065949822</v>
      </c>
      <c r="K1139" s="65">
        <v>0.013109169441227043</v>
      </c>
      <c r="L1139" s="65">
        <v>0.034795101</v>
      </c>
      <c r="N1139" s="66">
        <v>0.23196734000000002</v>
      </c>
      <c r="O1139" s="10">
        <f t="shared" si="305"/>
        <v>0.23196734</v>
      </c>
      <c r="Q1139" s="67">
        <v>24.837671</v>
      </c>
      <c r="S1139" s="68">
        <v>0.0050758581</v>
      </c>
      <c r="T1139" s="68">
        <v>0.0047140087</v>
      </c>
      <c r="U1139" s="68">
        <v>2.004815E-4</v>
      </c>
      <c r="V1139" s="68">
        <v>1.6136794E-4</v>
      </c>
      <c r="X1139" s="69">
        <v>1.2372975E-5</v>
      </c>
      <c r="Y1139" s="88"/>
      <c r="Z1139" s="73" t="s">
        <v>1721</v>
      </c>
    </row>
    <row r="1140" ht="12.75" customHeight="1">
      <c r="A1140" s="1" t="s">
        <v>1722</v>
      </c>
      <c r="B1140" s="2" t="s">
        <v>1645</v>
      </c>
      <c r="C1140" s="60" t="str">
        <f t="shared" si="306"/>
        <v>A.160.02.129</v>
      </c>
      <c r="D1140" s="51" t="s">
        <v>1677</v>
      </c>
      <c r="E1140" s="62" t="s">
        <v>45</v>
      </c>
      <c r="F1140" s="63" t="str">
        <f t="shared" si="307"/>
        <v>Utile (Sipo) natural forest clear cut 640 (kg/m3)</v>
      </c>
      <c r="G1140" s="64">
        <v>6.076876189634727</v>
      </c>
      <c r="H1140" s="10">
        <f t="shared" si="304"/>
        <v>6.07687619</v>
      </c>
      <c r="I1140" s="65">
        <v>0.0027695843735</v>
      </c>
      <c r="J1140" s="65">
        <v>5.50870233582</v>
      </c>
      <c r="K1140" s="65">
        <v>0.013109169441227043</v>
      </c>
      <c r="L1140" s="65">
        <v>0.5522951</v>
      </c>
      <c r="N1140" s="66">
        <v>3.6819673333333336</v>
      </c>
      <c r="O1140" s="10">
        <f t="shared" si="305"/>
        <v>3.681967333</v>
      </c>
      <c r="Q1140" s="67">
        <v>24.837671</v>
      </c>
      <c r="S1140" s="68">
        <v>0.061090682</v>
      </c>
      <c r="T1140" s="68">
        <v>0.058116697</v>
      </c>
      <c r="U1140" s="68">
        <v>0.0028126169</v>
      </c>
      <c r="V1140" s="68">
        <v>1.6136794E-4</v>
      </c>
      <c r="X1140" s="69">
        <v>1.0856813E-4</v>
      </c>
      <c r="Y1140" s="88"/>
      <c r="Z1140" s="73" t="s">
        <v>1721</v>
      </c>
    </row>
    <row r="1141" ht="12.75" customHeight="1">
      <c r="A1141" s="1" t="s">
        <v>1723</v>
      </c>
      <c r="B1141" s="2" t="s">
        <v>1645</v>
      </c>
      <c r="C1141" s="60" t="str">
        <f t="shared" si="306"/>
        <v>A.160.02.130</v>
      </c>
      <c r="D1141" s="51" t="s">
        <v>1677</v>
      </c>
      <c r="E1141" s="62" t="s">
        <v>45</v>
      </c>
      <c r="F1141" s="63" t="str">
        <f t="shared" si="307"/>
        <v>Wengé FSC/PEFC 830 (kg/m3)</v>
      </c>
      <c r="G1141" s="64">
        <v>0.05281749656222705</v>
      </c>
      <c r="H1141" s="10">
        <f t="shared" si="304"/>
        <v>0.05281749656</v>
      </c>
      <c r="I1141" s="65">
        <v>0.002726070716</v>
      </c>
      <c r="J1141" s="65">
        <v>0.005562336565000001</v>
      </c>
      <c r="K1141" s="65">
        <v>0.011873837281227043</v>
      </c>
      <c r="L1141" s="65">
        <v>0.032655252</v>
      </c>
      <c r="N1141" s="66">
        <v>0.21770168000000004</v>
      </c>
      <c r="O1141" s="10">
        <f t="shared" si="305"/>
        <v>0.21770168</v>
      </c>
      <c r="Q1141" s="67">
        <v>24.650299</v>
      </c>
      <c r="S1141" s="68">
        <v>0.0046839193</v>
      </c>
      <c r="T1141" s="68">
        <v>0.0043487289</v>
      </c>
      <c r="U1141" s="68">
        <v>1.8690206E-4</v>
      </c>
      <c r="V1141" s="68">
        <v>1.4828831E-4</v>
      </c>
      <c r="X1141" s="69">
        <v>1.1607629E-5</v>
      </c>
      <c r="Y1141" s="88"/>
      <c r="Z1141" s="73" t="s">
        <v>1724</v>
      </c>
    </row>
    <row r="1142" ht="12.75" customHeight="1">
      <c r="A1142" s="1" t="s">
        <v>1725</v>
      </c>
      <c r="B1142" s="2" t="s">
        <v>1645</v>
      </c>
      <c r="C1142" s="60" t="str">
        <f t="shared" si="306"/>
        <v>A.160.02.131</v>
      </c>
      <c r="D1142" s="51" t="s">
        <v>1677</v>
      </c>
      <c r="E1142" s="62" t="s">
        <v>45</v>
      </c>
      <c r="F1142" s="63" t="str">
        <f t="shared" si="307"/>
        <v>Wengé natural forest clear cut 830 (kg/m3)</v>
      </c>
      <c r="G1142" s="64">
        <v>6.478517506047227</v>
      </c>
      <c r="H1142" s="10">
        <f t="shared" si="304"/>
        <v>6.478517506</v>
      </c>
      <c r="I1142" s="65">
        <v>0.002726070716</v>
      </c>
      <c r="J1142" s="65">
        <v>5.91376234805</v>
      </c>
      <c r="K1142" s="65">
        <v>0.011873837281227043</v>
      </c>
      <c r="L1142" s="65">
        <v>0.55015525</v>
      </c>
      <c r="N1142" s="66">
        <v>3.667701666666667</v>
      </c>
      <c r="O1142" s="10">
        <f t="shared" si="305"/>
        <v>3.667701667</v>
      </c>
      <c r="Q1142" s="67">
        <v>24.650299</v>
      </c>
      <c r="S1142" s="68">
        <v>0.060698743</v>
      </c>
      <c r="T1142" s="68">
        <v>0.057751417</v>
      </c>
      <c r="U1142" s="68">
        <v>0.0027990374</v>
      </c>
      <c r="V1142" s="68">
        <v>1.4828831E-4</v>
      </c>
      <c r="X1142" s="69">
        <v>1.0780278E-4</v>
      </c>
      <c r="Y1142" s="88"/>
      <c r="Z1142" s="73" t="s">
        <v>1724</v>
      </c>
    </row>
    <row r="1143" ht="12.75" customHeight="1">
      <c r="B1143" s="2"/>
      <c r="C1143" s="60"/>
      <c r="D1143" s="75" t="s">
        <v>1726</v>
      </c>
      <c r="E1143" s="62"/>
      <c r="G1143" s="10"/>
      <c r="H1143" s="10" t="str">
        <f t="shared" si="304"/>
        <v/>
      </c>
      <c r="I1143" s="10"/>
      <c r="J1143" s="10"/>
      <c r="K1143" s="10"/>
      <c r="L1143" s="10"/>
      <c r="N1143" s="10"/>
      <c r="O1143" s="10" t="str">
        <f t="shared" si="305"/>
        <v/>
      </c>
      <c r="Q1143" s="67"/>
      <c r="Y1143" s="89"/>
      <c r="Z1143" s="72"/>
    </row>
    <row r="1144" ht="12.75" customHeight="1">
      <c r="A1144" s="1" t="s">
        <v>1727</v>
      </c>
      <c r="B1144" s="2" t="s">
        <v>1645</v>
      </c>
      <c r="C1144" s="60" t="str">
        <f t="shared" ref="C1144:C1178" si="308">MID(A1144,1,12)</f>
        <v>A.160.03.101</v>
      </c>
      <c r="D1144" s="51" t="s">
        <v>1726</v>
      </c>
      <c r="E1144" s="62" t="s">
        <v>45</v>
      </c>
      <c r="F1144" s="63" t="str">
        <f t="shared" ref="F1144:F1178" si="309">MID(A1144, 21,85)</f>
        <v>Carapa FSC/PEFC 610 (kg/m3)</v>
      </c>
      <c r="G1144" s="64">
        <v>0.05628723031412704</v>
      </c>
      <c r="H1144" s="10">
        <f t="shared" si="304"/>
        <v>0.05628723031</v>
      </c>
      <c r="I1144" s="65">
        <v>0.0027645636419000004</v>
      </c>
      <c r="J1144" s="65">
        <v>0.006007840641</v>
      </c>
      <c r="K1144" s="65">
        <v>0.012966631031227043</v>
      </c>
      <c r="L1144" s="65">
        <v>0.034548195</v>
      </c>
      <c r="N1144" s="66">
        <v>0.23032129999999998</v>
      </c>
      <c r="O1144" s="10">
        <f t="shared" si="305"/>
        <v>0.2303213</v>
      </c>
      <c r="Q1144" s="67">
        <v>24.816051</v>
      </c>
      <c r="S1144" s="68">
        <v>0.0050306344</v>
      </c>
      <c r="T1144" s="68">
        <v>0.004671861</v>
      </c>
      <c r="U1144" s="68">
        <v>1.9891464E-4</v>
      </c>
      <c r="V1144" s="68">
        <v>1.5985875E-4</v>
      </c>
      <c r="X1144" s="69">
        <v>1.2284666E-5</v>
      </c>
      <c r="Y1144" s="88"/>
      <c r="Z1144" s="73" t="s">
        <v>1728</v>
      </c>
    </row>
    <row r="1145" ht="12.75" customHeight="1">
      <c r="A1145" s="1" t="s">
        <v>1729</v>
      </c>
      <c r="B1145" s="2" t="s">
        <v>1645</v>
      </c>
      <c r="C1145" s="60" t="str">
        <f t="shared" si="308"/>
        <v>A.160.03.102</v>
      </c>
      <c r="D1145" s="51" t="s">
        <v>1726</v>
      </c>
      <c r="E1145" s="62" t="s">
        <v>45</v>
      </c>
      <c r="F1145" s="63" t="str">
        <f t="shared" si="309"/>
        <v>Carapa natural forest clear cut 610 (kg/m3)</v>
      </c>
      <c r="G1145" s="64">
        <v>6.602212224253126</v>
      </c>
      <c r="H1145" s="10">
        <f t="shared" si="304"/>
        <v>6.602212224</v>
      </c>
      <c r="I1145" s="65">
        <v>0.0027645636419000004</v>
      </c>
      <c r="J1145" s="65">
        <v>6.034432829579999</v>
      </c>
      <c r="K1145" s="65">
        <v>0.012966631031227043</v>
      </c>
      <c r="L1145" s="65">
        <v>0.5520482</v>
      </c>
      <c r="N1145" s="66">
        <v>3.6803213333333336</v>
      </c>
      <c r="O1145" s="10">
        <f t="shared" si="305"/>
        <v>3.680321333</v>
      </c>
      <c r="Q1145" s="67">
        <v>24.816051</v>
      </c>
      <c r="S1145" s="68">
        <v>0.061045458</v>
      </c>
      <c r="T1145" s="68">
        <v>0.058074549</v>
      </c>
      <c r="U1145" s="68">
        <v>0.00281105</v>
      </c>
      <c r="V1145" s="68">
        <v>1.5985875E-4</v>
      </c>
      <c r="X1145" s="69">
        <v>1.0847982E-4</v>
      </c>
      <c r="Y1145" s="88"/>
      <c r="Z1145" s="73" t="s">
        <v>1728</v>
      </c>
    </row>
    <row r="1146" ht="12.75" customHeight="1">
      <c r="A1146" s="1" t="s">
        <v>1730</v>
      </c>
      <c r="B1146" s="2" t="s">
        <v>1645</v>
      </c>
      <c r="C1146" s="60" t="str">
        <f t="shared" si="308"/>
        <v>A.160.03.103</v>
      </c>
      <c r="D1146" s="51" t="s">
        <v>1726</v>
      </c>
      <c r="E1146" s="62" t="s">
        <v>45</v>
      </c>
      <c r="F1146" s="63" t="str">
        <f t="shared" si="309"/>
        <v>Dibetou FSC/PEFC550 (kg/m3)</v>
      </c>
      <c r="G1146" s="64">
        <v>0.059455248251527044</v>
      </c>
      <c r="H1146" s="10">
        <f t="shared" si="304"/>
        <v>0.05945524825</v>
      </c>
      <c r="I1146" s="65">
        <v>0.0027997092533000004</v>
      </c>
      <c r="J1146" s="65">
        <v>0.006414605147</v>
      </c>
      <c r="K1146" s="65">
        <v>0.013964399851227043</v>
      </c>
      <c r="L1146" s="65">
        <v>0.036276534</v>
      </c>
      <c r="N1146" s="66">
        <v>0.24184356</v>
      </c>
      <c r="O1146" s="10">
        <f t="shared" si="305"/>
        <v>0.24184356</v>
      </c>
      <c r="Q1146" s="67">
        <v>24.96739</v>
      </c>
      <c r="S1146" s="68">
        <v>0.0053472004</v>
      </c>
      <c r="T1146" s="68">
        <v>0.0049668947</v>
      </c>
      <c r="U1146" s="68">
        <v>2.0988265E-4</v>
      </c>
      <c r="V1146" s="68">
        <v>1.7042307E-4</v>
      </c>
      <c r="X1146" s="69">
        <v>1.290283E-5</v>
      </c>
      <c r="Y1146" s="88"/>
      <c r="Z1146" s="73" t="s">
        <v>1731</v>
      </c>
    </row>
    <row r="1147" ht="12.75" customHeight="1">
      <c r="A1147" s="1" t="s">
        <v>1732</v>
      </c>
      <c r="B1147" s="2" t="s">
        <v>1645</v>
      </c>
      <c r="C1147" s="60" t="str">
        <f t="shared" si="308"/>
        <v>A.160.03.104</v>
      </c>
      <c r="D1147" s="51" t="s">
        <v>1726</v>
      </c>
      <c r="E1147" s="62" t="s">
        <v>45</v>
      </c>
      <c r="F1147" s="63" t="str">
        <f t="shared" si="309"/>
        <v>Dibetou natural forest clear cut 550 (kg/m3)</v>
      </c>
      <c r="G1147" s="64">
        <v>9.507955212604527</v>
      </c>
      <c r="H1147" s="10">
        <f t="shared" si="304"/>
        <v>9.507955213</v>
      </c>
      <c r="I1147" s="65">
        <v>0.0027997092533000004</v>
      </c>
      <c r="J1147" s="65">
        <v>8.9374145735</v>
      </c>
      <c r="K1147" s="65">
        <v>0.013964399851227043</v>
      </c>
      <c r="L1147" s="65">
        <v>0.55377653</v>
      </c>
      <c r="N1147" s="66">
        <v>3.691843533333334</v>
      </c>
      <c r="O1147" s="10">
        <f t="shared" si="305"/>
        <v>3.691843533</v>
      </c>
      <c r="Q1147" s="67">
        <v>24.96739</v>
      </c>
      <c r="S1147" s="68">
        <v>0.061362024</v>
      </c>
      <c r="T1147" s="68">
        <v>0.058369583</v>
      </c>
      <c r="U1147" s="68">
        <v>0.002822018</v>
      </c>
      <c r="V1147" s="68">
        <v>1.7042307E-4</v>
      </c>
      <c r="X1147" s="69">
        <v>1.0909798E-4</v>
      </c>
      <c r="Y1147" s="88"/>
      <c r="Z1147" s="73" t="s">
        <v>1731</v>
      </c>
    </row>
    <row r="1148" ht="12.75" customHeight="1">
      <c r="A1148" s="1" t="s">
        <v>1733</v>
      </c>
      <c r="B1148" s="2" t="s">
        <v>1645</v>
      </c>
      <c r="C1148" s="60" t="str">
        <f t="shared" si="308"/>
        <v>A.160.03.105</v>
      </c>
      <c r="D1148" s="51" t="s">
        <v>1726</v>
      </c>
      <c r="E1148" s="62" t="s">
        <v>45</v>
      </c>
      <c r="F1148" s="63" t="str">
        <f t="shared" si="309"/>
        <v>Kauri FSC/PEFC 485 (kg/m3)</v>
      </c>
      <c r="G1148" s="64">
        <v>0.08676054093562705</v>
      </c>
      <c r="H1148" s="10">
        <f t="shared" si="304"/>
        <v>0.08676054094</v>
      </c>
      <c r="I1148" s="65">
        <v>0.0031026312184</v>
      </c>
      <c r="J1148" s="65">
        <v>0.009920528236</v>
      </c>
      <c r="K1148" s="65">
        <v>0.02256421148122704</v>
      </c>
      <c r="L1148" s="65">
        <v>0.05117317</v>
      </c>
      <c r="N1148" s="66">
        <v>0.34115446666666666</v>
      </c>
      <c r="O1148" s="10">
        <f t="shared" si="305"/>
        <v>0.3411544667</v>
      </c>
      <c r="Q1148" s="67">
        <v>26.271785</v>
      </c>
      <c r="S1148" s="68">
        <v>0.0080756976</v>
      </c>
      <c r="T1148" s="68">
        <v>0.0075098037</v>
      </c>
      <c r="U1148" s="68">
        <v>3.0441643E-4</v>
      </c>
      <c r="V1148" s="68">
        <v>2.6147746E-4</v>
      </c>
      <c r="X1148" s="69">
        <v>1.8230815E-5</v>
      </c>
      <c r="Y1148" s="88"/>
      <c r="Z1148" s="73" t="s">
        <v>1734</v>
      </c>
    </row>
    <row r="1149" ht="12.75" customHeight="1">
      <c r="A1149" s="1" t="s">
        <v>1735</v>
      </c>
      <c r="B1149" s="2" t="s">
        <v>1645</v>
      </c>
      <c r="C1149" s="60" t="str">
        <f t="shared" si="308"/>
        <v>A.160.03.106</v>
      </c>
      <c r="D1149" s="51" t="s">
        <v>1726</v>
      </c>
      <c r="E1149" s="62" t="s">
        <v>45</v>
      </c>
      <c r="F1149" s="63" t="str">
        <f t="shared" si="309"/>
        <v>Kauri natural forest clear cut 485 (kg/m3)</v>
      </c>
      <c r="G1149" s="64">
        <v>10.703160231859627</v>
      </c>
      <c r="H1149" s="10">
        <f t="shared" si="304"/>
        <v>10.70316023</v>
      </c>
      <c r="I1149" s="65">
        <v>0.0031026312184</v>
      </c>
      <c r="J1149" s="65">
        <v>10.10882021916</v>
      </c>
      <c r="K1149" s="65">
        <v>0.02256421148122704</v>
      </c>
      <c r="L1149" s="65">
        <v>0.56867317</v>
      </c>
      <c r="N1149" s="66">
        <v>3.7911544666666663</v>
      </c>
      <c r="O1149" s="10">
        <f t="shared" si="305"/>
        <v>3.791154467</v>
      </c>
      <c r="Q1149" s="67">
        <v>26.271785</v>
      </c>
      <c r="S1149" s="68">
        <v>0.064090521</v>
      </c>
      <c r="T1149" s="68">
        <v>0.060912492</v>
      </c>
      <c r="U1149" s="68">
        <v>0.0029165518</v>
      </c>
      <c r="V1149" s="68">
        <v>2.6147746E-4</v>
      </c>
      <c r="X1149" s="69">
        <v>1.1442597E-4</v>
      </c>
      <c r="Y1149" s="88"/>
      <c r="Z1149" s="73" t="s">
        <v>1734</v>
      </c>
    </row>
    <row r="1150" ht="12.75" customHeight="1">
      <c r="A1150" s="1" t="s">
        <v>1736</v>
      </c>
      <c r="B1150" s="2" t="s">
        <v>1645</v>
      </c>
      <c r="C1150" s="60" t="str">
        <f t="shared" si="308"/>
        <v>A.160.03.107</v>
      </c>
      <c r="D1150" s="51" t="s">
        <v>1726</v>
      </c>
      <c r="E1150" s="62" t="s">
        <v>45</v>
      </c>
      <c r="F1150" s="63" t="str">
        <f t="shared" si="309"/>
        <v>Kotibe FSC/PEFCt 760 (kg/m3)</v>
      </c>
      <c r="G1150" s="64">
        <v>0.05357178760932704</v>
      </c>
      <c r="H1150" s="10">
        <f t="shared" si="304"/>
        <v>0.05357178761</v>
      </c>
      <c r="I1150" s="65">
        <v>0.0027344387721</v>
      </c>
      <c r="J1150" s="65">
        <v>0.005659185216000001</v>
      </c>
      <c r="K1150" s="65">
        <v>0.012111401621227043</v>
      </c>
      <c r="L1150" s="65">
        <v>0.033066762</v>
      </c>
      <c r="N1150" s="66">
        <v>0.22044508000000002</v>
      </c>
      <c r="O1150" s="10">
        <f t="shared" si="305"/>
        <v>0.22044508</v>
      </c>
      <c r="Q1150" s="67">
        <v>24.686332</v>
      </c>
      <c r="S1150" s="68">
        <v>0.0047592922</v>
      </c>
      <c r="T1150" s="68">
        <v>0.0044189751</v>
      </c>
      <c r="U1150" s="68">
        <v>1.8951349E-4</v>
      </c>
      <c r="V1150" s="68">
        <v>1.5080362E-4</v>
      </c>
      <c r="X1150" s="69">
        <v>1.1754811E-5</v>
      </c>
      <c r="Y1150" s="88"/>
      <c r="Z1150" s="73" t="s">
        <v>1737</v>
      </c>
    </row>
    <row r="1151" ht="12.75" customHeight="1">
      <c r="A1151" s="1" t="s">
        <v>1738</v>
      </c>
      <c r="B1151" s="2" t="s">
        <v>1645</v>
      </c>
      <c r="C1151" s="60" t="str">
        <f t="shared" si="308"/>
        <v>A.160.03.108</v>
      </c>
      <c r="D1151" s="51" t="s">
        <v>1726</v>
      </c>
      <c r="E1151" s="62" t="s">
        <v>45</v>
      </c>
      <c r="F1151" s="63" t="str">
        <f t="shared" si="309"/>
        <v>Kotibe natural forest clear cut 760 (kg/m3)</v>
      </c>
      <c r="G1151" s="64">
        <v>3.9960896921933267</v>
      </c>
      <c r="H1151" s="10">
        <f t="shared" si="304"/>
        <v>3.996089692</v>
      </c>
      <c r="I1151" s="65">
        <v>0.0027344387721</v>
      </c>
      <c r="J1151" s="65">
        <v>3.4306770918</v>
      </c>
      <c r="K1151" s="65">
        <v>0.012111401621227043</v>
      </c>
      <c r="L1151" s="65">
        <v>0.55056676</v>
      </c>
      <c r="N1151" s="66">
        <v>3.6704450666666673</v>
      </c>
      <c r="O1151" s="10">
        <f t="shared" si="305"/>
        <v>3.670445067</v>
      </c>
      <c r="Q1151" s="67">
        <v>24.686332</v>
      </c>
      <c r="S1151" s="68">
        <v>0.060774116</v>
      </c>
      <c r="T1151" s="68">
        <v>0.057821663</v>
      </c>
      <c r="U1151" s="68">
        <v>0.0028016489</v>
      </c>
      <c r="V1151" s="68">
        <v>1.5080362E-4</v>
      </c>
      <c r="X1151" s="69">
        <v>1.0794997E-4</v>
      </c>
      <c r="Y1151" s="88"/>
      <c r="Z1151" s="73" t="s">
        <v>1737</v>
      </c>
    </row>
    <row r="1152" ht="12.75" customHeight="1">
      <c r="A1152" s="1" t="s">
        <v>1739</v>
      </c>
      <c r="B1152" s="2" t="s">
        <v>1645</v>
      </c>
      <c r="C1152" s="60" t="str">
        <f t="shared" si="308"/>
        <v>A.160.03.109</v>
      </c>
      <c r="D1152" s="51" t="s">
        <v>1726</v>
      </c>
      <c r="E1152" s="62" t="s">
        <v>45</v>
      </c>
      <c r="F1152" s="63" t="str">
        <f t="shared" si="309"/>
        <v>Larch FSC/PEFC 600 (kg/m3)</v>
      </c>
      <c r="G1152" s="64">
        <v>0.05357178760932704</v>
      </c>
      <c r="H1152" s="10">
        <f t="shared" si="304"/>
        <v>0.05357178761</v>
      </c>
      <c r="I1152" s="65">
        <v>0.0027344387721</v>
      </c>
      <c r="J1152" s="65">
        <v>0.005659185216000001</v>
      </c>
      <c r="K1152" s="65">
        <v>0.012111401621227043</v>
      </c>
      <c r="L1152" s="65">
        <v>0.033066762</v>
      </c>
      <c r="N1152" s="66">
        <v>0.22044508000000002</v>
      </c>
      <c r="O1152" s="10">
        <f t="shared" si="305"/>
        <v>0.22044508</v>
      </c>
      <c r="Q1152" s="67">
        <v>24.686332</v>
      </c>
      <c r="S1152" s="68">
        <v>0.0047592922</v>
      </c>
      <c r="T1152" s="68">
        <v>0.0044189751</v>
      </c>
      <c r="U1152" s="68">
        <v>1.8951349E-4</v>
      </c>
      <c r="V1152" s="68">
        <v>1.5080362E-4</v>
      </c>
      <c r="X1152" s="69">
        <v>1.1754811E-5</v>
      </c>
      <c r="Y1152" s="88"/>
      <c r="Z1152" s="73" t="s">
        <v>1740</v>
      </c>
    </row>
    <row r="1153" ht="12.75" customHeight="1">
      <c r="A1153" s="1" t="s">
        <v>1741</v>
      </c>
      <c r="B1153" s="2" t="s">
        <v>1645</v>
      </c>
      <c r="C1153" s="60" t="str">
        <f t="shared" si="308"/>
        <v>A.160.03.110</v>
      </c>
      <c r="D1153" s="51" t="s">
        <v>1726</v>
      </c>
      <c r="E1153" s="62" t="s">
        <v>45</v>
      </c>
      <c r="F1153" s="63" t="str">
        <f t="shared" si="309"/>
        <v>Mahogany African FSC/PEFC 640 (kg/m3)</v>
      </c>
      <c r="G1153" s="64">
        <v>0.056739804636727044</v>
      </c>
      <c r="H1153" s="10">
        <f t="shared" si="304"/>
        <v>0.05673980464</v>
      </c>
      <c r="I1153" s="65">
        <v>0.0027695843735</v>
      </c>
      <c r="J1153" s="65">
        <v>0.006065949822</v>
      </c>
      <c r="K1153" s="65">
        <v>0.013109169441227043</v>
      </c>
      <c r="L1153" s="65">
        <v>0.034795101</v>
      </c>
      <c r="N1153" s="66">
        <v>0.23196734000000002</v>
      </c>
      <c r="O1153" s="10">
        <f t="shared" si="305"/>
        <v>0.23196734</v>
      </c>
      <c r="Q1153" s="67">
        <v>24.837671</v>
      </c>
      <c r="S1153" s="68">
        <v>0.0050758581</v>
      </c>
      <c r="T1153" s="68">
        <v>0.0047140087</v>
      </c>
      <c r="U1153" s="68">
        <v>2.004815E-4</v>
      </c>
      <c r="V1153" s="68">
        <v>1.6136794E-4</v>
      </c>
      <c r="X1153" s="69">
        <v>1.2372975E-5</v>
      </c>
      <c r="Y1153" s="88"/>
      <c r="Z1153" s="73" t="s">
        <v>1742</v>
      </c>
    </row>
    <row r="1154" ht="12.75" customHeight="1">
      <c r="A1154" s="1" t="s">
        <v>1743</v>
      </c>
      <c r="B1154" s="2" t="s">
        <v>1645</v>
      </c>
      <c r="C1154" s="60" t="str">
        <f t="shared" si="308"/>
        <v>A.160.03.111</v>
      </c>
      <c r="D1154" s="51" t="s">
        <v>1726</v>
      </c>
      <c r="E1154" s="62" t="s">
        <v>45</v>
      </c>
      <c r="F1154" s="63" t="str">
        <f t="shared" si="309"/>
        <v>Mahogany African natural forest clear cut 640 (kg/m3)</v>
      </c>
      <c r="G1154" s="64">
        <v>8.199939789634726</v>
      </c>
      <c r="H1154" s="10">
        <f t="shared" si="304"/>
        <v>8.19993979</v>
      </c>
      <c r="I1154" s="65">
        <v>0.0027695843735</v>
      </c>
      <c r="J1154" s="65">
        <v>7.63176593582</v>
      </c>
      <c r="K1154" s="65">
        <v>0.013109169441227043</v>
      </c>
      <c r="L1154" s="65">
        <v>0.5522951</v>
      </c>
      <c r="N1154" s="66">
        <v>3.6819673333333336</v>
      </c>
      <c r="O1154" s="10">
        <f t="shared" si="305"/>
        <v>3.681967333</v>
      </c>
      <c r="Q1154" s="67">
        <v>24.837671</v>
      </c>
      <c r="S1154" s="68">
        <v>0.061090682</v>
      </c>
      <c r="T1154" s="68">
        <v>0.058116697</v>
      </c>
      <c r="U1154" s="68">
        <v>0.0028126169</v>
      </c>
      <c r="V1154" s="68">
        <v>1.6136794E-4</v>
      </c>
      <c r="X1154" s="69">
        <v>1.0856813E-4</v>
      </c>
      <c r="Y1154" s="88"/>
      <c r="Z1154" s="73" t="s">
        <v>1742</v>
      </c>
    </row>
    <row r="1155" ht="12.75" customHeight="1">
      <c r="A1155" s="1" t="s">
        <v>1744</v>
      </c>
      <c r="B1155" s="2" t="s">
        <v>1645</v>
      </c>
      <c r="C1155" s="60" t="str">
        <f t="shared" si="308"/>
        <v>A.160.03.112</v>
      </c>
      <c r="D1155" s="51" t="s">
        <v>1726</v>
      </c>
      <c r="E1155" s="62" t="s">
        <v>45</v>
      </c>
      <c r="F1155" s="63" t="str">
        <f t="shared" si="309"/>
        <v>Movigui FSC/PEFC 710 (kg/m3)</v>
      </c>
      <c r="G1155" s="64">
        <v>0.05281749656222705</v>
      </c>
      <c r="H1155" s="10">
        <f t="shared" si="304"/>
        <v>0.05281749656</v>
      </c>
      <c r="I1155" s="65">
        <v>0.002726070716</v>
      </c>
      <c r="J1155" s="65">
        <v>0.005562336565000001</v>
      </c>
      <c r="K1155" s="65">
        <v>0.011873837281227043</v>
      </c>
      <c r="L1155" s="65">
        <v>0.032655252</v>
      </c>
      <c r="N1155" s="66">
        <v>0.21770168000000004</v>
      </c>
      <c r="O1155" s="10">
        <f t="shared" si="305"/>
        <v>0.21770168</v>
      </c>
      <c r="Q1155" s="67">
        <v>24.650299</v>
      </c>
      <c r="S1155" s="68">
        <v>0.0046839193</v>
      </c>
      <c r="T1155" s="68">
        <v>0.0043487289</v>
      </c>
      <c r="U1155" s="68">
        <v>1.8690206E-4</v>
      </c>
      <c r="V1155" s="68">
        <v>1.4828831E-4</v>
      </c>
      <c r="X1155" s="69">
        <v>1.1607629E-5</v>
      </c>
      <c r="Y1155" s="88"/>
      <c r="Z1155" s="73" t="s">
        <v>1745</v>
      </c>
    </row>
    <row r="1156" ht="12.75" customHeight="1">
      <c r="A1156" s="1" t="s">
        <v>1746</v>
      </c>
      <c r="B1156" s="2" t="s">
        <v>1645</v>
      </c>
      <c r="C1156" s="60" t="str">
        <f t="shared" si="308"/>
        <v>A.160.03.113</v>
      </c>
      <c r="D1156" s="51" t="s">
        <v>1726</v>
      </c>
      <c r="E1156" s="62" t="s">
        <v>45</v>
      </c>
      <c r="F1156" s="63" t="str">
        <f t="shared" si="309"/>
        <v>Movigui natural forest clear cut 710 (kg/m3)</v>
      </c>
      <c r="G1156" s="64">
        <v>3.5793775060472273</v>
      </c>
      <c r="H1156" s="10">
        <f t="shared" si="304"/>
        <v>3.579377506</v>
      </c>
      <c r="I1156" s="65">
        <v>0.002726070716</v>
      </c>
      <c r="J1156" s="65">
        <v>3.01462234805</v>
      </c>
      <c r="K1156" s="65">
        <v>0.011873837281227043</v>
      </c>
      <c r="L1156" s="65">
        <v>0.55015525</v>
      </c>
      <c r="N1156" s="66">
        <v>3.667701666666667</v>
      </c>
      <c r="O1156" s="10">
        <f t="shared" si="305"/>
        <v>3.667701667</v>
      </c>
      <c r="Q1156" s="67">
        <v>24.650299</v>
      </c>
      <c r="S1156" s="68">
        <v>0.060698743</v>
      </c>
      <c r="T1156" s="68">
        <v>0.057751417</v>
      </c>
      <c r="U1156" s="68">
        <v>0.0027990374</v>
      </c>
      <c r="V1156" s="68">
        <v>1.4828831E-4</v>
      </c>
      <c r="X1156" s="69">
        <v>1.0780278E-4</v>
      </c>
      <c r="Y1156" s="88"/>
      <c r="Z1156" s="73" t="s">
        <v>1745</v>
      </c>
    </row>
    <row r="1157" ht="12.75" customHeight="1">
      <c r="A1157" s="1" t="s">
        <v>1747</v>
      </c>
      <c r="B1157" s="2" t="s">
        <v>1645</v>
      </c>
      <c r="C1157" s="60" t="str">
        <f t="shared" si="308"/>
        <v>A.160.03.114</v>
      </c>
      <c r="D1157" s="51" t="s">
        <v>1726</v>
      </c>
      <c r="E1157" s="62" t="s">
        <v>45</v>
      </c>
      <c r="F1157" s="63" t="str">
        <f t="shared" si="309"/>
        <v>Mutenye FSC/PEFCt 820 (kg/m3)</v>
      </c>
      <c r="G1157" s="64">
        <v>0.05462779324172705</v>
      </c>
      <c r="H1157" s="10">
        <f t="shared" si="304"/>
        <v>0.05462779324</v>
      </c>
      <c r="I1157" s="65">
        <v>0.0027461539325000003</v>
      </c>
      <c r="J1157" s="65">
        <v>0.0057947734180000005</v>
      </c>
      <c r="K1157" s="65">
        <v>0.012443990891227044</v>
      </c>
      <c r="L1157" s="65">
        <v>0.033642875</v>
      </c>
      <c r="N1157" s="66">
        <v>0.22428583333333335</v>
      </c>
      <c r="O1157" s="10">
        <f t="shared" si="305"/>
        <v>0.2242858333</v>
      </c>
      <c r="Q1157" s="67">
        <v>24.736778</v>
      </c>
      <c r="S1157" s="68">
        <v>0.0048648142</v>
      </c>
      <c r="T1157" s="68">
        <v>0.0045173196</v>
      </c>
      <c r="U1157" s="68">
        <v>1.9316949E-4</v>
      </c>
      <c r="V1157" s="68">
        <v>1.5432506E-4</v>
      </c>
      <c r="X1157" s="69">
        <v>1.1960866E-5</v>
      </c>
      <c r="Y1157" s="88"/>
      <c r="Z1157" s="73" t="s">
        <v>1748</v>
      </c>
    </row>
    <row r="1158" ht="12.75" customHeight="1">
      <c r="A1158" s="1" t="s">
        <v>1749</v>
      </c>
      <c r="B1158" s="2" t="s">
        <v>1645</v>
      </c>
      <c r="C1158" s="60" t="str">
        <f t="shared" si="308"/>
        <v>A.160.03.115</v>
      </c>
      <c r="D1158" s="51" t="s">
        <v>1726</v>
      </c>
      <c r="E1158" s="62" t="s">
        <v>45</v>
      </c>
      <c r="F1158" s="63" t="str">
        <f t="shared" si="309"/>
        <v>Mutenye natural forest clear cut 820 (kg/m3)</v>
      </c>
      <c r="G1158" s="64">
        <v>3.560577787963727</v>
      </c>
      <c r="H1158" s="10">
        <f t="shared" si="304"/>
        <v>3.560577788</v>
      </c>
      <c r="I1158" s="65">
        <v>0.0027461539325000003</v>
      </c>
      <c r="J1158" s="65">
        <v>2.9942447731399997</v>
      </c>
      <c r="K1158" s="65">
        <v>0.012443990891227044</v>
      </c>
      <c r="L1158" s="65">
        <v>0.55114287</v>
      </c>
      <c r="N1158" s="66">
        <v>3.6742858</v>
      </c>
      <c r="O1158" s="10">
        <f t="shared" si="305"/>
        <v>3.6742858</v>
      </c>
      <c r="Q1158" s="67">
        <v>24.736778</v>
      </c>
      <c r="S1158" s="68">
        <v>0.060879638</v>
      </c>
      <c r="T1158" s="68">
        <v>0.057920008</v>
      </c>
      <c r="U1158" s="68">
        <v>0.0028053049</v>
      </c>
      <c r="V1158" s="68">
        <v>1.5432506E-4</v>
      </c>
      <c r="X1158" s="69">
        <v>1.0815602E-4</v>
      </c>
      <c r="Y1158" s="88"/>
      <c r="Z1158" s="73" t="s">
        <v>1748</v>
      </c>
    </row>
    <row r="1159" ht="12.75" customHeight="1">
      <c r="A1159" s="1" t="s">
        <v>1750</v>
      </c>
      <c r="B1159" s="2" t="s">
        <v>1645</v>
      </c>
      <c r="C1159" s="60" t="str">
        <f t="shared" si="308"/>
        <v>A.160.03.116</v>
      </c>
      <c r="D1159" s="51" t="s">
        <v>1726</v>
      </c>
      <c r="E1159" s="62" t="s">
        <v>45</v>
      </c>
      <c r="F1159" s="63" t="str">
        <f t="shared" si="309"/>
        <v>Niangon FSC/PEFC 710 (kg/m3)</v>
      </c>
      <c r="G1159" s="64">
        <v>0.05281749656222705</v>
      </c>
      <c r="H1159" s="10">
        <f t="shared" si="304"/>
        <v>0.05281749656</v>
      </c>
      <c r="I1159" s="65">
        <v>0.002726070716</v>
      </c>
      <c r="J1159" s="65">
        <v>0.005562336565000001</v>
      </c>
      <c r="K1159" s="65">
        <v>0.011873837281227043</v>
      </c>
      <c r="L1159" s="65">
        <v>0.032655252</v>
      </c>
      <c r="N1159" s="66">
        <v>0.21770168000000004</v>
      </c>
      <c r="O1159" s="10">
        <f t="shared" si="305"/>
        <v>0.21770168</v>
      </c>
      <c r="Q1159" s="67">
        <v>24.650299</v>
      </c>
      <c r="S1159" s="68">
        <v>0.0046839193</v>
      </c>
      <c r="T1159" s="68">
        <v>0.0043487289</v>
      </c>
      <c r="U1159" s="68">
        <v>1.8690206E-4</v>
      </c>
      <c r="V1159" s="68">
        <v>1.4828831E-4</v>
      </c>
      <c r="X1159" s="69">
        <v>1.1607629E-5</v>
      </c>
      <c r="Y1159" s="88"/>
      <c r="Z1159" s="73" t="s">
        <v>1751</v>
      </c>
    </row>
    <row r="1160" ht="12.75" customHeight="1">
      <c r="A1160" s="1" t="s">
        <v>1752</v>
      </c>
      <c r="B1160" s="2" t="s">
        <v>1645</v>
      </c>
      <c r="C1160" s="60" t="str">
        <f t="shared" si="308"/>
        <v>A.160.03.117</v>
      </c>
      <c r="D1160" s="51" t="s">
        <v>1726</v>
      </c>
      <c r="E1160" s="62" t="s">
        <v>45</v>
      </c>
      <c r="F1160" s="63" t="str">
        <f t="shared" si="309"/>
        <v>Niangon natural forest clear cut 710 (kg/m3)</v>
      </c>
      <c r="G1160" s="64">
        <v>4.005317506047227</v>
      </c>
      <c r="H1160" s="10">
        <f t="shared" si="304"/>
        <v>4.005317506</v>
      </c>
      <c r="I1160" s="65">
        <v>0.002726070716</v>
      </c>
      <c r="J1160" s="65">
        <v>3.4405623480500003</v>
      </c>
      <c r="K1160" s="65">
        <v>0.011873837281227043</v>
      </c>
      <c r="L1160" s="65">
        <v>0.55015525</v>
      </c>
      <c r="N1160" s="66">
        <v>3.667701666666667</v>
      </c>
      <c r="O1160" s="10">
        <f t="shared" si="305"/>
        <v>3.667701667</v>
      </c>
      <c r="Q1160" s="67">
        <v>24.650299</v>
      </c>
      <c r="S1160" s="68">
        <v>0.060698743</v>
      </c>
      <c r="T1160" s="68">
        <v>0.057751417</v>
      </c>
      <c r="U1160" s="68">
        <v>0.0027990374</v>
      </c>
      <c r="V1160" s="68">
        <v>1.4828831E-4</v>
      </c>
      <c r="X1160" s="69">
        <v>1.0780278E-4</v>
      </c>
      <c r="Y1160" s="88"/>
      <c r="Z1160" s="73" t="s">
        <v>1751</v>
      </c>
    </row>
    <row r="1161" ht="12.75" customHeight="1">
      <c r="A1161" s="1" t="s">
        <v>1753</v>
      </c>
      <c r="B1161" s="2" t="s">
        <v>1645</v>
      </c>
      <c r="C1161" s="60" t="str">
        <f t="shared" si="308"/>
        <v>A.160.03.118</v>
      </c>
      <c r="D1161" s="51" t="s">
        <v>1726</v>
      </c>
      <c r="E1161" s="62" t="s">
        <v>45</v>
      </c>
      <c r="F1161" s="63" t="str">
        <f t="shared" si="309"/>
        <v>Olon FSC/PEFC 485 (kg/m3)</v>
      </c>
      <c r="G1161" s="64">
        <v>0.06201983406912704</v>
      </c>
      <c r="H1161" s="10">
        <f t="shared" si="304"/>
        <v>0.06201983407</v>
      </c>
      <c r="I1161" s="65">
        <v>0.0028281605159</v>
      </c>
      <c r="J1161" s="65">
        <v>0.006743890752000001</v>
      </c>
      <c r="K1161" s="65">
        <v>0.014772116801227043</v>
      </c>
      <c r="L1161" s="65">
        <v>0.037675666</v>
      </c>
      <c r="N1161" s="66">
        <v>0.25117110666666664</v>
      </c>
      <c r="O1161" s="10">
        <f t="shared" si="305"/>
        <v>0.2511711067</v>
      </c>
      <c r="Q1161" s="67">
        <v>25.089902</v>
      </c>
      <c r="S1161" s="68">
        <v>0.0056034681</v>
      </c>
      <c r="T1161" s="68">
        <v>0.0052057314</v>
      </c>
      <c r="U1161" s="68">
        <v>2.1876151E-4</v>
      </c>
      <c r="V1161" s="68">
        <v>1.7897514E-4</v>
      </c>
      <c r="X1161" s="69">
        <v>1.3403249E-5</v>
      </c>
      <c r="Y1161" s="88"/>
      <c r="Z1161" s="73" t="s">
        <v>1754</v>
      </c>
    </row>
    <row r="1162" ht="12.75" customHeight="1">
      <c r="A1162" s="1" t="s">
        <v>1755</v>
      </c>
      <c r="B1162" s="2" t="s">
        <v>1645</v>
      </c>
      <c r="C1162" s="60" t="str">
        <f t="shared" si="308"/>
        <v>A.160.03.119</v>
      </c>
      <c r="D1162" s="51" t="s">
        <v>1726</v>
      </c>
      <c r="E1162" s="62" t="s">
        <v>45</v>
      </c>
      <c r="F1162" s="63" t="str">
        <f t="shared" si="309"/>
        <v>Olon natural forest clear cut 485 (kg/m3)</v>
      </c>
      <c r="G1162" s="64">
        <v>10.678419689757128</v>
      </c>
      <c r="H1162" s="10">
        <f t="shared" si="304"/>
        <v>10.67841969</v>
      </c>
      <c r="I1162" s="65">
        <v>0.0028281605159</v>
      </c>
      <c r="J1162" s="65">
        <v>10.10564374244</v>
      </c>
      <c r="K1162" s="65">
        <v>0.014772116801227043</v>
      </c>
      <c r="L1162" s="65">
        <v>0.55517567</v>
      </c>
      <c r="N1162" s="66">
        <v>3.7011711333333337</v>
      </c>
      <c r="O1162" s="10">
        <f t="shared" si="305"/>
        <v>3.701171133</v>
      </c>
      <c r="Q1162" s="67">
        <v>25.089902</v>
      </c>
      <c r="S1162" s="68">
        <v>0.061618291</v>
      </c>
      <c r="T1162" s="68">
        <v>0.058608419</v>
      </c>
      <c r="U1162" s="68">
        <v>0.0028308969</v>
      </c>
      <c r="V1162" s="68">
        <v>1.7897514E-4</v>
      </c>
      <c r="X1162" s="69">
        <v>1.095984E-4</v>
      </c>
      <c r="Y1162" s="88"/>
      <c r="Z1162" s="73" t="s">
        <v>1754</v>
      </c>
    </row>
    <row r="1163" ht="12.75" customHeight="1">
      <c r="A1163" s="1" t="s">
        <v>1756</v>
      </c>
      <c r="B1163" s="2" t="s">
        <v>1645</v>
      </c>
      <c r="C1163" s="60" t="str">
        <f t="shared" si="308"/>
        <v>A.160.03.120</v>
      </c>
      <c r="D1163" s="51" t="s">
        <v>1726</v>
      </c>
      <c r="E1163" s="62" t="s">
        <v>45</v>
      </c>
      <c r="F1163" s="63" t="str">
        <f t="shared" si="309"/>
        <v>Oregon Pine FSC/PEFC 505 (kg/m3)</v>
      </c>
      <c r="G1163" s="64">
        <v>0.055829653806027044</v>
      </c>
      <c r="H1163" s="10">
        <f t="shared" si="304"/>
        <v>0.05582965381</v>
      </c>
      <c r="I1163" s="65">
        <v>0.0030423815688000004</v>
      </c>
      <c r="J1163" s="65">
        <v>0.009223217586</v>
      </c>
      <c r="K1163" s="65">
        <v>0.02085375165122704</v>
      </c>
      <c r="L1163" s="65">
        <v>0.022710303</v>
      </c>
      <c r="N1163" s="66">
        <v>0.15140202000000003</v>
      </c>
      <c r="O1163" s="10">
        <f t="shared" si="305"/>
        <v>0.15140202</v>
      </c>
      <c r="Q1163" s="67">
        <v>26.012347</v>
      </c>
      <c r="S1163" s="68">
        <v>0.0047728624</v>
      </c>
      <c r="T1163" s="68">
        <v>0.004372595</v>
      </c>
      <c r="U1163" s="68">
        <v>1.5690021E-4</v>
      </c>
      <c r="V1163" s="68">
        <v>2.433672E-4</v>
      </c>
      <c r="X1163" s="69">
        <v>1.2431054E-5</v>
      </c>
      <c r="Y1163" s="88"/>
      <c r="Z1163" s="73" t="s">
        <v>1757</v>
      </c>
    </row>
    <row r="1164" ht="12.75" customHeight="1">
      <c r="A1164" s="1" t="s">
        <v>1758</v>
      </c>
      <c r="B1164" s="2" t="s">
        <v>1645</v>
      </c>
      <c r="C1164" s="60" t="str">
        <f t="shared" si="308"/>
        <v>A.160.03.121</v>
      </c>
      <c r="D1164" s="51" t="s">
        <v>1726</v>
      </c>
      <c r="E1164" s="62" t="s">
        <v>45</v>
      </c>
      <c r="F1164" s="63" t="str">
        <f t="shared" si="309"/>
        <v>Oregon Pine natural forest clear cut 505 (kg/m3)</v>
      </c>
      <c r="G1164" s="64">
        <v>3.688342180020027</v>
      </c>
      <c r="H1164" s="10">
        <f t="shared" si="304"/>
        <v>3.68834218</v>
      </c>
      <c r="I1164" s="65">
        <v>0.0030423815688000004</v>
      </c>
      <c r="J1164" s="65">
        <v>3.6417357438</v>
      </c>
      <c r="K1164" s="65">
        <v>0.02085375165122704</v>
      </c>
      <c r="L1164" s="65">
        <v>0.022710303</v>
      </c>
      <c r="N1164" s="66">
        <v>0.15140202000000003</v>
      </c>
      <c r="O1164" s="10">
        <f t="shared" si="305"/>
        <v>0.15140202</v>
      </c>
      <c r="Q1164" s="67">
        <v>26.012347</v>
      </c>
      <c r="S1164" s="68">
        <v>0.0047728624</v>
      </c>
      <c r="T1164" s="68">
        <v>0.004372595</v>
      </c>
      <c r="U1164" s="68">
        <v>1.5690021E-4</v>
      </c>
      <c r="V1164" s="68">
        <v>2.433672E-4</v>
      </c>
      <c r="X1164" s="69">
        <v>1.2431054E-5</v>
      </c>
      <c r="Y1164" s="88"/>
      <c r="Z1164" s="73" t="s">
        <v>1757</v>
      </c>
    </row>
    <row r="1165" ht="12.75" customHeight="1">
      <c r="A1165" s="1" t="s">
        <v>1759</v>
      </c>
      <c r="B1165" s="2" t="s">
        <v>1645</v>
      </c>
      <c r="C1165" s="60" t="str">
        <f t="shared" si="308"/>
        <v>A.160.03.122</v>
      </c>
      <c r="D1165" s="51" t="s">
        <v>1726</v>
      </c>
      <c r="E1165" s="62" t="s">
        <v>45</v>
      </c>
      <c r="F1165" s="63" t="str">
        <f t="shared" si="309"/>
        <v>Tchitola natural forest clear cut 630 (kg/m3)</v>
      </c>
      <c r="G1165" s="64">
        <v>6.156059545451926</v>
      </c>
      <c r="H1165" s="10">
        <f t="shared" si="304"/>
        <v>6.156059545</v>
      </c>
      <c r="I1165" s="65">
        <v>0.0027712579807</v>
      </c>
      <c r="J1165" s="65">
        <v>5.5877542045699995</v>
      </c>
      <c r="K1165" s="65">
        <v>0.013156682901227044</v>
      </c>
      <c r="L1165" s="65">
        <v>0.5523774</v>
      </c>
      <c r="N1165" s="66">
        <v>3.682516</v>
      </c>
      <c r="O1165" s="10">
        <f t="shared" si="305"/>
        <v>3.682516</v>
      </c>
      <c r="Q1165" s="67">
        <v>24.844877</v>
      </c>
      <c r="S1165" s="68">
        <v>0.061105756</v>
      </c>
      <c r="T1165" s="68">
        <v>0.058130746</v>
      </c>
      <c r="U1165" s="68">
        <v>0.0028131392</v>
      </c>
      <c r="V1165" s="68">
        <v>1.61871E-4</v>
      </c>
      <c r="X1165" s="69">
        <v>1.0859757E-4</v>
      </c>
      <c r="Y1165" s="88"/>
      <c r="Z1165" s="73" t="s">
        <v>1760</v>
      </c>
    </row>
    <row r="1166" ht="12.75" customHeight="1">
      <c r="A1166" s="1" t="s">
        <v>1761</v>
      </c>
      <c r="B1166" s="2" t="s">
        <v>1645</v>
      </c>
      <c r="C1166" s="60" t="str">
        <f t="shared" si="308"/>
        <v>A.160.03.123</v>
      </c>
      <c r="D1166" s="51" t="s">
        <v>1726</v>
      </c>
      <c r="E1166" s="62" t="s">
        <v>45</v>
      </c>
      <c r="F1166" s="63" t="str">
        <f t="shared" si="309"/>
        <v>Peroba FSC/PEFC 750 (kg/m3)</v>
      </c>
      <c r="G1166" s="64">
        <v>0.055231224461627045</v>
      </c>
      <c r="H1166" s="10">
        <f t="shared" si="304"/>
        <v>0.05523122446</v>
      </c>
      <c r="I1166" s="65">
        <v>0.0027528483714</v>
      </c>
      <c r="J1166" s="65">
        <v>0.0058722523290000005</v>
      </c>
      <c r="K1166" s="65">
        <v>0.012634041761227042</v>
      </c>
      <c r="L1166" s="65">
        <v>0.033972082</v>
      </c>
      <c r="N1166" s="66">
        <v>0.22648054666666667</v>
      </c>
      <c r="O1166" s="10">
        <f t="shared" si="305"/>
        <v>0.2264805467</v>
      </c>
      <c r="Q1166" s="67">
        <v>24.765605</v>
      </c>
      <c r="S1166" s="68">
        <v>0.0049251124</v>
      </c>
      <c r="T1166" s="68">
        <v>0.0045735165</v>
      </c>
      <c r="U1166" s="68">
        <v>1.9525864E-4</v>
      </c>
      <c r="V1166" s="68">
        <v>1.5633731E-4</v>
      </c>
      <c r="X1166" s="69">
        <v>1.2078612E-5</v>
      </c>
      <c r="Y1166" s="88"/>
      <c r="Z1166" s="73" t="s">
        <v>1760</v>
      </c>
    </row>
    <row r="1167" ht="12.75" customHeight="1">
      <c r="A1167" s="1" t="s">
        <v>1762</v>
      </c>
      <c r="B1167" s="2" t="s">
        <v>1645</v>
      </c>
      <c r="C1167" s="60" t="str">
        <f t="shared" si="308"/>
        <v>A.160.03.124</v>
      </c>
      <c r="D1167" s="51" t="s">
        <v>1726</v>
      </c>
      <c r="E1167" s="62" t="s">
        <v>45</v>
      </c>
      <c r="F1167" s="63" t="str">
        <f t="shared" si="309"/>
        <v>Peroba natural forest clear cut 750 (kg/m3)</v>
      </c>
      <c r="G1167" s="64">
        <v>5.467606218262627</v>
      </c>
      <c r="H1167" s="10">
        <f t="shared" si="304"/>
        <v>5.467606218</v>
      </c>
      <c r="I1167" s="65">
        <v>0.0027528483714</v>
      </c>
      <c r="J1167" s="65">
        <v>4.90074724813</v>
      </c>
      <c r="K1167" s="65">
        <v>0.012634041761227042</v>
      </c>
      <c r="L1167" s="65">
        <v>0.55147208</v>
      </c>
      <c r="N1167" s="66">
        <v>3.6764805333333337</v>
      </c>
      <c r="O1167" s="10">
        <f t="shared" si="305"/>
        <v>3.676480533</v>
      </c>
      <c r="Q1167" s="67">
        <v>24.765605</v>
      </c>
      <c r="S1167" s="68">
        <v>0.060939936</v>
      </c>
      <c r="T1167" s="68">
        <v>0.057976204</v>
      </c>
      <c r="U1167" s="68">
        <v>0.002807394</v>
      </c>
      <c r="V1167" s="68">
        <v>1.5633731E-4</v>
      </c>
      <c r="X1167" s="69">
        <v>1.0827377E-4</v>
      </c>
      <c r="Y1167" s="88"/>
      <c r="Z1167" s="73" t="s">
        <v>1760</v>
      </c>
    </row>
    <row r="1168" ht="12.75" customHeight="1">
      <c r="A1168" s="1" t="s">
        <v>1763</v>
      </c>
      <c r="B1168" s="2" t="s">
        <v>1645</v>
      </c>
      <c r="C1168" s="60" t="str">
        <f t="shared" si="308"/>
        <v>A.160.03.125</v>
      </c>
      <c r="D1168" s="51" t="s">
        <v>1726</v>
      </c>
      <c r="E1168" s="62" t="s">
        <v>45</v>
      </c>
      <c r="F1168" s="63" t="str">
        <f t="shared" si="309"/>
        <v>Pitch Pine FSC/PEFC 750 (kg/m3)</v>
      </c>
      <c r="G1168" s="64">
        <v>0.055231224461627045</v>
      </c>
      <c r="H1168" s="10">
        <f t="shared" si="304"/>
        <v>0.05523122446</v>
      </c>
      <c r="I1168" s="65">
        <v>0.0027528483714</v>
      </c>
      <c r="J1168" s="65">
        <v>0.0058722523290000005</v>
      </c>
      <c r="K1168" s="65">
        <v>0.012634041761227042</v>
      </c>
      <c r="L1168" s="65">
        <v>0.033972082</v>
      </c>
      <c r="N1168" s="66">
        <v>0.22648054666666667</v>
      </c>
      <c r="O1168" s="10">
        <f t="shared" si="305"/>
        <v>0.2264805467</v>
      </c>
      <c r="Q1168" s="67">
        <v>24.765605</v>
      </c>
      <c r="S1168" s="68">
        <v>0.0049251124</v>
      </c>
      <c r="T1168" s="68">
        <v>0.0045735165</v>
      </c>
      <c r="U1168" s="68">
        <v>1.9525864E-4</v>
      </c>
      <c r="V1168" s="68">
        <v>1.5633731E-4</v>
      </c>
      <c r="X1168" s="69">
        <v>1.2078612E-5</v>
      </c>
      <c r="Y1168" s="88"/>
      <c r="Z1168" s="73" t="s">
        <v>1764</v>
      </c>
    </row>
    <row r="1169" ht="12.75" customHeight="1">
      <c r="A1169" s="1" t="s">
        <v>1765</v>
      </c>
      <c r="B1169" s="2" t="s">
        <v>1645</v>
      </c>
      <c r="C1169" s="60" t="str">
        <f t="shared" si="308"/>
        <v>A.160.03.126</v>
      </c>
      <c r="D1169" s="51" t="s">
        <v>1726</v>
      </c>
      <c r="E1169" s="62" t="s">
        <v>45</v>
      </c>
      <c r="F1169" s="63" t="str">
        <f t="shared" si="309"/>
        <v>Pitch Pine natural forest clear cut 750 (kg/m3)</v>
      </c>
      <c r="G1169" s="64">
        <v>7.099231218262626</v>
      </c>
      <c r="H1169" s="10">
        <f t="shared" si="304"/>
        <v>7.099231218</v>
      </c>
      <c r="I1169" s="65">
        <v>0.0027528483714</v>
      </c>
      <c r="J1169" s="65">
        <v>6.53237224813</v>
      </c>
      <c r="K1169" s="65">
        <v>0.012634041761227042</v>
      </c>
      <c r="L1169" s="65">
        <v>0.55147208</v>
      </c>
      <c r="N1169" s="66">
        <v>3.6764805333333337</v>
      </c>
      <c r="O1169" s="10">
        <f t="shared" si="305"/>
        <v>3.676480533</v>
      </c>
      <c r="Q1169" s="67">
        <v>24.765605</v>
      </c>
      <c r="S1169" s="68">
        <v>0.060939936</v>
      </c>
      <c r="T1169" s="68">
        <v>0.057976204</v>
      </c>
      <c r="U1169" s="68">
        <v>0.002807394</v>
      </c>
      <c r="V1169" s="68">
        <v>1.5633731E-4</v>
      </c>
      <c r="X1169" s="69">
        <v>1.0827377E-4</v>
      </c>
      <c r="Y1169" s="88"/>
      <c r="Z1169" s="73" t="s">
        <v>1764</v>
      </c>
    </row>
    <row r="1170" ht="12.75" customHeight="1">
      <c r="A1170" s="1" t="s">
        <v>1766</v>
      </c>
      <c r="B1170" s="2" t="s">
        <v>1645</v>
      </c>
      <c r="C1170" s="60" t="str">
        <f t="shared" si="308"/>
        <v>A.160.03.127</v>
      </c>
      <c r="D1170" s="51" t="s">
        <v>1726</v>
      </c>
      <c r="E1170" s="62" t="s">
        <v>45</v>
      </c>
      <c r="F1170" s="63" t="str">
        <f t="shared" si="309"/>
        <v>Sapelli FSC/PEFC 650 (kg/m3)</v>
      </c>
      <c r="G1170" s="64">
        <v>0.056438088932327046</v>
      </c>
      <c r="H1170" s="10">
        <f t="shared" si="304"/>
        <v>0.05643808893</v>
      </c>
      <c r="I1170" s="65">
        <v>0.0027662371591</v>
      </c>
      <c r="J1170" s="65">
        <v>0.0060272102720000005</v>
      </c>
      <c r="K1170" s="65">
        <v>0.013014144501227043</v>
      </c>
      <c r="L1170" s="65">
        <v>0.034630497</v>
      </c>
      <c r="N1170" s="66">
        <v>0.23086998000000003</v>
      </c>
      <c r="O1170" s="10">
        <f t="shared" si="305"/>
        <v>0.23086998</v>
      </c>
      <c r="Q1170" s="67">
        <v>24.823258</v>
      </c>
      <c r="S1170" s="68">
        <v>0.005045709</v>
      </c>
      <c r="T1170" s="68">
        <v>0.0046859103</v>
      </c>
      <c r="U1170" s="68">
        <v>1.9943693E-4</v>
      </c>
      <c r="V1170" s="68">
        <v>1.6036182E-4</v>
      </c>
      <c r="X1170" s="69">
        <v>1.2314103E-5</v>
      </c>
      <c r="Y1170" s="88"/>
      <c r="Z1170" s="73" t="s">
        <v>1767</v>
      </c>
    </row>
    <row r="1171" ht="12.75" customHeight="1">
      <c r="A1171" s="1" t="s">
        <v>1768</v>
      </c>
      <c r="B1171" s="2" t="s">
        <v>1645</v>
      </c>
      <c r="C1171" s="60" t="str">
        <f t="shared" si="308"/>
        <v>A.160.03.128</v>
      </c>
      <c r="D1171" s="51" t="s">
        <v>1726</v>
      </c>
      <c r="E1171" s="62" t="s">
        <v>45</v>
      </c>
      <c r="F1171" s="63" t="str">
        <f t="shared" si="309"/>
        <v>Sapelli natural forest clear cut 650 (kg/m3)</v>
      </c>
      <c r="G1171" s="64">
        <v>8.130938079890326</v>
      </c>
      <c r="H1171" s="10">
        <f t="shared" si="304"/>
        <v>8.13093808</v>
      </c>
      <c r="I1171" s="65">
        <v>0.0027662371591</v>
      </c>
      <c r="J1171" s="65">
        <v>7.5630271982299995</v>
      </c>
      <c r="K1171" s="65">
        <v>0.013014144501227043</v>
      </c>
      <c r="L1171" s="65">
        <v>0.5521305</v>
      </c>
      <c r="N1171" s="66">
        <v>3.68087</v>
      </c>
      <c r="O1171" s="10">
        <f t="shared" si="305"/>
        <v>3.68087</v>
      </c>
      <c r="Q1171" s="67">
        <v>24.823258</v>
      </c>
      <c r="S1171" s="68">
        <v>0.061060532</v>
      </c>
      <c r="T1171" s="68">
        <v>0.058088598</v>
      </c>
      <c r="U1171" s="68">
        <v>0.0028115723</v>
      </c>
      <c r="V1171" s="68">
        <v>1.6036182E-4</v>
      </c>
      <c r="X1171" s="69">
        <v>1.0850926E-4</v>
      </c>
      <c r="Y1171" s="88"/>
      <c r="Z1171" s="73" t="s">
        <v>1767</v>
      </c>
    </row>
    <row r="1172" ht="12.75" customHeight="1">
      <c r="A1172" s="1" t="s">
        <v>1769</v>
      </c>
      <c r="B1172" s="2" t="s">
        <v>1645</v>
      </c>
      <c r="C1172" s="60" t="str">
        <f t="shared" si="308"/>
        <v>A.160.03.129</v>
      </c>
      <c r="D1172" s="51" t="s">
        <v>1726</v>
      </c>
      <c r="E1172" s="62" t="s">
        <v>45</v>
      </c>
      <c r="F1172" s="63" t="str">
        <f t="shared" si="309"/>
        <v>Scots pine FSC/PEFC 520 (kg/m3)</v>
      </c>
      <c r="G1172" s="64">
        <v>0.04187840192011527</v>
      </c>
      <c r="H1172" s="10">
        <f t="shared" si="304"/>
        <v>0.04187840192</v>
      </c>
      <c r="I1172" s="65">
        <v>0.0014130632298000002</v>
      </c>
      <c r="J1172" s="65">
        <v>0.0040111615777</v>
      </c>
      <c r="K1172" s="65">
        <v>0.009292447112615275</v>
      </c>
      <c r="L1172" s="65">
        <v>0.02716173</v>
      </c>
      <c r="N1172" s="66">
        <v>0.1810782</v>
      </c>
      <c r="O1172" s="10">
        <f t="shared" si="305"/>
        <v>0.1810782</v>
      </c>
      <c r="Q1172" s="67">
        <v>24.946189</v>
      </c>
      <c r="S1172" s="68">
        <v>0.0039257331</v>
      </c>
      <c r="T1172" s="68">
        <v>0.0036650702</v>
      </c>
      <c r="U1172" s="68">
        <v>1.5493765E-4</v>
      </c>
      <c r="V1172" s="68">
        <v>1.0572522E-4</v>
      </c>
      <c r="X1172" s="69">
        <v>9.4539739E-6</v>
      </c>
      <c r="Y1172" s="88"/>
      <c r="Z1172" s="73" t="s">
        <v>1770</v>
      </c>
    </row>
    <row r="1173" ht="12.75" customHeight="1">
      <c r="A1173" s="1" t="s">
        <v>1771</v>
      </c>
      <c r="B1173" s="2" t="s">
        <v>1645</v>
      </c>
      <c r="C1173" s="60" t="str">
        <f t="shared" si="308"/>
        <v>A.160.03.130</v>
      </c>
      <c r="D1173" s="51" t="s">
        <v>1726</v>
      </c>
      <c r="E1173" s="62" t="s">
        <v>45</v>
      </c>
      <c r="F1173" s="63" t="str">
        <f t="shared" si="309"/>
        <v>Tchitola FSC/PEFC 630 (kg/m3)</v>
      </c>
      <c r="G1173" s="64">
        <v>0.05689066343392704</v>
      </c>
      <c r="H1173" s="10">
        <f t="shared" si="304"/>
        <v>0.05689066343</v>
      </c>
      <c r="I1173" s="65">
        <v>0.0027712579807</v>
      </c>
      <c r="J1173" s="65">
        <v>0.006085319552</v>
      </c>
      <c r="K1173" s="65">
        <v>0.013156682901227044</v>
      </c>
      <c r="L1173" s="65">
        <v>0.034877403</v>
      </c>
      <c r="N1173" s="66">
        <v>0.23251602000000002</v>
      </c>
      <c r="O1173" s="10">
        <f t="shared" si="305"/>
        <v>0.23251602</v>
      </c>
      <c r="Q1173" s="67">
        <v>24.844877</v>
      </c>
      <c r="S1173" s="68">
        <v>0.0050909327</v>
      </c>
      <c r="T1173" s="68">
        <v>0.0047280579</v>
      </c>
      <c r="U1173" s="68">
        <v>2.0100379E-4</v>
      </c>
      <c r="V1173" s="68">
        <v>1.61871E-4</v>
      </c>
      <c r="X1173" s="69">
        <v>1.2402412E-5</v>
      </c>
      <c r="Y1173" s="88"/>
      <c r="Z1173" s="73" t="s">
        <v>1772</v>
      </c>
    </row>
    <row r="1174" ht="12.75" customHeight="1">
      <c r="A1174" s="1" t="s">
        <v>1773</v>
      </c>
      <c r="B1174" s="2" t="s">
        <v>1645</v>
      </c>
      <c r="C1174" s="60" t="str">
        <f t="shared" si="308"/>
        <v>A.160.03.131</v>
      </c>
      <c r="D1174" s="51" t="s">
        <v>1726</v>
      </c>
      <c r="E1174" s="62" t="s">
        <v>45</v>
      </c>
      <c r="F1174" s="63" t="str">
        <f t="shared" si="309"/>
        <v>Tiama FSC/PEFC 560 (kg/m3)</v>
      </c>
      <c r="G1174" s="64">
        <v>0.05839924250902705</v>
      </c>
      <c r="H1174" s="10">
        <f t="shared" si="304"/>
        <v>0.05839924251</v>
      </c>
      <c r="I1174" s="65">
        <v>0.0027879939827999997</v>
      </c>
      <c r="J1174" s="65">
        <v>0.006279016945000001</v>
      </c>
      <c r="K1174" s="65">
        <v>0.013631810581227042</v>
      </c>
      <c r="L1174" s="65">
        <v>0.035700421</v>
      </c>
      <c r="N1174" s="66">
        <v>0.2380028066666667</v>
      </c>
      <c r="O1174" s="10">
        <f t="shared" si="305"/>
        <v>0.2380028067</v>
      </c>
      <c r="Q1174" s="67">
        <v>24.916944</v>
      </c>
      <c r="S1174" s="68">
        <v>0.0052416784</v>
      </c>
      <c r="T1174" s="68">
        <v>0.0048685501</v>
      </c>
      <c r="U1174" s="68">
        <v>2.0622665E-4</v>
      </c>
      <c r="V1174" s="68">
        <v>1.6690163E-4</v>
      </c>
      <c r="X1174" s="69">
        <v>1.2696776E-5</v>
      </c>
      <c r="Y1174" s="88"/>
      <c r="Z1174" s="73" t="s">
        <v>1774</v>
      </c>
    </row>
    <row r="1175" ht="12.75" customHeight="1">
      <c r="A1175" s="1" t="s">
        <v>1775</v>
      </c>
      <c r="B1175" s="2" t="s">
        <v>1645</v>
      </c>
      <c r="C1175" s="60" t="str">
        <f t="shared" si="308"/>
        <v>A.160.03.132</v>
      </c>
      <c r="D1175" s="51" t="s">
        <v>1726</v>
      </c>
      <c r="E1175" s="62" t="s">
        <v>45</v>
      </c>
      <c r="F1175" s="63" t="str">
        <f t="shared" si="309"/>
        <v>Tiama natural forest clear cut 560 (kg/m3)</v>
      </c>
      <c r="G1175" s="64">
        <v>9.300799216724027</v>
      </c>
      <c r="H1175" s="10">
        <f t="shared" si="304"/>
        <v>9.300799217</v>
      </c>
      <c r="I1175" s="65">
        <v>0.0027879939827999997</v>
      </c>
      <c r="J1175" s="65">
        <v>8.73117899216</v>
      </c>
      <c r="K1175" s="65">
        <v>0.013631810581227042</v>
      </c>
      <c r="L1175" s="65">
        <v>0.55320042</v>
      </c>
      <c r="N1175" s="66">
        <v>3.6880028000000005</v>
      </c>
      <c r="O1175" s="10">
        <f t="shared" si="305"/>
        <v>3.6880028</v>
      </c>
      <c r="Q1175" s="67">
        <v>24.916944</v>
      </c>
      <c r="S1175" s="68">
        <v>0.061256502</v>
      </c>
      <c r="T1175" s="68">
        <v>0.058271238</v>
      </c>
      <c r="U1175" s="68">
        <v>0.002818362</v>
      </c>
      <c r="V1175" s="68">
        <v>1.6690163E-4</v>
      </c>
      <c r="X1175" s="69">
        <v>1.0889193E-4</v>
      </c>
      <c r="Y1175" s="88"/>
      <c r="Z1175" s="73" t="s">
        <v>1774</v>
      </c>
    </row>
    <row r="1176" ht="12.75" customHeight="1">
      <c r="A1176" s="1" t="s">
        <v>1776</v>
      </c>
      <c r="B1176" s="2" t="s">
        <v>1645</v>
      </c>
      <c r="C1176" s="60" t="str">
        <f t="shared" si="308"/>
        <v>A.160.03.133</v>
      </c>
      <c r="D1176" s="51" t="s">
        <v>1726</v>
      </c>
      <c r="E1176" s="62" t="s">
        <v>45</v>
      </c>
      <c r="F1176" s="63" t="str">
        <f t="shared" si="309"/>
        <v>Walnut FSC/PEFC 670 (kg/m3)</v>
      </c>
      <c r="G1176" s="64">
        <v>0.06630042566516761</v>
      </c>
      <c r="H1176" s="10">
        <f t="shared" si="304"/>
        <v>0.06630042567</v>
      </c>
      <c r="I1176" s="65">
        <v>0.005384386441</v>
      </c>
      <c r="J1176" s="65">
        <v>0.007602192741</v>
      </c>
      <c r="K1176" s="65">
        <v>0.014301592483167607</v>
      </c>
      <c r="L1176" s="65">
        <v>0.039012254</v>
      </c>
      <c r="N1176" s="66">
        <v>0.26008169333333336</v>
      </c>
      <c r="O1176" s="10">
        <f t="shared" si="305"/>
        <v>0.2600816933</v>
      </c>
      <c r="Q1176" s="67">
        <v>25.558687</v>
      </c>
      <c r="S1176" s="68">
        <v>0.0053261368</v>
      </c>
      <c r="T1176" s="68">
        <v>0.0048989336</v>
      </c>
      <c r="U1176" s="68">
        <v>2.2114373E-4</v>
      </c>
      <c r="V1176" s="68">
        <v>2.0605947E-4</v>
      </c>
      <c r="X1176" s="69">
        <v>1.4278819E-5</v>
      </c>
      <c r="Y1176" s="88"/>
      <c r="Z1176" s="73" t="s">
        <v>1777</v>
      </c>
    </row>
    <row r="1177" ht="12.75" customHeight="1">
      <c r="A1177" s="1" t="s">
        <v>1778</v>
      </c>
      <c r="B1177" s="2" t="s">
        <v>1645</v>
      </c>
      <c r="C1177" s="60" t="str">
        <f t="shared" si="308"/>
        <v>A.160.03.134</v>
      </c>
      <c r="D1177" s="51" t="s">
        <v>1726</v>
      </c>
      <c r="E1177" s="62" t="s">
        <v>45</v>
      </c>
      <c r="F1177" s="63" t="str">
        <f t="shared" si="309"/>
        <v>Yang FSC/PEFC 750 (kg/m3)</v>
      </c>
      <c r="G1177" s="64">
        <v>0.06850672585012704</v>
      </c>
      <c r="H1177" s="10">
        <f t="shared" si="304"/>
        <v>0.06850672585</v>
      </c>
      <c r="I1177" s="65">
        <v>0.0029001253359</v>
      </c>
      <c r="J1177" s="65">
        <v>0.007576789603</v>
      </c>
      <c r="K1177" s="65">
        <v>0.01681516591122704</v>
      </c>
      <c r="L1177" s="65">
        <v>0.041214645</v>
      </c>
      <c r="N1177" s="66">
        <v>0.2747643</v>
      </c>
      <c r="O1177" s="10">
        <f t="shared" si="305"/>
        <v>0.2747643</v>
      </c>
      <c r="Q1177" s="67">
        <v>25.399786</v>
      </c>
      <c r="S1177" s="68">
        <v>0.0062516746</v>
      </c>
      <c r="T1177" s="68">
        <v>0.005809848</v>
      </c>
      <c r="U1177" s="68">
        <v>2.4121981E-4</v>
      </c>
      <c r="V1177" s="68">
        <v>2.0060685E-4</v>
      </c>
      <c r="X1177" s="69">
        <v>1.4669013E-5</v>
      </c>
      <c r="Y1177" s="88"/>
      <c r="Z1177" s="73" t="s">
        <v>1779</v>
      </c>
    </row>
    <row r="1178" ht="12.75" customHeight="1">
      <c r="A1178" s="1" t="s">
        <v>1780</v>
      </c>
      <c r="B1178" s="2" t="s">
        <v>1645</v>
      </c>
      <c r="C1178" s="60" t="str">
        <f t="shared" si="308"/>
        <v>A.160.03.135</v>
      </c>
      <c r="D1178" s="51" t="s">
        <v>1726</v>
      </c>
      <c r="E1178" s="62" t="s">
        <v>45</v>
      </c>
      <c r="F1178" s="63" t="str">
        <f t="shared" si="309"/>
        <v>Yang natural forest clear cut 750 (kg/m3)</v>
      </c>
      <c r="G1178" s="64">
        <v>4.665069240387128</v>
      </c>
      <c r="H1178" s="10">
        <f t="shared" si="304"/>
        <v>4.66506924</v>
      </c>
      <c r="I1178" s="65">
        <v>0.0029001253359</v>
      </c>
      <c r="J1178" s="65">
        <v>4.086639299140001</v>
      </c>
      <c r="K1178" s="65">
        <v>0.01681516591122704</v>
      </c>
      <c r="L1178" s="65">
        <v>0.55871465</v>
      </c>
      <c r="N1178" s="66">
        <v>3.7247643333333333</v>
      </c>
      <c r="O1178" s="10">
        <f t="shared" si="305"/>
        <v>3.724764333</v>
      </c>
      <c r="Q1178" s="67">
        <v>25.399786</v>
      </c>
      <c r="S1178" s="68">
        <v>0.062266498</v>
      </c>
      <c r="T1178" s="68">
        <v>0.059212536</v>
      </c>
      <c r="U1178" s="68">
        <v>0.0028533552</v>
      </c>
      <c r="V1178" s="68">
        <v>2.0060685E-4</v>
      </c>
      <c r="X1178" s="69">
        <v>1.1086417E-4</v>
      </c>
      <c r="Y1178" s="88"/>
      <c r="Z1178" s="73" t="s">
        <v>1779</v>
      </c>
    </row>
    <row r="1179" ht="12.75" customHeight="1">
      <c r="B1179" s="2"/>
      <c r="C1179" s="60"/>
      <c r="D1179" s="75" t="s">
        <v>1781</v>
      </c>
      <c r="E1179" s="62"/>
      <c r="G1179" s="10"/>
      <c r="H1179" s="10" t="str">
        <f t="shared" si="304"/>
        <v/>
      </c>
      <c r="I1179" s="10"/>
      <c r="J1179" s="10"/>
      <c r="K1179" s="10"/>
      <c r="L1179" s="10"/>
      <c r="N1179" s="10"/>
      <c r="O1179" s="10" t="str">
        <f t="shared" si="305"/>
        <v/>
      </c>
      <c r="Q1179" s="67"/>
      <c r="Y1179" s="89"/>
      <c r="Z1179" s="72"/>
    </row>
    <row r="1180" ht="12.75" customHeight="1">
      <c r="A1180" s="1" t="s">
        <v>1782</v>
      </c>
      <c r="B1180" s="2" t="s">
        <v>1645</v>
      </c>
      <c r="C1180" s="60" t="str">
        <f t="shared" ref="C1180:C1206" si="310">MID(A1180,1,12)</f>
        <v>A.160.04.101</v>
      </c>
      <c r="D1180" s="51" t="s">
        <v>1781</v>
      </c>
      <c r="E1180" s="62" t="s">
        <v>45</v>
      </c>
      <c r="F1180" s="63" t="str">
        <f t="shared" ref="F1180:F1206" si="311">MID(A1180, 21,85)</f>
        <v>Aningre FSC/PEFC 580 (kg/m3)</v>
      </c>
      <c r="G1180" s="64">
        <v>0.05553294117702704</v>
      </c>
      <c r="H1180" s="10">
        <f t="shared" si="304"/>
        <v>0.05553294118</v>
      </c>
      <c r="I1180" s="65">
        <v>0.0027561955957999995</v>
      </c>
      <c r="J1180" s="65">
        <v>0.005910991890000001</v>
      </c>
      <c r="K1180" s="65">
        <v>0.012729067691227043</v>
      </c>
      <c r="L1180" s="65">
        <v>0.034136686</v>
      </c>
      <c r="N1180" s="66">
        <v>0.22757790666666666</v>
      </c>
      <c r="O1180" s="10">
        <f t="shared" si="305"/>
        <v>0.2275779067</v>
      </c>
      <c r="Q1180" s="67">
        <v>24.780018</v>
      </c>
      <c r="S1180" s="68">
        <v>0.0049552616</v>
      </c>
      <c r="T1180" s="68">
        <v>0.0046016149</v>
      </c>
      <c r="U1180" s="68">
        <v>1.9630321E-4</v>
      </c>
      <c r="V1180" s="68">
        <v>1.5734344E-4</v>
      </c>
      <c r="X1180" s="69">
        <v>1.2137484E-5</v>
      </c>
      <c r="Y1180" s="88"/>
      <c r="Z1180" s="73" t="s">
        <v>1783</v>
      </c>
    </row>
    <row r="1181" ht="12.75" customHeight="1">
      <c r="A1181" s="1" t="s">
        <v>1784</v>
      </c>
      <c r="B1181" s="2" t="s">
        <v>1645</v>
      </c>
      <c r="C1181" s="60" t="str">
        <f t="shared" si="310"/>
        <v>A.160.04.102</v>
      </c>
      <c r="D1181" s="51" t="s">
        <v>1781</v>
      </c>
      <c r="E1181" s="62" t="s">
        <v>45</v>
      </c>
      <c r="F1181" s="63" t="str">
        <f t="shared" si="311"/>
        <v>Aningre natural forest clear cut 580 (kg/m3)</v>
      </c>
      <c r="G1181" s="64">
        <v>4.798082939017027</v>
      </c>
      <c r="H1181" s="10">
        <f t="shared" si="304"/>
        <v>4.798082939</v>
      </c>
      <c r="I1181" s="65">
        <v>0.0027561955957999995</v>
      </c>
      <c r="J1181" s="65">
        <v>4.2309609857299995</v>
      </c>
      <c r="K1181" s="65">
        <v>0.012729067691227043</v>
      </c>
      <c r="L1181" s="65">
        <v>0.55163669</v>
      </c>
      <c r="N1181" s="66">
        <v>3.6775779333333336</v>
      </c>
      <c r="O1181" s="10">
        <f t="shared" si="305"/>
        <v>3.677577933</v>
      </c>
      <c r="Q1181" s="67">
        <v>24.780018</v>
      </c>
      <c r="S1181" s="68">
        <v>0.060970085</v>
      </c>
      <c r="T1181" s="68">
        <v>0.058004303</v>
      </c>
      <c r="U1181" s="68">
        <v>0.0028084386</v>
      </c>
      <c r="V1181" s="68">
        <v>1.5734344E-4</v>
      </c>
      <c r="X1181" s="69">
        <v>1.0833264E-4</v>
      </c>
      <c r="Y1181" s="88"/>
      <c r="Z1181" s="73" t="s">
        <v>1783</v>
      </c>
    </row>
    <row r="1182" ht="12.75" customHeight="1">
      <c r="A1182" s="1" t="s">
        <v>1785</v>
      </c>
      <c r="B1182" s="2" t="s">
        <v>1645</v>
      </c>
      <c r="C1182" s="60" t="str">
        <f t="shared" si="310"/>
        <v>A.160.04.103</v>
      </c>
      <c r="D1182" s="51" t="s">
        <v>1781</v>
      </c>
      <c r="E1182" s="62" t="s">
        <v>45</v>
      </c>
      <c r="F1182" s="63" t="str">
        <f t="shared" si="311"/>
        <v>Avodire FSC/PEFC 550 (kg/m3)</v>
      </c>
      <c r="G1182" s="64">
        <v>0.056438088932327046</v>
      </c>
      <c r="H1182" s="10">
        <f t="shared" si="304"/>
        <v>0.05643808893</v>
      </c>
      <c r="I1182" s="65">
        <v>0.0027662371591</v>
      </c>
      <c r="J1182" s="65">
        <v>0.0060272102720000005</v>
      </c>
      <c r="K1182" s="65">
        <v>0.013014144501227043</v>
      </c>
      <c r="L1182" s="65">
        <v>0.034630497</v>
      </c>
      <c r="N1182" s="66">
        <v>0.23086998000000003</v>
      </c>
      <c r="O1182" s="10">
        <f t="shared" si="305"/>
        <v>0.23086998</v>
      </c>
      <c r="Q1182" s="67">
        <v>24.823258</v>
      </c>
      <c r="S1182" s="68">
        <v>0.005045709</v>
      </c>
      <c r="T1182" s="68">
        <v>0.0046859103</v>
      </c>
      <c r="U1182" s="68">
        <v>1.9943693E-4</v>
      </c>
      <c r="V1182" s="68">
        <v>1.6036182E-4</v>
      </c>
      <c r="X1182" s="69">
        <v>1.2314103E-5</v>
      </c>
      <c r="Y1182" s="88"/>
      <c r="Z1182" s="73" t="s">
        <v>1786</v>
      </c>
    </row>
    <row r="1183" ht="12.75" customHeight="1">
      <c r="A1183" s="1" t="s">
        <v>1787</v>
      </c>
      <c r="B1183" s="2" t="s">
        <v>1645</v>
      </c>
      <c r="C1183" s="60" t="str">
        <f t="shared" si="310"/>
        <v>A.160.04.104</v>
      </c>
      <c r="D1183" s="51" t="s">
        <v>1781</v>
      </c>
      <c r="E1183" s="62" t="s">
        <v>45</v>
      </c>
      <c r="F1183" s="63" t="str">
        <f t="shared" si="311"/>
        <v>Avodire natural forest clear cut 550 (kg/m3)</v>
      </c>
      <c r="G1183" s="64">
        <v>5.039438079890326</v>
      </c>
      <c r="H1183" s="10">
        <f t="shared" si="304"/>
        <v>5.03943808</v>
      </c>
      <c r="I1183" s="65">
        <v>0.0027662371591</v>
      </c>
      <c r="J1183" s="65">
        <v>4.4715271982299996</v>
      </c>
      <c r="K1183" s="65">
        <v>0.013014144501227043</v>
      </c>
      <c r="L1183" s="65">
        <v>0.5521305</v>
      </c>
      <c r="N1183" s="66">
        <v>3.68087</v>
      </c>
      <c r="O1183" s="10">
        <f t="shared" si="305"/>
        <v>3.68087</v>
      </c>
      <c r="Q1183" s="67">
        <v>24.823258</v>
      </c>
      <c r="S1183" s="68">
        <v>0.061060532</v>
      </c>
      <c r="T1183" s="68">
        <v>0.058088598</v>
      </c>
      <c r="U1183" s="68">
        <v>0.0028115723</v>
      </c>
      <c r="V1183" s="68">
        <v>1.6036182E-4</v>
      </c>
      <c r="X1183" s="69">
        <v>1.0850926E-4</v>
      </c>
      <c r="Y1183" s="88"/>
      <c r="Z1183" s="73" t="s">
        <v>1786</v>
      </c>
    </row>
    <row r="1184" ht="12.75" customHeight="1">
      <c r="A1184" s="1" t="s">
        <v>1788</v>
      </c>
      <c r="B1184" s="2" t="s">
        <v>1645</v>
      </c>
      <c r="C1184" s="60" t="str">
        <f t="shared" si="310"/>
        <v>A.160.04.105</v>
      </c>
      <c r="D1184" s="51" t="s">
        <v>1781</v>
      </c>
      <c r="E1184" s="62" t="s">
        <v>45</v>
      </c>
      <c r="F1184" s="63" t="str">
        <f t="shared" si="311"/>
        <v>Balsa FSC/PEFC 150 (kg/m3)</v>
      </c>
      <c r="G1184" s="64">
        <v>0.1361990518802172</v>
      </c>
      <c r="H1184" s="10">
        <f t="shared" si="304"/>
        <v>0.1361990519</v>
      </c>
      <c r="I1184" s="65">
        <v>0.006598863355000001</v>
      </c>
      <c r="J1184" s="65">
        <v>0.016631000208</v>
      </c>
      <c r="K1184" s="65">
        <v>0.035997919317217214</v>
      </c>
      <c r="L1184" s="65">
        <v>0.076971269</v>
      </c>
      <c r="N1184" s="66">
        <v>0.5131417933333333</v>
      </c>
      <c r="O1184" s="10">
        <f t="shared" si="305"/>
        <v>0.5131417933</v>
      </c>
      <c r="Q1184" s="67">
        <v>28.944051</v>
      </c>
      <c r="S1184" s="68">
        <v>0.01218741</v>
      </c>
      <c r="T1184" s="68">
        <v>0.011285056</v>
      </c>
      <c r="U1184" s="68">
        <v>4.6096349E-4</v>
      </c>
      <c r="V1184" s="68">
        <v>4.4139069E-4</v>
      </c>
      <c r="X1184" s="69">
        <v>2.7924944E-5</v>
      </c>
      <c r="Y1184" s="88"/>
      <c r="Z1184" s="73" t="s">
        <v>1789</v>
      </c>
    </row>
    <row r="1185" ht="12.75" customHeight="1">
      <c r="A1185" s="1" t="s">
        <v>1790</v>
      </c>
      <c r="B1185" s="2" t="s">
        <v>1645</v>
      </c>
      <c r="C1185" s="60" t="str">
        <f t="shared" si="310"/>
        <v>A.160.04.106</v>
      </c>
      <c r="D1185" s="51" t="s">
        <v>1781</v>
      </c>
      <c r="E1185" s="62" t="s">
        <v>45</v>
      </c>
      <c r="F1185" s="63" t="str">
        <f t="shared" si="311"/>
        <v>Balsa natural forest clear cut 150 (kg/m3)</v>
      </c>
      <c r="G1185" s="64">
        <v>41.44432431137222</v>
      </c>
      <c r="H1185" s="10">
        <f t="shared" si="304"/>
        <v>41.44432431</v>
      </c>
      <c r="I1185" s="65">
        <v>0.006598863355000001</v>
      </c>
      <c r="J1185" s="65">
        <v>40.8072562587</v>
      </c>
      <c r="K1185" s="65">
        <v>0.035997919317217214</v>
      </c>
      <c r="L1185" s="65">
        <v>0.59447127</v>
      </c>
      <c r="N1185" s="66">
        <v>3.9631418000000003</v>
      </c>
      <c r="O1185" s="10">
        <f t="shared" si="305"/>
        <v>3.9631418</v>
      </c>
      <c r="Q1185" s="67">
        <v>28.944051</v>
      </c>
      <c r="S1185" s="68">
        <v>0.068202233</v>
      </c>
      <c r="T1185" s="68">
        <v>0.064687744</v>
      </c>
      <c r="U1185" s="68">
        <v>0.0030730989</v>
      </c>
      <c r="V1185" s="68">
        <v>4.4139069E-4</v>
      </c>
      <c r="X1185" s="69">
        <v>1.241201E-4</v>
      </c>
      <c r="Y1185" s="88"/>
      <c r="Z1185" s="73" t="s">
        <v>1789</v>
      </c>
    </row>
    <row r="1186" ht="12.75" customHeight="1">
      <c r="A1186" s="1" t="s">
        <v>1791</v>
      </c>
      <c r="B1186" s="2" t="s">
        <v>1645</v>
      </c>
      <c r="C1186" s="60" t="str">
        <f t="shared" si="310"/>
        <v>A.160.04.107</v>
      </c>
      <c r="D1186" s="51" t="s">
        <v>1781</v>
      </c>
      <c r="E1186" s="62" t="s">
        <v>45</v>
      </c>
      <c r="F1186" s="63" t="str">
        <f t="shared" si="311"/>
        <v>Birch FSC/PEFC 660 (kg/m3)</v>
      </c>
      <c r="G1186" s="64">
        <v>0.06630042566516761</v>
      </c>
      <c r="H1186" s="10">
        <f t="shared" si="304"/>
        <v>0.06630042567</v>
      </c>
      <c r="I1186" s="65">
        <v>0.005384386441</v>
      </c>
      <c r="J1186" s="65">
        <v>0.007602192741</v>
      </c>
      <c r="K1186" s="65">
        <v>0.014301592483167607</v>
      </c>
      <c r="L1186" s="65">
        <v>0.039012254</v>
      </c>
      <c r="N1186" s="66">
        <v>0.26008169333333336</v>
      </c>
      <c r="O1186" s="10">
        <f t="shared" si="305"/>
        <v>0.2600816933</v>
      </c>
      <c r="Q1186" s="67">
        <v>26.502687</v>
      </c>
      <c r="S1186" s="68">
        <v>0.0053261368</v>
      </c>
      <c r="T1186" s="68">
        <v>0.0048989336</v>
      </c>
      <c r="U1186" s="68">
        <v>2.2114373E-4</v>
      </c>
      <c r="V1186" s="68">
        <v>2.0605947E-4</v>
      </c>
      <c r="X1186" s="69">
        <v>1.4278819E-5</v>
      </c>
      <c r="Y1186" s="88"/>
      <c r="Z1186" s="73" t="s">
        <v>1792</v>
      </c>
    </row>
    <row r="1187" ht="12.75" customHeight="1">
      <c r="A1187" s="1" t="s">
        <v>1793</v>
      </c>
      <c r="B1187" s="2" t="s">
        <v>1645</v>
      </c>
      <c r="C1187" s="60" t="str">
        <f t="shared" si="310"/>
        <v>A.160.04.108</v>
      </c>
      <c r="D1187" s="51" t="s">
        <v>1781</v>
      </c>
      <c r="E1187" s="62" t="s">
        <v>45</v>
      </c>
      <c r="F1187" s="63" t="str">
        <f t="shared" si="311"/>
        <v>Elm FSC/PEFC 650 (kg/m3)</v>
      </c>
      <c r="G1187" s="64">
        <v>0.06630042566516761</v>
      </c>
      <c r="H1187" s="10">
        <f t="shared" si="304"/>
        <v>0.06630042567</v>
      </c>
      <c r="I1187" s="65">
        <v>0.005384386441</v>
      </c>
      <c r="J1187" s="65">
        <v>0.007602192741</v>
      </c>
      <c r="K1187" s="65">
        <v>0.014301592483167607</v>
      </c>
      <c r="L1187" s="65">
        <v>0.039012254</v>
      </c>
      <c r="N1187" s="66">
        <v>0.26008169333333336</v>
      </c>
      <c r="O1187" s="10">
        <f t="shared" si="305"/>
        <v>0.2600816933</v>
      </c>
      <c r="Q1187" s="67">
        <v>26.502687</v>
      </c>
      <c r="S1187" s="68">
        <v>0.0053261368</v>
      </c>
      <c r="T1187" s="68">
        <v>0.0048989336</v>
      </c>
      <c r="U1187" s="68">
        <v>2.2114373E-4</v>
      </c>
      <c r="V1187" s="68">
        <v>2.0605947E-4</v>
      </c>
      <c r="X1187" s="69">
        <v>1.4278819E-5</v>
      </c>
      <c r="Y1187" s="88"/>
      <c r="Z1187" s="73" t="s">
        <v>1794</v>
      </c>
    </row>
    <row r="1188" ht="12.75" customHeight="1">
      <c r="A1188" s="1" t="s">
        <v>1795</v>
      </c>
      <c r="B1188" s="2" t="s">
        <v>1645</v>
      </c>
      <c r="C1188" s="60" t="str">
        <f t="shared" si="310"/>
        <v>A.160.04.109</v>
      </c>
      <c r="D1188" s="51" t="s">
        <v>1781</v>
      </c>
      <c r="E1188" s="62" t="s">
        <v>45</v>
      </c>
      <c r="F1188" s="63" t="str">
        <f t="shared" si="311"/>
        <v>Emeri FSC/PEFC 515 (kg/m3)</v>
      </c>
      <c r="G1188" s="64">
        <v>0.05855010051622704</v>
      </c>
      <c r="H1188" s="10">
        <f t="shared" si="304"/>
        <v>0.05855010052</v>
      </c>
      <c r="I1188" s="65">
        <v>0.00278966769</v>
      </c>
      <c r="J1188" s="65">
        <v>0.0062983867749999995</v>
      </c>
      <c r="K1188" s="65">
        <v>0.013679323051227042</v>
      </c>
      <c r="L1188" s="65">
        <v>0.035782723</v>
      </c>
      <c r="N1188" s="66">
        <v>0.2385514866666667</v>
      </c>
      <c r="O1188" s="10">
        <f t="shared" si="305"/>
        <v>0.2385514867</v>
      </c>
      <c r="Q1188" s="67">
        <v>24.92415</v>
      </c>
      <c r="S1188" s="68">
        <v>0.005256753</v>
      </c>
      <c r="T1188" s="68">
        <v>0.0048825994</v>
      </c>
      <c r="U1188" s="68">
        <v>2.0674893E-4</v>
      </c>
      <c r="V1188" s="68">
        <v>1.674047E-4</v>
      </c>
      <c r="X1188" s="69">
        <v>1.2726212E-5</v>
      </c>
      <c r="Y1188" s="88"/>
      <c r="Z1188" s="73" t="s">
        <v>1796</v>
      </c>
    </row>
    <row r="1189" ht="12.75" customHeight="1">
      <c r="A1189" s="1" t="s">
        <v>1797</v>
      </c>
      <c r="B1189" s="2" t="s">
        <v>1645</v>
      </c>
      <c r="C1189" s="60" t="str">
        <f t="shared" si="310"/>
        <v>A.160.04.110</v>
      </c>
      <c r="D1189" s="51" t="s">
        <v>1781</v>
      </c>
      <c r="E1189" s="62" t="s">
        <v>45</v>
      </c>
      <c r="F1189" s="63" t="str">
        <f t="shared" si="311"/>
        <v>Emeri natural forest clear cut 515 (kg/m3)</v>
      </c>
      <c r="G1189" s="64">
        <v>7.686500071751228</v>
      </c>
      <c r="H1189" s="10">
        <f t="shared" si="304"/>
        <v>7.686500072</v>
      </c>
      <c r="I1189" s="65">
        <v>0.00278966769</v>
      </c>
      <c r="J1189" s="65">
        <v>7.11674836101</v>
      </c>
      <c r="K1189" s="65">
        <v>0.013679323051227042</v>
      </c>
      <c r="L1189" s="65">
        <v>0.55328272</v>
      </c>
      <c r="N1189" s="66">
        <v>3.688551466666667</v>
      </c>
      <c r="O1189" s="10">
        <f t="shared" si="305"/>
        <v>3.688551467</v>
      </c>
      <c r="Q1189" s="67">
        <v>24.92415</v>
      </c>
      <c r="S1189" s="68">
        <v>0.061271576</v>
      </c>
      <c r="T1189" s="68">
        <v>0.058285287</v>
      </c>
      <c r="U1189" s="68">
        <v>0.0028188843</v>
      </c>
      <c r="V1189" s="68">
        <v>1.674047E-4</v>
      </c>
      <c r="X1189" s="69">
        <v>1.0892137E-4</v>
      </c>
      <c r="Y1189" s="88"/>
      <c r="Z1189" s="73" t="s">
        <v>1796</v>
      </c>
    </row>
    <row r="1190" ht="12.75" customHeight="1">
      <c r="A1190" s="1" t="s">
        <v>1798</v>
      </c>
      <c r="B1190" s="2" t="s">
        <v>1645</v>
      </c>
      <c r="C1190" s="60" t="str">
        <f t="shared" si="310"/>
        <v>A.160.04.111</v>
      </c>
      <c r="D1190" s="51" t="s">
        <v>1781</v>
      </c>
      <c r="E1190" s="62" t="s">
        <v>45</v>
      </c>
      <c r="F1190" s="63" t="str">
        <f t="shared" si="311"/>
        <v>Hemlock FSC/PEFCt 490 (kg/m3)</v>
      </c>
      <c r="G1190" s="64">
        <v>0.08268737606392704</v>
      </c>
      <c r="H1190" s="10">
        <f t="shared" si="304"/>
        <v>0.08268737606</v>
      </c>
      <c r="I1190" s="65">
        <v>0.0030574439537</v>
      </c>
      <c r="J1190" s="65">
        <v>0.009397545249</v>
      </c>
      <c r="K1190" s="65">
        <v>0.021281366861227044</v>
      </c>
      <c r="L1190" s="65">
        <v>0.04895102</v>
      </c>
      <c r="N1190" s="66">
        <v>0.32634013333333334</v>
      </c>
      <c r="O1190" s="10">
        <f t="shared" si="305"/>
        <v>0.3263401333</v>
      </c>
      <c r="Q1190" s="67">
        <v>26.077207</v>
      </c>
      <c r="S1190" s="68">
        <v>0.0076686842</v>
      </c>
      <c r="T1190" s="68">
        <v>0.0071304747</v>
      </c>
      <c r="U1190" s="68">
        <v>2.903147E-4</v>
      </c>
      <c r="V1190" s="68">
        <v>2.4789476E-4</v>
      </c>
      <c r="X1190" s="69">
        <v>1.7436033E-5</v>
      </c>
      <c r="Y1190" s="88"/>
      <c r="Z1190" s="73" t="s">
        <v>1799</v>
      </c>
    </row>
    <row r="1191" ht="12.75" customHeight="1">
      <c r="A1191" s="1" t="s">
        <v>1800</v>
      </c>
      <c r="B1191" s="2" t="s">
        <v>1645</v>
      </c>
      <c r="C1191" s="60" t="str">
        <f t="shared" si="310"/>
        <v>A.160.04.112</v>
      </c>
      <c r="D1191" s="51" t="s">
        <v>1781</v>
      </c>
      <c r="E1191" s="62" t="s">
        <v>45</v>
      </c>
      <c r="F1191" s="63" t="str">
        <f t="shared" si="311"/>
        <v>Hickory FSC/PEFCt 800 (kg/m3)</v>
      </c>
      <c r="G1191" s="64">
        <v>0.05026950614342704</v>
      </c>
      <c r="H1191" s="10">
        <f t="shared" si="304"/>
        <v>0.05026950614</v>
      </c>
      <c r="I1191" s="65">
        <v>0.0026978036542</v>
      </c>
      <c r="J1191" s="65">
        <v>0.005235181698</v>
      </c>
      <c r="K1191" s="65">
        <v>0.011071346791227043</v>
      </c>
      <c r="L1191" s="65">
        <v>0.031265174</v>
      </c>
      <c r="N1191" s="66">
        <v>0.20843449333333333</v>
      </c>
      <c r="O1191" s="10">
        <f t="shared" si="305"/>
        <v>0.2084344933</v>
      </c>
      <c r="Q1191" s="67">
        <v>24.52858</v>
      </c>
      <c r="S1191" s="68">
        <v>0.0044293098</v>
      </c>
      <c r="T1191" s="68">
        <v>0.0041114376</v>
      </c>
      <c r="U1191" s="68">
        <v>1.7808065E-4</v>
      </c>
      <c r="V1191" s="68">
        <v>1.3979157E-4</v>
      </c>
      <c r="X1191" s="69">
        <v>1.1110449E-5</v>
      </c>
      <c r="Y1191" s="88"/>
      <c r="Z1191" s="73" t="s">
        <v>1801</v>
      </c>
    </row>
    <row r="1192" ht="12.75" customHeight="1">
      <c r="A1192" s="1" t="s">
        <v>1802</v>
      </c>
      <c r="B1192" s="2" t="s">
        <v>1645</v>
      </c>
      <c r="C1192" s="60" t="str">
        <f t="shared" si="310"/>
        <v>A.160.04.113</v>
      </c>
      <c r="D1192" s="51" t="s">
        <v>1781</v>
      </c>
      <c r="E1192" s="62" t="s">
        <v>45</v>
      </c>
      <c r="F1192" s="63" t="str">
        <f t="shared" si="311"/>
        <v>Limba FSC/PEFC 560 (kg/m3)</v>
      </c>
      <c r="G1192" s="64">
        <v>0.05613637240682704</v>
      </c>
      <c r="H1192" s="10">
        <f t="shared" si="304"/>
        <v>0.05613637241</v>
      </c>
      <c r="I1192" s="65">
        <v>0.0027628899346</v>
      </c>
      <c r="J1192" s="65">
        <v>0.005988470911</v>
      </c>
      <c r="K1192" s="65">
        <v>0.012919118561227043</v>
      </c>
      <c r="L1192" s="65">
        <v>0.034465893</v>
      </c>
      <c r="N1192" s="66">
        <v>0.22977261999999998</v>
      </c>
      <c r="O1192" s="10">
        <f t="shared" si="305"/>
        <v>0.22977262</v>
      </c>
      <c r="Q1192" s="67">
        <v>24.808844</v>
      </c>
      <c r="S1192" s="68">
        <v>0.0050155599</v>
      </c>
      <c r="T1192" s="68">
        <v>0.0046578118</v>
      </c>
      <c r="U1192" s="68">
        <v>1.9839235E-4</v>
      </c>
      <c r="V1192" s="68">
        <v>1.5935569E-4</v>
      </c>
      <c r="X1192" s="69">
        <v>1.225523E-5</v>
      </c>
      <c r="Y1192" s="88"/>
      <c r="Z1192" s="73" t="s">
        <v>1803</v>
      </c>
    </row>
    <row r="1193" ht="12.75" customHeight="1">
      <c r="A1193" s="1" t="s">
        <v>1804</v>
      </c>
      <c r="B1193" s="2" t="s">
        <v>1645</v>
      </c>
      <c r="C1193" s="60" t="str">
        <f t="shared" si="310"/>
        <v>A.160.04.114</v>
      </c>
      <c r="D1193" s="51" t="s">
        <v>1781</v>
      </c>
      <c r="E1193" s="62" t="s">
        <v>45</v>
      </c>
      <c r="F1193" s="63" t="str">
        <f t="shared" si="311"/>
        <v>Limba natural forest clear cut 560 (kg/m3)</v>
      </c>
      <c r="G1193" s="64">
        <v>4.936086359325827</v>
      </c>
      <c r="H1193" s="10">
        <f t="shared" si="304"/>
        <v>4.936086359</v>
      </c>
      <c r="I1193" s="65">
        <v>0.0027628899346</v>
      </c>
      <c r="J1193" s="65">
        <v>4.36843846083</v>
      </c>
      <c r="K1193" s="65">
        <v>0.012919118561227043</v>
      </c>
      <c r="L1193" s="65">
        <v>0.55196589</v>
      </c>
      <c r="N1193" s="66">
        <v>3.6797725999999997</v>
      </c>
      <c r="O1193" s="10">
        <f t="shared" si="305"/>
        <v>3.6797726</v>
      </c>
      <c r="Q1193" s="67">
        <v>24.808844</v>
      </c>
      <c r="S1193" s="68">
        <v>0.061030383</v>
      </c>
      <c r="T1193" s="68">
        <v>0.0580605</v>
      </c>
      <c r="U1193" s="68">
        <v>0.0028105277</v>
      </c>
      <c r="V1193" s="68">
        <v>1.5935569E-4</v>
      </c>
      <c r="X1193" s="69">
        <v>1.0845038E-4</v>
      </c>
      <c r="Y1193" s="88"/>
      <c r="Z1193" s="73" t="s">
        <v>1803</v>
      </c>
    </row>
    <row r="1194" ht="12.75" customHeight="1">
      <c r="A1194" s="1" t="s">
        <v>1805</v>
      </c>
      <c r="B1194" s="2" t="s">
        <v>1645</v>
      </c>
      <c r="C1194" s="60" t="str">
        <f t="shared" si="310"/>
        <v>A.160.04.115</v>
      </c>
      <c r="D1194" s="51" t="s">
        <v>1781</v>
      </c>
      <c r="E1194" s="62" t="s">
        <v>45</v>
      </c>
      <c r="F1194" s="63" t="str">
        <f t="shared" si="311"/>
        <v>Menkulang FSC/PEFC 710 (kg/m3)</v>
      </c>
      <c r="G1194" s="64">
        <v>0.07016616482242705</v>
      </c>
      <c r="H1194" s="10">
        <f t="shared" si="304"/>
        <v>0.07016616482</v>
      </c>
      <c r="I1194" s="65">
        <v>0.0029185350452</v>
      </c>
      <c r="J1194" s="65">
        <v>0.007789856726</v>
      </c>
      <c r="K1194" s="65">
        <v>0.01733780705122704</v>
      </c>
      <c r="L1194" s="65">
        <v>0.042119966</v>
      </c>
      <c r="N1194" s="66">
        <v>0.28079977333333334</v>
      </c>
      <c r="O1194" s="10">
        <f t="shared" si="305"/>
        <v>0.2807997733</v>
      </c>
      <c r="Q1194" s="67">
        <v>25.479059</v>
      </c>
      <c r="S1194" s="68">
        <v>0.0064174949</v>
      </c>
      <c r="T1194" s="68">
        <v>0.0059643894</v>
      </c>
      <c r="U1194" s="68">
        <v>2.4696496E-4</v>
      </c>
      <c r="V1194" s="68">
        <v>2.0614054E-4</v>
      </c>
      <c r="X1194" s="69">
        <v>1.4992813E-5</v>
      </c>
      <c r="Y1194" s="88"/>
      <c r="Z1194" s="73" t="s">
        <v>1806</v>
      </c>
    </row>
    <row r="1195" ht="12.75" customHeight="1">
      <c r="A1195" s="1" t="s">
        <v>1807</v>
      </c>
      <c r="B1195" s="2" t="s">
        <v>1645</v>
      </c>
      <c r="C1195" s="60" t="str">
        <f t="shared" si="310"/>
        <v>A.160.04.116</v>
      </c>
      <c r="D1195" s="51" t="s">
        <v>1781</v>
      </c>
      <c r="E1195" s="62" t="s">
        <v>45</v>
      </c>
      <c r="F1195" s="63" t="str">
        <f t="shared" si="311"/>
        <v>Menkulang natural forest clear cut 710 (kg/m3)</v>
      </c>
      <c r="G1195" s="64">
        <v>4.881416167576427</v>
      </c>
      <c r="H1195" s="10">
        <f t="shared" si="304"/>
        <v>4.881416168</v>
      </c>
      <c r="I1195" s="65">
        <v>0.0029185350452</v>
      </c>
      <c r="J1195" s="65">
        <v>4.30153985548</v>
      </c>
      <c r="K1195" s="65">
        <v>0.01733780705122704</v>
      </c>
      <c r="L1195" s="65">
        <v>0.55961997</v>
      </c>
      <c r="N1195" s="66">
        <v>3.7307997999999998</v>
      </c>
      <c r="O1195" s="10">
        <f t="shared" si="305"/>
        <v>3.7307998</v>
      </c>
      <c r="Q1195" s="67">
        <v>25.479059</v>
      </c>
      <c r="S1195" s="68">
        <v>0.062432318</v>
      </c>
      <c r="T1195" s="68">
        <v>0.059367077</v>
      </c>
      <c r="U1195" s="68">
        <v>0.0028591003</v>
      </c>
      <c r="V1195" s="68">
        <v>2.0614054E-4</v>
      </c>
      <c r="X1195" s="69">
        <v>1.1118797E-4</v>
      </c>
      <c r="Y1195" s="88"/>
      <c r="Z1195" s="73" t="s">
        <v>1806</v>
      </c>
    </row>
    <row r="1196" ht="12.75" customHeight="1">
      <c r="A1196" s="1" t="s">
        <v>1808</v>
      </c>
      <c r="B1196" s="2" t="s">
        <v>1645</v>
      </c>
      <c r="C1196" s="60" t="str">
        <f t="shared" si="310"/>
        <v>A.160.04.117</v>
      </c>
      <c r="D1196" s="51" t="s">
        <v>1781</v>
      </c>
      <c r="E1196" s="62" t="s">
        <v>45</v>
      </c>
      <c r="F1196" s="63" t="str">
        <f t="shared" si="311"/>
        <v>Mersawa FSC/PEFC 640 (kg/m3)</v>
      </c>
      <c r="G1196" s="64">
        <v>0.07333418185992704</v>
      </c>
      <c r="H1196" s="10">
        <f t="shared" si="304"/>
        <v>0.07333418186</v>
      </c>
      <c r="I1196" s="65">
        <v>0.0029536806466999997</v>
      </c>
      <c r="J1196" s="65">
        <v>0.008196621341999999</v>
      </c>
      <c r="K1196" s="65">
        <v>0.018335574871227042</v>
      </c>
      <c r="L1196" s="65">
        <v>0.043848305</v>
      </c>
      <c r="N1196" s="66">
        <v>0.29232203333333334</v>
      </c>
      <c r="O1196" s="10">
        <f t="shared" si="305"/>
        <v>0.2923220333</v>
      </c>
      <c r="Q1196" s="67">
        <v>25.630397</v>
      </c>
      <c r="S1196" s="68">
        <v>0.0067340609</v>
      </c>
      <c r="T1196" s="68">
        <v>0.006259423</v>
      </c>
      <c r="U1196" s="68">
        <v>2.5793297E-4</v>
      </c>
      <c r="V1196" s="68">
        <v>2.1670486E-4</v>
      </c>
      <c r="X1196" s="69">
        <v>1.5610977E-5</v>
      </c>
      <c r="Y1196" s="88"/>
      <c r="Z1196" s="73" t="s">
        <v>1809</v>
      </c>
    </row>
    <row r="1197" ht="12.75" customHeight="1">
      <c r="A1197" s="1" t="s">
        <v>1810</v>
      </c>
      <c r="B1197" s="2" t="s">
        <v>1645</v>
      </c>
      <c r="C1197" s="60" t="str">
        <f t="shared" si="310"/>
        <v>A.160.04.118</v>
      </c>
      <c r="D1197" s="51" t="s">
        <v>1781</v>
      </c>
      <c r="E1197" s="62" t="s">
        <v>45</v>
      </c>
      <c r="F1197" s="63" t="str">
        <f t="shared" si="311"/>
        <v>Mersawa natural forest clear cut 640 (kg/m3)</v>
      </c>
      <c r="G1197" s="64">
        <v>5.356896655027926</v>
      </c>
      <c r="H1197" s="10">
        <f t="shared" si="304"/>
        <v>5.356896655</v>
      </c>
      <c r="I1197" s="65">
        <v>0.0029536806466999997</v>
      </c>
      <c r="J1197" s="65">
        <v>4.77425909951</v>
      </c>
      <c r="K1197" s="65">
        <v>0.018335574871227042</v>
      </c>
      <c r="L1197" s="65">
        <v>0.5613483</v>
      </c>
      <c r="N1197" s="66">
        <v>3.742322</v>
      </c>
      <c r="O1197" s="10">
        <f t="shared" si="305"/>
        <v>3.742322</v>
      </c>
      <c r="Q1197" s="67">
        <v>25.630397</v>
      </c>
      <c r="S1197" s="68">
        <v>0.062748884</v>
      </c>
      <c r="T1197" s="68">
        <v>0.059662111</v>
      </c>
      <c r="U1197" s="68">
        <v>0.0028700683</v>
      </c>
      <c r="V1197" s="68">
        <v>2.1670486E-4</v>
      </c>
      <c r="X1197" s="69">
        <v>1.1180613E-4</v>
      </c>
      <c r="Y1197" s="88"/>
      <c r="Z1197" s="73" t="s">
        <v>1809</v>
      </c>
    </row>
    <row r="1198" ht="12.75" customHeight="1">
      <c r="A1198" s="1" t="s">
        <v>1811</v>
      </c>
      <c r="B1198" s="2" t="s">
        <v>1645</v>
      </c>
      <c r="C1198" s="60" t="str">
        <f t="shared" si="310"/>
        <v>A.160.04.119</v>
      </c>
      <c r="D1198" s="51" t="s">
        <v>1781</v>
      </c>
      <c r="E1198" s="62" t="s">
        <v>45</v>
      </c>
      <c r="F1198" s="63" t="str">
        <f t="shared" si="311"/>
        <v>Okoume FSC/PEFC forest 440 (kg/m3)</v>
      </c>
      <c r="G1198" s="64">
        <v>0.06413184526302704</v>
      </c>
      <c r="H1198" s="10">
        <f t="shared" si="304"/>
        <v>0.06413184526</v>
      </c>
      <c r="I1198" s="65">
        <v>0.0028515908567999996</v>
      </c>
      <c r="J1198" s="65">
        <v>0.007015067055</v>
      </c>
      <c r="K1198" s="65">
        <v>0.015437295351227042</v>
      </c>
      <c r="L1198" s="65">
        <v>0.038827892</v>
      </c>
      <c r="N1198" s="66">
        <v>0.25885261333333337</v>
      </c>
      <c r="O1198" s="10">
        <f t="shared" si="305"/>
        <v>0.2588526133</v>
      </c>
      <c r="Q1198" s="67">
        <v>25.190794</v>
      </c>
      <c r="S1198" s="68">
        <v>0.0058145121</v>
      </c>
      <c r="T1198" s="68">
        <v>0.0054024205</v>
      </c>
      <c r="U1198" s="68">
        <v>2.2607352E-4</v>
      </c>
      <c r="V1198" s="68">
        <v>1.8601802E-4</v>
      </c>
      <c r="X1198" s="69">
        <v>1.3815358E-5</v>
      </c>
      <c r="Y1198" s="88"/>
      <c r="Z1198" s="73" t="s">
        <v>1812</v>
      </c>
    </row>
    <row r="1199" ht="12.75" customHeight="1">
      <c r="A1199" s="1" t="s">
        <v>1813</v>
      </c>
      <c r="B1199" s="2" t="s">
        <v>1645</v>
      </c>
      <c r="C1199" s="60" t="str">
        <f t="shared" si="310"/>
        <v>A.160.04.120</v>
      </c>
      <c r="D1199" s="51" t="s">
        <v>1781</v>
      </c>
      <c r="E1199" s="62" t="s">
        <v>45</v>
      </c>
      <c r="F1199" s="63" t="str">
        <f t="shared" si="311"/>
        <v>Okoume natural forest clear cut 440 (kg/m3)</v>
      </c>
      <c r="G1199" s="64">
        <v>11.711031681228027</v>
      </c>
      <c r="H1199" s="10">
        <f t="shared" si="304"/>
        <v>11.71103168</v>
      </c>
      <c r="I1199" s="65">
        <v>0.0028515908567999996</v>
      </c>
      <c r="J1199" s="65">
        <v>11.13641490502</v>
      </c>
      <c r="K1199" s="65">
        <v>0.015437295351227042</v>
      </c>
      <c r="L1199" s="65">
        <v>0.55632789</v>
      </c>
      <c r="N1199" s="66">
        <v>3.7088526000000006</v>
      </c>
      <c r="O1199" s="10">
        <f t="shared" si="305"/>
        <v>3.7088526</v>
      </c>
      <c r="Q1199" s="67">
        <v>25.190794</v>
      </c>
      <c r="S1199" s="68">
        <v>0.061829335</v>
      </c>
      <c r="T1199" s="68">
        <v>0.058805109</v>
      </c>
      <c r="U1199" s="68">
        <v>0.0028382089</v>
      </c>
      <c r="V1199" s="68">
        <v>1.8601802E-4</v>
      </c>
      <c r="X1199" s="69">
        <v>1.1001051E-4</v>
      </c>
      <c r="Y1199" s="88"/>
      <c r="Z1199" s="73" t="s">
        <v>1812</v>
      </c>
    </row>
    <row r="1200" ht="12.75" customHeight="1">
      <c r="A1200" s="1" t="s">
        <v>1814</v>
      </c>
      <c r="B1200" s="2" t="s">
        <v>1645</v>
      </c>
      <c r="C1200" s="60" t="str">
        <f t="shared" si="310"/>
        <v>A.160.04.121</v>
      </c>
      <c r="D1200" s="51" t="s">
        <v>1781</v>
      </c>
      <c r="E1200" s="62" t="s">
        <v>45</v>
      </c>
      <c r="F1200" s="63" t="str">
        <f t="shared" si="311"/>
        <v>Parana Pine FSC/PEFC 540 (kg/m3)</v>
      </c>
      <c r="G1200" s="64">
        <v>0.058248383801827036</v>
      </c>
      <c r="H1200" s="10">
        <f t="shared" si="304"/>
        <v>0.0582483838</v>
      </c>
      <c r="I1200" s="65">
        <v>0.0027863204756</v>
      </c>
      <c r="J1200" s="65">
        <v>0.006259647215</v>
      </c>
      <c r="K1200" s="65">
        <v>0.013584297111227044</v>
      </c>
      <c r="L1200" s="65">
        <v>0.035618119</v>
      </c>
      <c r="N1200" s="66">
        <v>0.23745412666666665</v>
      </c>
      <c r="O1200" s="10">
        <f t="shared" si="305"/>
        <v>0.2374541267</v>
      </c>
      <c r="Q1200" s="67">
        <v>24.909737</v>
      </c>
      <c r="S1200" s="68">
        <v>0.0052266038</v>
      </c>
      <c r="T1200" s="68">
        <v>0.0048545009</v>
      </c>
      <c r="U1200" s="68">
        <v>2.0570436E-4</v>
      </c>
      <c r="V1200" s="68">
        <v>1.6639857E-4</v>
      </c>
      <c r="X1200" s="69">
        <v>1.2667339E-5</v>
      </c>
      <c r="Y1200" s="88"/>
      <c r="Z1200" s="73" t="s">
        <v>1815</v>
      </c>
    </row>
    <row r="1201" ht="12.75" customHeight="1">
      <c r="A1201" s="1" t="s">
        <v>1816</v>
      </c>
      <c r="B1201" s="2" t="s">
        <v>1645</v>
      </c>
      <c r="C1201" s="60" t="str">
        <f t="shared" si="310"/>
        <v>A.160.04.122</v>
      </c>
      <c r="D1201" s="51" t="s">
        <v>1781</v>
      </c>
      <c r="E1201" s="62" t="s">
        <v>45</v>
      </c>
      <c r="F1201" s="63" t="str">
        <f t="shared" si="311"/>
        <v>Parana Pine natural forest clear cut 540 (kg/m3)</v>
      </c>
      <c r="G1201" s="64">
        <v>7.377048360996827</v>
      </c>
      <c r="H1201" s="10">
        <f t="shared" si="304"/>
        <v>7.377048361</v>
      </c>
      <c r="I1201" s="65">
        <v>0.0027863204756</v>
      </c>
      <c r="J1201" s="65">
        <v>6.80755962341</v>
      </c>
      <c r="K1201" s="65">
        <v>0.013584297111227044</v>
      </c>
      <c r="L1201" s="65">
        <v>0.55311812</v>
      </c>
      <c r="N1201" s="66">
        <v>3.687454133333334</v>
      </c>
      <c r="O1201" s="10">
        <f t="shared" si="305"/>
        <v>3.687454133</v>
      </c>
      <c r="Q1201" s="67">
        <v>24.909737</v>
      </c>
      <c r="S1201" s="68">
        <v>0.061241427</v>
      </c>
      <c r="T1201" s="68">
        <v>0.058257189</v>
      </c>
      <c r="U1201" s="68">
        <v>0.0028178397</v>
      </c>
      <c r="V1201" s="68">
        <v>1.6639857E-4</v>
      </c>
      <c r="X1201" s="69">
        <v>1.0886249E-4</v>
      </c>
      <c r="Y1201" s="88"/>
      <c r="Z1201" s="73" t="s">
        <v>1815</v>
      </c>
    </row>
    <row r="1202" ht="12.75" customHeight="1">
      <c r="A1202" s="1" t="s">
        <v>1817</v>
      </c>
      <c r="B1202" s="2" t="s">
        <v>1645</v>
      </c>
      <c r="C1202" s="60" t="str">
        <f t="shared" si="310"/>
        <v>A.160.04.123</v>
      </c>
      <c r="D1202" s="51" t="s">
        <v>1781</v>
      </c>
      <c r="E1202" s="62" t="s">
        <v>45</v>
      </c>
      <c r="F1202" s="63" t="str">
        <f t="shared" si="311"/>
        <v>Radiata Pine FSC/PEFC 450 (kg/m3)</v>
      </c>
      <c r="G1202" s="64">
        <v>0.09867832095622706</v>
      </c>
      <c r="H1202" s="10">
        <f t="shared" si="304"/>
        <v>0.09867832096</v>
      </c>
      <c r="I1202" s="65">
        <v>0.0032348457980000004</v>
      </c>
      <c r="J1202" s="65">
        <v>0.011450737737</v>
      </c>
      <c r="K1202" s="65">
        <v>0.026317721421227045</v>
      </c>
      <c r="L1202" s="65">
        <v>0.057675016</v>
      </c>
      <c r="N1202" s="66">
        <v>0.3845001066666667</v>
      </c>
      <c r="O1202" s="10">
        <f t="shared" si="305"/>
        <v>0.3845001067</v>
      </c>
      <c r="Q1202" s="67">
        <v>27.785107</v>
      </c>
      <c r="S1202" s="68">
        <v>0.0092665887</v>
      </c>
      <c r="T1202" s="68">
        <v>0.0086196922</v>
      </c>
      <c r="U1202" s="68">
        <v>3.4567703E-4</v>
      </c>
      <c r="V1202" s="68">
        <v>3.0121943E-4</v>
      </c>
      <c r="X1202" s="69">
        <v>2.0556289E-5</v>
      </c>
      <c r="Y1202" s="88"/>
      <c r="Z1202" s="73" t="s">
        <v>1818</v>
      </c>
    </row>
    <row r="1203" ht="12.75" customHeight="1">
      <c r="A1203" s="1" t="s">
        <v>1819</v>
      </c>
      <c r="B1203" s="2" t="s">
        <v>1645</v>
      </c>
      <c r="C1203" s="60" t="str">
        <f t="shared" si="310"/>
        <v>A.160.04.124</v>
      </c>
      <c r="D1203" s="51" t="s">
        <v>1781</v>
      </c>
      <c r="E1203" s="62" t="s">
        <v>45</v>
      </c>
      <c r="F1203" s="63" t="str">
        <f t="shared" si="311"/>
        <v>Red oak FSC/PEFC 700 (kg/m3)</v>
      </c>
      <c r="G1203" s="64">
        <v>0.06630042566516761</v>
      </c>
      <c r="H1203" s="10">
        <f t="shared" si="304"/>
        <v>0.06630042567</v>
      </c>
      <c r="I1203" s="65">
        <v>0.005384386441</v>
      </c>
      <c r="J1203" s="65">
        <v>0.007602192741</v>
      </c>
      <c r="K1203" s="65">
        <v>0.014301592483167607</v>
      </c>
      <c r="L1203" s="65">
        <v>0.039012254</v>
      </c>
      <c r="N1203" s="66">
        <v>0.26008169333333336</v>
      </c>
      <c r="O1203" s="10">
        <f t="shared" si="305"/>
        <v>0.2600816933</v>
      </c>
      <c r="Q1203" s="67">
        <v>25.558687</v>
      </c>
      <c r="S1203" s="68">
        <v>0.0053261368</v>
      </c>
      <c r="T1203" s="68">
        <v>0.0048989336</v>
      </c>
      <c r="U1203" s="68">
        <v>2.2114373E-4</v>
      </c>
      <c r="V1203" s="68">
        <v>2.0605947E-4</v>
      </c>
      <c r="X1203" s="69">
        <v>1.4278819E-5</v>
      </c>
      <c r="Y1203" s="88"/>
      <c r="Z1203" s="73" t="s">
        <v>1820</v>
      </c>
    </row>
    <row r="1204" ht="12.75" customHeight="1">
      <c r="A1204" s="1" t="s">
        <v>1821</v>
      </c>
      <c r="B1204" s="2" t="s">
        <v>1645</v>
      </c>
      <c r="C1204" s="60" t="str">
        <f t="shared" si="310"/>
        <v>A.160.04.125</v>
      </c>
      <c r="D1204" s="51" t="s">
        <v>1781</v>
      </c>
      <c r="E1204" s="62" t="s">
        <v>45</v>
      </c>
      <c r="F1204" s="63" t="str">
        <f t="shared" si="311"/>
        <v>Silver fir FSC/PEFC 450 (kg/m3)</v>
      </c>
      <c r="G1204" s="64">
        <v>0.055402509578425706</v>
      </c>
      <c r="H1204" s="10">
        <f t="shared" si="304"/>
        <v>0.05540250958</v>
      </c>
      <c r="I1204" s="65">
        <v>0.0042181788606000005</v>
      </c>
      <c r="J1204" s="65">
        <v>0.006074311773</v>
      </c>
      <c r="K1204" s="65">
        <v>0.011627080944825707</v>
      </c>
      <c r="L1204" s="65">
        <v>0.033482938</v>
      </c>
      <c r="N1204" s="66">
        <v>0.22321958666666666</v>
      </c>
      <c r="O1204" s="10">
        <f t="shared" si="305"/>
        <v>0.2232195867</v>
      </c>
      <c r="Q1204" s="67">
        <v>25.871961</v>
      </c>
      <c r="S1204" s="68">
        <v>0.0045309362</v>
      </c>
      <c r="T1204" s="68">
        <v>0.0041779589</v>
      </c>
      <c r="U1204" s="68">
        <v>1.8859635E-4</v>
      </c>
      <c r="V1204" s="68">
        <v>1.6438095E-4</v>
      </c>
      <c r="X1204" s="69">
        <v>1.213555E-5</v>
      </c>
      <c r="Y1204" s="88"/>
      <c r="Z1204" s="73" t="s">
        <v>1822</v>
      </c>
    </row>
    <row r="1205" ht="12.75" customHeight="1">
      <c r="A1205" s="1" t="s">
        <v>1823</v>
      </c>
      <c r="B1205" s="2" t="s">
        <v>1645</v>
      </c>
      <c r="C1205" s="60" t="str">
        <f t="shared" si="310"/>
        <v>A.160.04.126</v>
      </c>
      <c r="D1205" s="51" t="s">
        <v>1781</v>
      </c>
      <c r="E1205" s="62" t="s">
        <v>45</v>
      </c>
      <c r="F1205" s="63" t="str">
        <f t="shared" si="311"/>
        <v>Spruce European FSC/PEFC 460 (kg/m3)</v>
      </c>
      <c r="G1205" s="64">
        <v>0.03466127006141527</v>
      </c>
      <c r="H1205" s="10">
        <f t="shared" si="304"/>
        <v>0.03466127006</v>
      </c>
      <c r="I1205" s="65">
        <v>0.0013329971458</v>
      </c>
      <c r="J1205" s="65">
        <v>0.0030845021299999997</v>
      </c>
      <c r="K1205" s="65">
        <v>0.007019408785615275</v>
      </c>
      <c r="L1205" s="65">
        <v>0.023224362</v>
      </c>
      <c r="N1205" s="66">
        <v>0.15482908</v>
      </c>
      <c r="O1205" s="10">
        <f t="shared" si="305"/>
        <v>0.15482908</v>
      </c>
      <c r="Q1205" s="67">
        <v>24.601421</v>
      </c>
      <c r="S1205" s="68">
        <v>0.003204557</v>
      </c>
      <c r="T1205" s="68">
        <v>0.0029929474</v>
      </c>
      <c r="U1205" s="68">
        <v>1.2995119E-4</v>
      </c>
      <c r="V1205" s="68">
        <v>8.16584E-5</v>
      </c>
      <c r="X1205" s="69">
        <v>8.0457206E-6</v>
      </c>
      <c r="Y1205" s="88"/>
      <c r="Z1205" s="73" t="s">
        <v>1824</v>
      </c>
    </row>
    <row r="1206" ht="12.75" customHeight="1">
      <c r="A1206" s="1" t="s">
        <v>1825</v>
      </c>
      <c r="B1206" s="2" t="s">
        <v>1645</v>
      </c>
      <c r="C1206" s="60" t="str">
        <f t="shared" si="310"/>
        <v>A.160.04.127</v>
      </c>
      <c r="D1206" s="51" t="s">
        <v>1781</v>
      </c>
      <c r="E1206" s="62" t="s">
        <v>45</v>
      </c>
      <c r="F1206" s="63" t="str">
        <f t="shared" si="311"/>
        <v>Yellow pine FSC/PEFC 540 (kg/m3)</v>
      </c>
      <c r="G1206" s="64">
        <v>0.04602888867572705</v>
      </c>
      <c r="H1206" s="10">
        <f t="shared" si="304"/>
        <v>0.04602888868</v>
      </c>
      <c r="I1206" s="65">
        <v>0.0026507586815</v>
      </c>
      <c r="J1206" s="65">
        <v>0.004690698253</v>
      </c>
      <c r="K1206" s="65">
        <v>0.009735762741227044</v>
      </c>
      <c r="L1206" s="65">
        <v>0.028951669</v>
      </c>
      <c r="N1206" s="66">
        <v>0.19301112666666667</v>
      </c>
      <c r="O1206" s="10">
        <f t="shared" si="305"/>
        <v>0.1930111267</v>
      </c>
      <c r="Q1206" s="67">
        <v>25.270002</v>
      </c>
      <c r="S1206" s="68">
        <v>0.0040055637</v>
      </c>
      <c r="T1206" s="68">
        <v>0.003716514</v>
      </c>
      <c r="U1206" s="68">
        <v>1.6339919E-4</v>
      </c>
      <c r="V1206" s="68">
        <v>1.2565047E-4</v>
      </c>
      <c r="X1206" s="69">
        <v>1.0282992E-5</v>
      </c>
      <c r="Y1206" s="88"/>
      <c r="Z1206" s="73" t="s">
        <v>1826</v>
      </c>
    </row>
    <row r="1207" ht="12.75" customHeight="1">
      <c r="B1207" s="2"/>
      <c r="C1207" s="60"/>
      <c r="D1207" s="75" t="s">
        <v>1827</v>
      </c>
      <c r="E1207" s="62"/>
      <c r="G1207" s="10"/>
      <c r="H1207" s="10" t="str">
        <f t="shared" si="304"/>
        <v/>
      </c>
      <c r="I1207" s="10"/>
      <c r="J1207" s="10"/>
      <c r="K1207" s="10"/>
      <c r="L1207" s="10"/>
      <c r="N1207" s="10"/>
      <c r="O1207" s="10" t="str">
        <f t="shared" si="305"/>
        <v/>
      </c>
      <c r="Q1207" s="67"/>
      <c r="Y1207" s="89"/>
      <c r="Z1207" s="72"/>
    </row>
    <row r="1208" ht="12.75" customHeight="1">
      <c r="A1208" s="1" t="s">
        <v>1828</v>
      </c>
      <c r="B1208" s="2" t="s">
        <v>1645</v>
      </c>
      <c r="C1208" s="60" t="str">
        <f t="shared" ref="C1208:C1238" si="312">MID(A1208,1,12)</f>
        <v>A.160.05.101</v>
      </c>
      <c r="D1208" s="51" t="s">
        <v>1827</v>
      </c>
      <c r="E1208" s="62" t="s">
        <v>45</v>
      </c>
      <c r="F1208" s="63" t="str">
        <f t="shared" ref="F1208:F1238" si="313">MID(A1208, 21,85)</f>
        <v>Abura FSC/PEFC 560 (kg/m3)</v>
      </c>
      <c r="G1208" s="64">
        <v>0.06141640183822704</v>
      </c>
      <c r="H1208" s="10">
        <f t="shared" si="304"/>
        <v>0.06141640184</v>
      </c>
      <c r="I1208" s="65">
        <v>0.002821466077</v>
      </c>
      <c r="J1208" s="65">
        <v>0.00666641183</v>
      </c>
      <c r="K1208" s="65">
        <v>0.014582065931227043</v>
      </c>
      <c r="L1208" s="65">
        <v>0.037346458</v>
      </c>
      <c r="N1208" s="66">
        <v>0.24897638666666666</v>
      </c>
      <c r="O1208" s="10">
        <f t="shared" si="305"/>
        <v>0.2489763867</v>
      </c>
      <c r="Q1208" s="67">
        <v>25.061076</v>
      </c>
      <c r="S1208" s="68">
        <v>0.0055431698</v>
      </c>
      <c r="T1208" s="68">
        <v>0.0051495346</v>
      </c>
      <c r="U1208" s="68">
        <v>2.1667237E-4</v>
      </c>
      <c r="V1208" s="68">
        <v>1.7696289E-4</v>
      </c>
      <c r="X1208" s="69">
        <v>1.3285503E-5</v>
      </c>
      <c r="Y1208" s="88"/>
      <c r="Z1208" s="73" t="s">
        <v>1829</v>
      </c>
    </row>
    <row r="1209" ht="12.75" customHeight="1">
      <c r="A1209" s="1" t="s">
        <v>1830</v>
      </c>
      <c r="B1209" s="2" t="s">
        <v>1645</v>
      </c>
      <c r="C1209" s="60" t="str">
        <f t="shared" si="312"/>
        <v>A.160.05.102</v>
      </c>
      <c r="D1209" s="51" t="s">
        <v>1827</v>
      </c>
      <c r="E1209" s="62" t="s">
        <v>45</v>
      </c>
      <c r="F1209" s="63" t="str">
        <f t="shared" si="313"/>
        <v>Abura natural forest clear cut 560 (kg/m3)</v>
      </c>
      <c r="G1209" s="64">
        <v>6.031978859448228</v>
      </c>
      <c r="H1209" s="10">
        <f t="shared" si="304"/>
        <v>6.031978859</v>
      </c>
      <c r="I1209" s="65">
        <v>0.002821466077</v>
      </c>
      <c r="J1209" s="65">
        <v>5.45972886744</v>
      </c>
      <c r="K1209" s="65">
        <v>0.014582065931227043</v>
      </c>
      <c r="L1209" s="65">
        <v>0.55484646</v>
      </c>
      <c r="N1209" s="66">
        <v>3.6989764000000003</v>
      </c>
      <c r="O1209" s="10">
        <f t="shared" si="305"/>
        <v>3.6989764</v>
      </c>
      <c r="Q1209" s="67">
        <v>25.061076</v>
      </c>
      <c r="S1209" s="68">
        <v>0.061557993</v>
      </c>
      <c r="T1209" s="68">
        <v>0.058552223</v>
      </c>
      <c r="U1209" s="68">
        <v>0.0028288077</v>
      </c>
      <c r="V1209" s="68">
        <v>1.7696289E-4</v>
      </c>
      <c r="X1209" s="69">
        <v>1.0948066E-4</v>
      </c>
      <c r="Y1209" s="88"/>
      <c r="Z1209" s="73" t="s">
        <v>1829</v>
      </c>
    </row>
    <row r="1210" ht="12.75" customHeight="1">
      <c r="A1210" s="1" t="s">
        <v>1831</v>
      </c>
      <c r="B1210" s="2" t="s">
        <v>1645</v>
      </c>
      <c r="C1210" s="60" t="str">
        <f t="shared" si="312"/>
        <v>A.160.05.103</v>
      </c>
      <c r="D1210" s="51" t="s">
        <v>1827</v>
      </c>
      <c r="E1210" s="62" t="s">
        <v>45</v>
      </c>
      <c r="F1210" s="63" t="str">
        <f t="shared" si="313"/>
        <v>Ahorn FSC/PEFC 640 (kg/m3)</v>
      </c>
      <c r="G1210" s="64">
        <v>0.06630042566516761</v>
      </c>
      <c r="H1210" s="10">
        <f t="shared" si="304"/>
        <v>0.06630042567</v>
      </c>
      <c r="I1210" s="65">
        <v>0.005384386441</v>
      </c>
      <c r="J1210" s="65">
        <v>0.007602192741</v>
      </c>
      <c r="K1210" s="65">
        <v>0.014301592483167607</v>
      </c>
      <c r="L1210" s="65">
        <v>0.039012254</v>
      </c>
      <c r="N1210" s="66">
        <v>0.26008169333333336</v>
      </c>
      <c r="O1210" s="10">
        <f t="shared" si="305"/>
        <v>0.2600816933</v>
      </c>
      <c r="Q1210" s="67">
        <v>25.558687</v>
      </c>
      <c r="S1210" s="68">
        <v>0.0053261368</v>
      </c>
      <c r="T1210" s="68">
        <v>0.0048989336</v>
      </c>
      <c r="U1210" s="68">
        <v>2.2114373E-4</v>
      </c>
      <c r="V1210" s="68">
        <v>2.0605947E-4</v>
      </c>
      <c r="X1210" s="69">
        <v>1.4278819E-5</v>
      </c>
      <c r="Y1210" s="88"/>
      <c r="Z1210" s="73" t="s">
        <v>1832</v>
      </c>
    </row>
    <row r="1211" ht="12.75" customHeight="1">
      <c r="A1211" s="1" t="s">
        <v>1833</v>
      </c>
      <c r="B1211" s="2" t="s">
        <v>1645</v>
      </c>
      <c r="C1211" s="60" t="str">
        <f t="shared" si="312"/>
        <v>A.160.05.104</v>
      </c>
      <c r="D1211" s="51" t="s">
        <v>1827</v>
      </c>
      <c r="E1211" s="62" t="s">
        <v>45</v>
      </c>
      <c r="F1211" s="63" t="str">
        <f t="shared" si="313"/>
        <v>Alder FSC/PEFC 530 (kg/m3)</v>
      </c>
      <c r="G1211" s="64">
        <v>0.06630042566516761</v>
      </c>
      <c r="H1211" s="10">
        <f t="shared" si="304"/>
        <v>0.06630042567</v>
      </c>
      <c r="I1211" s="65">
        <v>0.005384386441</v>
      </c>
      <c r="J1211" s="65">
        <v>0.007602192741</v>
      </c>
      <c r="K1211" s="65">
        <v>0.014301592483167607</v>
      </c>
      <c r="L1211" s="65">
        <v>0.039012254</v>
      </c>
      <c r="N1211" s="66">
        <v>0.26008169333333336</v>
      </c>
      <c r="O1211" s="10">
        <f t="shared" si="305"/>
        <v>0.2600816933</v>
      </c>
      <c r="Q1211" s="67">
        <v>25.558687</v>
      </c>
      <c r="S1211" s="68">
        <v>0.0053261368</v>
      </c>
      <c r="T1211" s="68">
        <v>0.0048989336</v>
      </c>
      <c r="U1211" s="68">
        <v>2.2114373E-4</v>
      </c>
      <c r="V1211" s="68">
        <v>2.0605947E-4</v>
      </c>
      <c r="X1211" s="69">
        <v>1.4278819E-5</v>
      </c>
      <c r="Y1211" s="88"/>
      <c r="Z1211" s="73" t="s">
        <v>1834</v>
      </c>
    </row>
    <row r="1212" ht="12.75" customHeight="1">
      <c r="A1212" s="1" t="s">
        <v>1835</v>
      </c>
      <c r="B1212" s="2" t="s">
        <v>1645</v>
      </c>
      <c r="C1212" s="60" t="str">
        <f t="shared" si="312"/>
        <v>A.160.05.105</v>
      </c>
      <c r="D1212" s="51" t="s">
        <v>1827</v>
      </c>
      <c r="E1212" s="62" t="s">
        <v>45</v>
      </c>
      <c r="F1212" s="63" t="str">
        <f t="shared" si="313"/>
        <v>Antiaris FSC/PEFC 445 (kg/m3)</v>
      </c>
      <c r="G1212" s="64">
        <v>0.06020953728852704</v>
      </c>
      <c r="H1212" s="10">
        <f t="shared" si="304"/>
        <v>0.06020953729</v>
      </c>
      <c r="I1212" s="65">
        <v>0.0028080771992999996</v>
      </c>
      <c r="J1212" s="65">
        <v>0.006511453898</v>
      </c>
      <c r="K1212" s="65">
        <v>0.014201963191227043</v>
      </c>
      <c r="L1212" s="65">
        <v>0.036688043</v>
      </c>
      <c r="N1212" s="66">
        <v>0.24458695333333333</v>
      </c>
      <c r="O1212" s="10">
        <f t="shared" si="305"/>
        <v>0.2445869533</v>
      </c>
      <c r="Q1212" s="67">
        <v>25.003423</v>
      </c>
      <c r="S1212" s="68">
        <v>0.0054225733</v>
      </c>
      <c r="T1212" s="68">
        <v>0.0050371408</v>
      </c>
      <c r="U1212" s="68">
        <v>2.1249408E-4</v>
      </c>
      <c r="V1212" s="68">
        <v>1.7293839E-4</v>
      </c>
      <c r="X1212" s="69">
        <v>1.3050012E-5</v>
      </c>
      <c r="Y1212" s="88"/>
      <c r="Z1212" s="73" t="s">
        <v>1836</v>
      </c>
    </row>
    <row r="1213" ht="12.75" customHeight="1">
      <c r="A1213" s="1" t="s">
        <v>1837</v>
      </c>
      <c r="B1213" s="2" t="s">
        <v>1645</v>
      </c>
      <c r="C1213" s="60" t="str">
        <f t="shared" si="312"/>
        <v>A.160.05.106</v>
      </c>
      <c r="D1213" s="51" t="s">
        <v>1827</v>
      </c>
      <c r="E1213" s="62" t="s">
        <v>45</v>
      </c>
      <c r="F1213" s="63" t="str">
        <f t="shared" si="313"/>
        <v>Antiaris natural forest clear cut 445 (kg/m3)</v>
      </c>
      <c r="G1213" s="64">
        <v>6.073709497740526</v>
      </c>
      <c r="H1213" s="10">
        <f t="shared" si="304"/>
        <v>6.073709498</v>
      </c>
      <c r="I1213" s="65">
        <v>0.0028080771992999996</v>
      </c>
      <c r="J1213" s="65">
        <v>5.502511417349999</v>
      </c>
      <c r="K1213" s="65">
        <v>0.014201963191227043</v>
      </c>
      <c r="L1213" s="65">
        <v>0.55418804</v>
      </c>
      <c r="N1213" s="66">
        <v>3.6945869333333334</v>
      </c>
      <c r="O1213" s="10">
        <f t="shared" si="305"/>
        <v>3.694586933</v>
      </c>
      <c r="Q1213" s="67">
        <v>25.003423</v>
      </c>
      <c r="S1213" s="68">
        <v>0.061437397</v>
      </c>
      <c r="T1213" s="68">
        <v>0.058439829</v>
      </c>
      <c r="U1213" s="68">
        <v>0.0028246294</v>
      </c>
      <c r="V1213" s="68">
        <v>1.7293839E-4</v>
      </c>
      <c r="X1213" s="69">
        <v>1.0924517E-4</v>
      </c>
      <c r="Y1213" s="88"/>
      <c r="Z1213" s="73" t="s">
        <v>1836</v>
      </c>
    </row>
    <row r="1214" ht="12.75" customHeight="1">
      <c r="A1214" s="1" t="s">
        <v>1838</v>
      </c>
      <c r="B1214" s="2" t="s">
        <v>1645</v>
      </c>
      <c r="C1214" s="60" t="str">
        <f t="shared" si="312"/>
        <v>A.160.05.107</v>
      </c>
      <c r="D1214" s="51" t="s">
        <v>1827</v>
      </c>
      <c r="E1214" s="62" t="s">
        <v>45</v>
      </c>
      <c r="F1214" s="63" t="str">
        <f t="shared" si="313"/>
        <v>Ash FSC/PEFC 700 (kg/m3)</v>
      </c>
      <c r="G1214" s="64">
        <v>0.06630042566516761</v>
      </c>
      <c r="H1214" s="10">
        <f t="shared" si="304"/>
        <v>0.06630042567</v>
      </c>
      <c r="I1214" s="65">
        <v>0.005384386441</v>
      </c>
      <c r="J1214" s="65">
        <v>0.007602192741</v>
      </c>
      <c r="K1214" s="65">
        <v>0.014301592483167607</v>
      </c>
      <c r="L1214" s="65">
        <v>0.039012254</v>
      </c>
      <c r="N1214" s="66">
        <v>0.26008169333333336</v>
      </c>
      <c r="O1214" s="10">
        <f t="shared" si="305"/>
        <v>0.2600816933</v>
      </c>
      <c r="Q1214" s="67">
        <v>25.558687</v>
      </c>
      <c r="S1214" s="68">
        <v>0.0053261368</v>
      </c>
      <c r="T1214" s="68">
        <v>0.0048989336</v>
      </c>
      <c r="U1214" s="68">
        <v>2.2114373E-4</v>
      </c>
      <c r="V1214" s="68">
        <v>2.0605947E-4</v>
      </c>
      <c r="X1214" s="69">
        <v>1.4278819E-5</v>
      </c>
      <c r="Y1214" s="88"/>
      <c r="Z1214" s="73" t="s">
        <v>1839</v>
      </c>
    </row>
    <row r="1215" ht="12.75" customHeight="1">
      <c r="A1215" s="1" t="s">
        <v>1840</v>
      </c>
      <c r="B1215" s="2" t="s">
        <v>1645</v>
      </c>
      <c r="C1215" s="60" t="str">
        <f t="shared" si="312"/>
        <v>A.160.05.108</v>
      </c>
      <c r="D1215" s="51" t="s">
        <v>1827</v>
      </c>
      <c r="E1215" s="62" t="s">
        <v>45</v>
      </c>
      <c r="F1215" s="63" t="str">
        <f t="shared" si="313"/>
        <v>Aspen FSC/PEFC 440 (kg/m3)</v>
      </c>
      <c r="G1215" s="64">
        <v>0.07719834184040951</v>
      </c>
      <c r="H1215" s="10">
        <f t="shared" si="304"/>
        <v>0.07719834184</v>
      </c>
      <c r="I1215" s="65">
        <v>0.006550594131</v>
      </c>
      <c r="J1215" s="65">
        <v>0.009130073698</v>
      </c>
      <c r="K1215" s="65">
        <v>0.01697610501140951</v>
      </c>
      <c r="L1215" s="65">
        <v>0.044541569</v>
      </c>
      <c r="N1215" s="66">
        <v>0.2969437933333334</v>
      </c>
      <c r="O1215" s="10">
        <f t="shared" si="305"/>
        <v>0.2969437933</v>
      </c>
      <c r="Q1215" s="67">
        <v>26.189413</v>
      </c>
      <c r="S1215" s="68">
        <v>0.0061213373</v>
      </c>
      <c r="T1215" s="68">
        <v>0.0056199082</v>
      </c>
      <c r="U1215" s="68">
        <v>2.536911E-4</v>
      </c>
      <c r="V1215" s="68">
        <v>2.4773799E-4</v>
      </c>
      <c r="X1215" s="69">
        <v>1.6422087E-5</v>
      </c>
      <c r="Y1215" s="88"/>
      <c r="Z1215" s="73" t="s">
        <v>1841</v>
      </c>
    </row>
    <row r="1216" ht="12.75" customHeight="1">
      <c r="A1216" s="1" t="s">
        <v>1842</v>
      </c>
      <c r="B1216" s="2" t="s">
        <v>1645</v>
      </c>
      <c r="C1216" s="60" t="str">
        <f t="shared" si="312"/>
        <v>A.160.05.109</v>
      </c>
      <c r="D1216" s="51" t="s">
        <v>1827</v>
      </c>
      <c r="E1216" s="62" t="s">
        <v>45</v>
      </c>
      <c r="F1216" s="63" t="str">
        <f t="shared" si="313"/>
        <v>Baboen FSC/PEFC 410 (kg/m3)</v>
      </c>
      <c r="G1216" s="64">
        <v>0.09641790689412705</v>
      </c>
      <c r="H1216" s="10">
        <f t="shared" si="304"/>
        <v>0.09641790689</v>
      </c>
      <c r="I1216" s="65">
        <v>0.0032097689339</v>
      </c>
      <c r="J1216" s="65">
        <v>0.011160507039</v>
      </c>
      <c r="K1216" s="65">
        <v>0.025605802921227043</v>
      </c>
      <c r="L1216" s="65">
        <v>0.056441828</v>
      </c>
      <c r="N1216" s="66">
        <v>0.37627885333333333</v>
      </c>
      <c r="O1216" s="10">
        <f t="shared" si="305"/>
        <v>0.3762788533</v>
      </c>
      <c r="Q1216" s="67">
        <v>26.733125</v>
      </c>
      <c r="S1216" s="68">
        <v>0.0090407155</v>
      </c>
      <c r="T1216" s="68">
        <v>0.0084091826</v>
      </c>
      <c r="U1216" s="68">
        <v>3.3785124E-4</v>
      </c>
      <c r="V1216" s="68">
        <v>2.9368168E-4</v>
      </c>
      <c r="X1216" s="69">
        <v>2.0115222E-5</v>
      </c>
      <c r="Y1216" s="88"/>
      <c r="Z1216" s="73" t="s">
        <v>1843</v>
      </c>
    </row>
    <row r="1217" ht="12.75" customHeight="1">
      <c r="A1217" s="1" t="s">
        <v>1844</v>
      </c>
      <c r="B1217" s="2" t="s">
        <v>1645</v>
      </c>
      <c r="C1217" s="60" t="str">
        <f t="shared" si="312"/>
        <v>A.160.05.110</v>
      </c>
      <c r="D1217" s="51" t="s">
        <v>1827</v>
      </c>
      <c r="E1217" s="62" t="s">
        <v>45</v>
      </c>
      <c r="F1217" s="63" t="str">
        <f t="shared" si="313"/>
        <v>Baboen natural forest clear cut 410 (kg/m3)</v>
      </c>
      <c r="G1217" s="64">
        <v>9.579267937065127</v>
      </c>
      <c r="H1217" s="10">
        <f t="shared" si="304"/>
        <v>9.579267937</v>
      </c>
      <c r="I1217" s="65">
        <v>0.0032097689339</v>
      </c>
      <c r="J1217" s="65">
        <v>8.97651053521</v>
      </c>
      <c r="K1217" s="65">
        <v>0.025605802921227043</v>
      </c>
      <c r="L1217" s="65">
        <v>0.57394183</v>
      </c>
      <c r="N1217" s="66">
        <v>3.8262788666666667</v>
      </c>
      <c r="O1217" s="10">
        <f t="shared" si="305"/>
        <v>3.826278867</v>
      </c>
      <c r="Q1217" s="67">
        <v>26.733125</v>
      </c>
      <c r="S1217" s="68">
        <v>0.065055539</v>
      </c>
      <c r="T1217" s="68">
        <v>0.061811871</v>
      </c>
      <c r="U1217" s="68">
        <v>0.0029499866</v>
      </c>
      <c r="V1217" s="68">
        <v>2.9368168E-4</v>
      </c>
      <c r="X1217" s="69">
        <v>1.1631038E-4</v>
      </c>
      <c r="Y1217" s="88"/>
      <c r="Z1217" s="73" t="s">
        <v>1843</v>
      </c>
    </row>
    <row r="1218" ht="12.75" customHeight="1">
      <c r="A1218" s="1" t="s">
        <v>1845</v>
      </c>
      <c r="B1218" s="2" t="s">
        <v>1645</v>
      </c>
      <c r="C1218" s="60" t="str">
        <f t="shared" si="312"/>
        <v>A.160.05.111</v>
      </c>
      <c r="D1218" s="51" t="s">
        <v>1827</v>
      </c>
      <c r="E1218" s="62" t="s">
        <v>45</v>
      </c>
      <c r="F1218" s="63" t="str">
        <f t="shared" si="313"/>
        <v>Beech European FSC/PEFC 710 (kg/m3)</v>
      </c>
      <c r="G1218" s="64">
        <v>0.0364401360235488</v>
      </c>
      <c r="H1218" s="10">
        <f t="shared" si="304"/>
        <v>0.03644013602</v>
      </c>
      <c r="I1218" s="65">
        <v>0.0021889775563</v>
      </c>
      <c r="J1218" s="65">
        <v>0.0034157988650000007</v>
      </c>
      <c r="K1218" s="65">
        <v>0.006973430602248795</v>
      </c>
      <c r="L1218" s="65">
        <v>0.023861929</v>
      </c>
      <c r="N1218" s="66">
        <v>0.15907952666666667</v>
      </c>
      <c r="O1218" s="10">
        <f t="shared" si="305"/>
        <v>0.1590795267</v>
      </c>
      <c r="Q1218" s="67">
        <v>24.774498</v>
      </c>
      <c r="S1218" s="68">
        <v>0.0031472872</v>
      </c>
      <c r="T1218" s="68">
        <v>0.002923463</v>
      </c>
      <c r="U1218" s="68">
        <v>1.3196393E-4</v>
      </c>
      <c r="V1218" s="68">
        <v>9.1860324E-5</v>
      </c>
      <c r="X1218" s="69">
        <v>8.4062622E-6</v>
      </c>
      <c r="Y1218" s="88"/>
      <c r="Z1218" s="73" t="s">
        <v>1846</v>
      </c>
    </row>
    <row r="1219" ht="12.75" customHeight="1">
      <c r="A1219" s="1" t="s">
        <v>1847</v>
      </c>
      <c r="B1219" s="2" t="s">
        <v>1645</v>
      </c>
      <c r="C1219" s="60" t="str">
        <f t="shared" si="312"/>
        <v>A.160.05.112</v>
      </c>
      <c r="D1219" s="51" t="s">
        <v>1827</v>
      </c>
      <c r="E1219" s="62" t="s">
        <v>45</v>
      </c>
      <c r="F1219" s="63" t="str">
        <f t="shared" si="313"/>
        <v>Black poplar FSC/PEFC 440 (kg/m3)</v>
      </c>
      <c r="G1219" s="64">
        <v>0.06630042566516761</v>
      </c>
      <c r="H1219" s="10">
        <f t="shared" si="304"/>
        <v>0.06630042567</v>
      </c>
      <c r="I1219" s="65">
        <v>0.005384386441</v>
      </c>
      <c r="J1219" s="65">
        <v>0.007602192741</v>
      </c>
      <c r="K1219" s="65">
        <v>0.014301592483167607</v>
      </c>
      <c r="L1219" s="65">
        <v>0.039012254</v>
      </c>
      <c r="N1219" s="66">
        <v>0.26008169333333336</v>
      </c>
      <c r="O1219" s="10">
        <f t="shared" si="305"/>
        <v>0.2600816933</v>
      </c>
      <c r="Q1219" s="67">
        <v>25.558687</v>
      </c>
      <c r="S1219" s="68">
        <v>0.0053261368</v>
      </c>
      <c r="T1219" s="68">
        <v>0.0048989336</v>
      </c>
      <c r="U1219" s="68">
        <v>2.2114373E-4</v>
      </c>
      <c r="V1219" s="68">
        <v>2.0605947E-4</v>
      </c>
      <c r="X1219" s="69">
        <v>1.4278819E-5</v>
      </c>
      <c r="Y1219" s="88"/>
      <c r="Z1219" s="73" t="s">
        <v>1848</v>
      </c>
    </row>
    <row r="1220" ht="12.75" customHeight="1">
      <c r="A1220" s="1" t="s">
        <v>1849</v>
      </c>
      <c r="B1220" s="2" t="s">
        <v>1645</v>
      </c>
      <c r="C1220" s="60" t="str">
        <f t="shared" si="312"/>
        <v>A.160.05.113</v>
      </c>
      <c r="D1220" s="51" t="s">
        <v>1827</v>
      </c>
      <c r="E1220" s="62" t="s">
        <v>45</v>
      </c>
      <c r="F1220" s="63" t="str">
        <f t="shared" si="313"/>
        <v>Blue gum FSC/PEFC 900 (kg/m3)</v>
      </c>
      <c r="G1220" s="64">
        <v>0.07107131165772704</v>
      </c>
      <c r="H1220" s="10">
        <f t="shared" si="304"/>
        <v>0.07107131166</v>
      </c>
      <c r="I1220" s="65">
        <v>0.0029285766085</v>
      </c>
      <c r="J1220" s="65">
        <v>0.007906075198</v>
      </c>
      <c r="K1220" s="65">
        <v>0.017622882851227043</v>
      </c>
      <c r="L1220" s="65">
        <v>0.042613777</v>
      </c>
      <c r="N1220" s="66">
        <v>0.28409184666666665</v>
      </c>
      <c r="O1220" s="10">
        <f t="shared" si="305"/>
        <v>0.2840918467</v>
      </c>
      <c r="Q1220" s="67">
        <v>25.522298</v>
      </c>
      <c r="S1220" s="68">
        <v>0.0065079423</v>
      </c>
      <c r="T1220" s="68">
        <v>0.0060486847</v>
      </c>
      <c r="U1220" s="68">
        <v>2.5009868E-4</v>
      </c>
      <c r="V1220" s="68">
        <v>2.0915892E-4</v>
      </c>
      <c r="X1220" s="69">
        <v>1.5169431E-5</v>
      </c>
      <c r="Y1220" s="88"/>
      <c r="Z1220" s="73" t="s">
        <v>1850</v>
      </c>
    </row>
    <row r="1221" ht="12.75" customHeight="1">
      <c r="A1221" s="1" t="s">
        <v>1851</v>
      </c>
      <c r="B1221" s="2" t="s">
        <v>1645</v>
      </c>
      <c r="C1221" s="60" t="str">
        <f t="shared" si="312"/>
        <v>A.160.05.114</v>
      </c>
      <c r="D1221" s="51" t="s">
        <v>1827</v>
      </c>
      <c r="E1221" s="62" t="s">
        <v>45</v>
      </c>
      <c r="F1221" s="63" t="str">
        <f t="shared" si="313"/>
        <v>Blue gum natural forest clear cut 900 (kg/m3)</v>
      </c>
      <c r="G1221" s="64">
        <v>1.9453963075297271</v>
      </c>
      <c r="H1221" s="10">
        <f t="shared" si="304"/>
        <v>1.945396308</v>
      </c>
      <c r="I1221" s="65">
        <v>0.0029285766085</v>
      </c>
      <c r="J1221" s="65">
        <v>1.36473106807</v>
      </c>
      <c r="K1221" s="65">
        <v>0.017622882851227043</v>
      </c>
      <c r="L1221" s="65">
        <v>0.56011378</v>
      </c>
      <c r="N1221" s="66">
        <v>3.7340918666666667</v>
      </c>
      <c r="O1221" s="10">
        <f t="shared" si="305"/>
        <v>3.734091867</v>
      </c>
      <c r="Q1221" s="67">
        <v>25.522298</v>
      </c>
      <c r="S1221" s="68">
        <v>0.062522766</v>
      </c>
      <c r="T1221" s="68">
        <v>0.059451373</v>
      </c>
      <c r="U1221" s="68">
        <v>0.002862234</v>
      </c>
      <c r="V1221" s="68">
        <v>2.0915892E-4</v>
      </c>
      <c r="X1221" s="69">
        <v>1.1136459E-4</v>
      </c>
      <c r="Y1221" s="88"/>
      <c r="Z1221" s="73" t="s">
        <v>1850</v>
      </c>
    </row>
    <row r="1222" ht="12.75" customHeight="1">
      <c r="A1222" s="1" t="s">
        <v>1852</v>
      </c>
      <c r="B1222" s="2" t="s">
        <v>1645</v>
      </c>
      <c r="C1222" s="60" t="str">
        <f t="shared" si="312"/>
        <v>A.160.05.115</v>
      </c>
      <c r="D1222" s="51" t="s">
        <v>1827</v>
      </c>
      <c r="E1222" s="62" t="s">
        <v>45</v>
      </c>
      <c r="F1222" s="63" t="str">
        <f t="shared" si="313"/>
        <v>Canaria FSC/PEFC 830 (kg/m3)</v>
      </c>
      <c r="G1222" s="64">
        <v>0.05281749656222705</v>
      </c>
      <c r="H1222" s="10">
        <f t="shared" si="304"/>
        <v>0.05281749656</v>
      </c>
      <c r="I1222" s="65">
        <v>0.002726070716</v>
      </c>
      <c r="J1222" s="65">
        <v>0.005562336565000001</v>
      </c>
      <c r="K1222" s="65">
        <v>0.011873837281227043</v>
      </c>
      <c r="L1222" s="65">
        <v>0.032655252</v>
      </c>
      <c r="N1222" s="66">
        <v>0.21770168000000004</v>
      </c>
      <c r="O1222" s="10">
        <f t="shared" si="305"/>
        <v>0.21770168</v>
      </c>
      <c r="Q1222" s="67">
        <v>24.650299</v>
      </c>
      <c r="S1222" s="68">
        <v>0.0046839193</v>
      </c>
      <c r="T1222" s="68">
        <v>0.0043487289</v>
      </c>
      <c r="U1222" s="68">
        <v>1.8690206E-4</v>
      </c>
      <c r="V1222" s="68">
        <v>1.4828831E-4</v>
      </c>
      <c r="X1222" s="69">
        <v>1.1607629E-5</v>
      </c>
      <c r="Y1222" s="88"/>
      <c r="Z1222" s="73" t="s">
        <v>1853</v>
      </c>
    </row>
    <row r="1223" ht="12.75" customHeight="1">
      <c r="A1223" s="1" t="s">
        <v>1854</v>
      </c>
      <c r="B1223" s="2" t="s">
        <v>1645</v>
      </c>
      <c r="C1223" s="60" t="str">
        <f t="shared" si="312"/>
        <v>A.160.05.116</v>
      </c>
      <c r="D1223" s="51" t="s">
        <v>1827</v>
      </c>
      <c r="E1223" s="62" t="s">
        <v>45</v>
      </c>
      <c r="F1223" s="63" t="str">
        <f t="shared" si="313"/>
        <v>Canaria natural forest clear cut 830 (kg/m3)</v>
      </c>
      <c r="G1223" s="64">
        <v>6.478517506047227</v>
      </c>
      <c r="H1223" s="10">
        <f t="shared" si="304"/>
        <v>6.478517506</v>
      </c>
      <c r="I1223" s="65">
        <v>0.002726070716</v>
      </c>
      <c r="J1223" s="65">
        <v>5.91376234805</v>
      </c>
      <c r="K1223" s="65">
        <v>0.011873837281227043</v>
      </c>
      <c r="L1223" s="65">
        <v>0.55015525</v>
      </c>
      <c r="N1223" s="66">
        <v>3.667701666666667</v>
      </c>
      <c r="O1223" s="10">
        <f t="shared" si="305"/>
        <v>3.667701667</v>
      </c>
      <c r="Q1223" s="67">
        <v>24.650299</v>
      </c>
      <c r="S1223" s="68">
        <v>0.060698743</v>
      </c>
      <c r="T1223" s="68">
        <v>0.057751417</v>
      </c>
      <c r="U1223" s="68">
        <v>0.0027990374</v>
      </c>
      <c r="V1223" s="68">
        <v>1.4828831E-4</v>
      </c>
      <c r="X1223" s="69">
        <v>1.0780278E-4</v>
      </c>
      <c r="Y1223" s="88"/>
      <c r="Z1223" s="73" t="s">
        <v>1853</v>
      </c>
    </row>
    <row r="1224" ht="12.75" customHeight="1">
      <c r="A1224" s="1" t="s">
        <v>1855</v>
      </c>
      <c r="B1224" s="2" t="s">
        <v>1645</v>
      </c>
      <c r="C1224" s="60" t="str">
        <f t="shared" si="312"/>
        <v>A.160.05.117</v>
      </c>
      <c r="D1224" s="51" t="s">
        <v>1827</v>
      </c>
      <c r="E1224" s="62" t="s">
        <v>45</v>
      </c>
      <c r="F1224" s="63" t="str">
        <f t="shared" si="313"/>
        <v>Cottonwood FSC/PEFC 440 (kg/m3)</v>
      </c>
      <c r="G1224" s="64">
        <v>0.05734323686652704</v>
      </c>
      <c r="H1224" s="10">
        <f t="shared" si="304"/>
        <v>0.05734323687</v>
      </c>
      <c r="I1224" s="65">
        <v>0.0027762787123000003</v>
      </c>
      <c r="J1224" s="65">
        <v>0.006143428843</v>
      </c>
      <c r="K1224" s="65">
        <v>0.013299221311227044</v>
      </c>
      <c r="L1224" s="65">
        <v>0.035124308</v>
      </c>
      <c r="N1224" s="66">
        <v>0.23416205333333334</v>
      </c>
      <c r="O1224" s="10">
        <f t="shared" si="305"/>
        <v>0.2341620533</v>
      </c>
      <c r="Q1224" s="67">
        <v>24.866497</v>
      </c>
      <c r="S1224" s="68">
        <v>0.0051361564</v>
      </c>
      <c r="T1224" s="68">
        <v>0.0047702056</v>
      </c>
      <c r="U1224" s="68">
        <v>2.0257064E-4</v>
      </c>
      <c r="V1224" s="68">
        <v>1.6338019E-4</v>
      </c>
      <c r="X1224" s="69">
        <v>1.2490721E-5</v>
      </c>
      <c r="Y1224" s="88"/>
      <c r="Z1224" s="73" t="s">
        <v>1856</v>
      </c>
    </row>
    <row r="1225" ht="12.75" customHeight="1">
      <c r="A1225" s="1" t="s">
        <v>1857</v>
      </c>
      <c r="B1225" s="2" t="s">
        <v>1645</v>
      </c>
      <c r="C1225" s="60" t="str">
        <f t="shared" si="312"/>
        <v>A.160.05.118</v>
      </c>
      <c r="D1225" s="51" t="s">
        <v>1827</v>
      </c>
      <c r="E1225" s="62" t="s">
        <v>45</v>
      </c>
      <c r="F1225" s="63" t="str">
        <f t="shared" si="313"/>
        <v>Cottonwood natural forest clear cut 440 (kg/m3)</v>
      </c>
      <c r="G1225" s="64">
        <v>1.1313132409435271</v>
      </c>
      <c r="H1225" s="10">
        <f t="shared" si="304"/>
        <v>1.131313241</v>
      </c>
      <c r="I1225" s="65">
        <v>0.0027762787123000003</v>
      </c>
      <c r="J1225" s="65">
        <v>0.56261343092</v>
      </c>
      <c r="K1225" s="65">
        <v>0.013299221311227044</v>
      </c>
      <c r="L1225" s="65">
        <v>0.55262431</v>
      </c>
      <c r="N1225" s="66">
        <v>3.684162066666667</v>
      </c>
      <c r="O1225" s="10">
        <f t="shared" si="305"/>
        <v>3.684162067</v>
      </c>
      <c r="Q1225" s="67">
        <v>24.866497</v>
      </c>
      <c r="S1225" s="68">
        <v>0.06115098</v>
      </c>
      <c r="T1225" s="68">
        <v>0.058172894</v>
      </c>
      <c r="U1225" s="68">
        <v>0.002814706</v>
      </c>
      <c r="V1225" s="68">
        <v>1.6338019E-4</v>
      </c>
      <c r="X1225" s="69">
        <v>1.0868588E-4</v>
      </c>
      <c r="Y1225" s="88"/>
      <c r="Z1225" s="73" t="s">
        <v>1856</v>
      </c>
    </row>
    <row r="1226" ht="12.75" customHeight="1">
      <c r="A1226" s="1" t="s">
        <v>1858</v>
      </c>
      <c r="B1226" s="2" t="s">
        <v>1645</v>
      </c>
      <c r="C1226" s="60" t="str">
        <f t="shared" si="312"/>
        <v>A.160.05.119</v>
      </c>
      <c r="D1226" s="51" t="s">
        <v>1827</v>
      </c>
      <c r="E1226" s="62" t="s">
        <v>45</v>
      </c>
      <c r="F1226" s="63" t="str">
        <f t="shared" si="313"/>
        <v>Hornbean FSC/PEFC 750 (kg/m3)</v>
      </c>
      <c r="G1226" s="64">
        <v>0.044504594101983805</v>
      </c>
      <c r="H1226" s="10">
        <f t="shared" si="304"/>
        <v>0.0445045941</v>
      </c>
      <c r="I1226" s="65">
        <v>0.0030519711703999993</v>
      </c>
      <c r="J1226" s="65">
        <v>0.004546430615</v>
      </c>
      <c r="K1226" s="65">
        <v>0.008952569316583803</v>
      </c>
      <c r="L1226" s="65">
        <v>0.027953623</v>
      </c>
      <c r="N1226" s="66">
        <v>0.18635748666666668</v>
      </c>
      <c r="O1226" s="10">
        <f t="shared" si="305"/>
        <v>0.1863574867</v>
      </c>
      <c r="Q1226" s="67">
        <v>24.297235</v>
      </c>
      <c r="S1226" s="68">
        <v>0.0037357357</v>
      </c>
      <c r="T1226" s="68">
        <v>0.0034569842</v>
      </c>
      <c r="U1226" s="68">
        <v>1.5604898E-4</v>
      </c>
      <c r="V1226" s="68">
        <v>1.2270243E-4</v>
      </c>
      <c r="X1226" s="69">
        <v>9.9922811E-6</v>
      </c>
      <c r="Y1226" s="88"/>
      <c r="Z1226" s="73" t="s">
        <v>1859</v>
      </c>
    </row>
    <row r="1227" ht="12.75" customHeight="1">
      <c r="A1227" s="1" t="s">
        <v>1860</v>
      </c>
      <c r="B1227" s="2" t="s">
        <v>1645</v>
      </c>
      <c r="C1227" s="60" t="str">
        <f t="shared" si="312"/>
        <v>A.160.05.120</v>
      </c>
      <c r="D1227" s="51" t="s">
        <v>1827</v>
      </c>
      <c r="E1227" s="62" t="s">
        <v>45</v>
      </c>
      <c r="F1227" s="63" t="str">
        <f t="shared" si="313"/>
        <v>Horse chestnut FSC/PEFC 450 (kg/m3)</v>
      </c>
      <c r="G1227" s="64">
        <v>0.044504594101983805</v>
      </c>
      <c r="H1227" s="10">
        <f t="shared" si="304"/>
        <v>0.0445045941</v>
      </c>
      <c r="I1227" s="65">
        <v>0.0030519711703999993</v>
      </c>
      <c r="J1227" s="65">
        <v>0.004546430615</v>
      </c>
      <c r="K1227" s="65">
        <v>0.008952569316583803</v>
      </c>
      <c r="L1227" s="65">
        <v>0.027953623</v>
      </c>
      <c r="N1227" s="66">
        <v>0.18635748666666668</v>
      </c>
      <c r="O1227" s="10">
        <f t="shared" si="305"/>
        <v>0.1863574867</v>
      </c>
      <c r="Q1227" s="67">
        <v>24.297235</v>
      </c>
      <c r="S1227" s="68">
        <v>0.0037357357</v>
      </c>
      <c r="T1227" s="68">
        <v>0.0034569842</v>
      </c>
      <c r="U1227" s="68">
        <v>1.5604898E-4</v>
      </c>
      <c r="V1227" s="68">
        <v>1.2270243E-4</v>
      </c>
      <c r="X1227" s="69">
        <v>9.9922811E-6</v>
      </c>
      <c r="Y1227" s="88"/>
      <c r="Z1227" s="73" t="s">
        <v>1861</v>
      </c>
    </row>
    <row r="1228" ht="12.75" customHeight="1">
      <c r="A1228" s="1" t="s">
        <v>1862</v>
      </c>
      <c r="B1228" s="2" t="s">
        <v>1645</v>
      </c>
      <c r="C1228" s="60" t="str">
        <f t="shared" si="312"/>
        <v>A.160.05.121</v>
      </c>
      <c r="D1228" s="51" t="s">
        <v>1827</v>
      </c>
      <c r="E1228" s="62" t="s">
        <v>45</v>
      </c>
      <c r="F1228" s="63" t="str">
        <f t="shared" si="313"/>
        <v>Ilomba FSC/PEFC 480 (kg/m3)</v>
      </c>
      <c r="G1228" s="64">
        <v>0.062170690876327046</v>
      </c>
      <c r="H1228" s="10">
        <f t="shared" si="304"/>
        <v>0.06217069088</v>
      </c>
      <c r="I1228" s="65">
        <v>0.0028298340230999996</v>
      </c>
      <c r="J1228" s="65">
        <v>0.0067632605819999995</v>
      </c>
      <c r="K1228" s="65">
        <v>0.014819629271227043</v>
      </c>
      <c r="L1228" s="65">
        <v>0.037757967</v>
      </c>
      <c r="N1228" s="66">
        <v>0.25171978000000006</v>
      </c>
      <c r="O1228" s="10">
        <f t="shared" si="305"/>
        <v>0.25171978</v>
      </c>
      <c r="Q1228" s="67">
        <v>25.097109</v>
      </c>
      <c r="S1228" s="68">
        <v>0.0056185427</v>
      </c>
      <c r="T1228" s="68">
        <v>0.0052197807</v>
      </c>
      <c r="U1228" s="68">
        <v>2.192838E-4</v>
      </c>
      <c r="V1228" s="68">
        <v>1.7947821E-4</v>
      </c>
      <c r="X1228" s="69">
        <v>1.3432685E-5</v>
      </c>
      <c r="Y1228" s="88"/>
      <c r="Z1228" s="73" t="s">
        <v>1863</v>
      </c>
    </row>
    <row r="1229" ht="12.75" customHeight="1">
      <c r="A1229" s="1" t="s">
        <v>1864</v>
      </c>
      <c r="B1229" s="2" t="s">
        <v>1645</v>
      </c>
      <c r="C1229" s="60" t="str">
        <f t="shared" si="312"/>
        <v>A.160.05.122</v>
      </c>
      <c r="D1229" s="51" t="s">
        <v>1827</v>
      </c>
      <c r="E1229" s="62" t="s">
        <v>45</v>
      </c>
      <c r="F1229" s="63" t="str">
        <f t="shared" si="313"/>
        <v>Ilomba natural forest clear cut 480 (kg/m3)</v>
      </c>
      <c r="G1229" s="64">
        <v>6.977358144584327</v>
      </c>
      <c r="H1229" s="10">
        <f t="shared" si="304"/>
        <v>6.977358145</v>
      </c>
      <c r="I1229" s="65">
        <v>0.0028298340230999996</v>
      </c>
      <c r="J1229" s="65">
        <v>6.40445071129</v>
      </c>
      <c r="K1229" s="65">
        <v>0.014819629271227043</v>
      </c>
      <c r="L1229" s="65">
        <v>0.55525797</v>
      </c>
      <c r="N1229" s="66">
        <v>3.7017198000000002</v>
      </c>
      <c r="O1229" s="10">
        <f t="shared" si="305"/>
        <v>3.7017198</v>
      </c>
      <c r="Q1229" s="67">
        <v>25.097109</v>
      </c>
      <c r="S1229" s="68">
        <v>0.061633366</v>
      </c>
      <c r="T1229" s="68">
        <v>0.058622469</v>
      </c>
      <c r="U1229" s="68">
        <v>0.0028314192</v>
      </c>
      <c r="V1229" s="68">
        <v>1.7947821E-4</v>
      </c>
      <c r="X1229" s="69">
        <v>1.0962784E-4</v>
      </c>
      <c r="Y1229" s="88"/>
      <c r="Z1229" s="73" t="s">
        <v>1863</v>
      </c>
    </row>
    <row r="1230" ht="12.75" customHeight="1">
      <c r="A1230" s="1" t="s">
        <v>1865</v>
      </c>
      <c r="B1230" s="2" t="s">
        <v>1645</v>
      </c>
      <c r="C1230" s="60" t="str">
        <f t="shared" si="312"/>
        <v>A.160.05.123</v>
      </c>
      <c r="D1230" s="51" t="s">
        <v>1827</v>
      </c>
      <c r="E1230" s="62" t="s">
        <v>45</v>
      </c>
      <c r="F1230" s="63" t="str">
        <f t="shared" si="313"/>
        <v>Koto FSC/PEFC 560 (kg/m3)</v>
      </c>
      <c r="G1230" s="64">
        <v>0.05613637240682704</v>
      </c>
      <c r="H1230" s="10">
        <f t="shared" si="304"/>
        <v>0.05613637241</v>
      </c>
      <c r="I1230" s="65">
        <v>0.0027628899346</v>
      </c>
      <c r="J1230" s="65">
        <v>0.005988470911</v>
      </c>
      <c r="K1230" s="65">
        <v>0.012919118561227043</v>
      </c>
      <c r="L1230" s="65">
        <v>0.034465893</v>
      </c>
      <c r="N1230" s="66">
        <v>0.22977261999999998</v>
      </c>
      <c r="O1230" s="10">
        <f t="shared" si="305"/>
        <v>0.22977262</v>
      </c>
      <c r="Q1230" s="67">
        <v>24.808844</v>
      </c>
      <c r="S1230" s="68">
        <v>0.0050155599</v>
      </c>
      <c r="T1230" s="68">
        <v>0.0046578118</v>
      </c>
      <c r="U1230" s="68">
        <v>1.9839235E-4</v>
      </c>
      <c r="V1230" s="68">
        <v>1.5935569E-4</v>
      </c>
      <c r="X1230" s="69">
        <v>1.225523E-5</v>
      </c>
      <c r="Y1230" s="88"/>
      <c r="Z1230" s="73" t="s">
        <v>1866</v>
      </c>
    </row>
    <row r="1231" ht="12.75" customHeight="1">
      <c r="A1231" s="1" t="s">
        <v>1867</v>
      </c>
      <c r="B1231" s="2" t="s">
        <v>1645</v>
      </c>
      <c r="C1231" s="60" t="str">
        <f t="shared" si="312"/>
        <v>A.160.05.124</v>
      </c>
      <c r="D1231" s="51" t="s">
        <v>1827</v>
      </c>
      <c r="E1231" s="62" t="s">
        <v>45</v>
      </c>
      <c r="F1231" s="63" t="str">
        <f t="shared" si="313"/>
        <v>Koto natural forest clear cut 560 (kg/m3)</v>
      </c>
      <c r="G1231" s="64">
        <v>4.936086359325827</v>
      </c>
      <c r="H1231" s="10">
        <f t="shared" si="304"/>
        <v>4.936086359</v>
      </c>
      <c r="I1231" s="65">
        <v>0.0027628899346</v>
      </c>
      <c r="J1231" s="65">
        <v>4.36843846083</v>
      </c>
      <c r="K1231" s="65">
        <v>0.012919118561227043</v>
      </c>
      <c r="L1231" s="65">
        <v>0.55196589</v>
      </c>
      <c r="N1231" s="66">
        <v>3.6797725999999997</v>
      </c>
      <c r="O1231" s="10">
        <f t="shared" si="305"/>
        <v>3.6797726</v>
      </c>
      <c r="Q1231" s="67">
        <v>24.808844</v>
      </c>
      <c r="S1231" s="68">
        <v>0.061030383</v>
      </c>
      <c r="T1231" s="68">
        <v>0.0580605</v>
      </c>
      <c r="U1231" s="68">
        <v>0.0028105277</v>
      </c>
      <c r="V1231" s="68">
        <v>1.5935569E-4</v>
      </c>
      <c r="X1231" s="69">
        <v>1.0845038E-4</v>
      </c>
      <c r="Y1231" s="88"/>
      <c r="Z1231" s="73" t="s">
        <v>1866</v>
      </c>
    </row>
    <row r="1232" ht="12.75" customHeight="1">
      <c r="A1232" s="1" t="s">
        <v>1868</v>
      </c>
      <c r="B1232" s="2" t="s">
        <v>1645</v>
      </c>
      <c r="C1232" s="60" t="str">
        <f t="shared" si="312"/>
        <v>A.160.05.125</v>
      </c>
      <c r="D1232" s="51" t="s">
        <v>1827</v>
      </c>
      <c r="E1232" s="62" t="s">
        <v>45</v>
      </c>
      <c r="F1232" s="63" t="str">
        <f t="shared" si="313"/>
        <v>Linde FSC/PEFC 540 (kg/m3)</v>
      </c>
      <c r="G1232" s="64">
        <v>0.044504594101983805</v>
      </c>
      <c r="H1232" s="10">
        <f t="shared" si="304"/>
        <v>0.0445045941</v>
      </c>
      <c r="I1232" s="65">
        <v>0.0030519711703999993</v>
      </c>
      <c r="J1232" s="65">
        <v>0.004546430615</v>
      </c>
      <c r="K1232" s="65">
        <v>0.008952569316583803</v>
      </c>
      <c r="L1232" s="65">
        <v>0.027953623</v>
      </c>
      <c r="N1232" s="66">
        <v>0.18635748666666668</v>
      </c>
      <c r="O1232" s="10">
        <f t="shared" si="305"/>
        <v>0.1863574867</v>
      </c>
      <c r="Q1232" s="67">
        <v>25.241235</v>
      </c>
      <c r="S1232" s="68">
        <v>0.0037357357</v>
      </c>
      <c r="T1232" s="68">
        <v>0.0034569842</v>
      </c>
      <c r="U1232" s="68">
        <v>1.5604898E-4</v>
      </c>
      <c r="V1232" s="68">
        <v>1.2270243E-4</v>
      </c>
      <c r="X1232" s="69">
        <v>9.9922811E-6</v>
      </c>
      <c r="Y1232" s="88"/>
      <c r="Z1232" s="73" t="s">
        <v>1869</v>
      </c>
    </row>
    <row r="1233" ht="12.75" customHeight="1">
      <c r="A1233" s="1" t="s">
        <v>1870</v>
      </c>
      <c r="B1233" s="2" t="s">
        <v>1645</v>
      </c>
      <c r="C1233" s="60" t="str">
        <f t="shared" si="312"/>
        <v>A.160.05.126</v>
      </c>
      <c r="D1233" s="51" t="s">
        <v>1827</v>
      </c>
      <c r="E1233" s="62" t="s">
        <v>45</v>
      </c>
      <c r="F1233" s="63" t="str">
        <f t="shared" si="313"/>
        <v>Platan FSC/PEFC 620 (kg/m3)</v>
      </c>
      <c r="G1233" s="64">
        <v>0.044504594101983805</v>
      </c>
      <c r="H1233" s="10">
        <f t="shared" si="304"/>
        <v>0.0445045941</v>
      </c>
      <c r="I1233" s="65">
        <v>0.0030519711703999993</v>
      </c>
      <c r="J1233" s="65">
        <v>0.004546430615</v>
      </c>
      <c r="K1233" s="65">
        <v>0.008952569316583803</v>
      </c>
      <c r="L1233" s="65">
        <v>0.027953623</v>
      </c>
      <c r="N1233" s="66">
        <v>0.18635748666666668</v>
      </c>
      <c r="O1233" s="10">
        <f t="shared" si="305"/>
        <v>0.1863574867</v>
      </c>
      <c r="Q1233" s="67">
        <v>25.241235</v>
      </c>
      <c r="S1233" s="68">
        <v>0.0037357357</v>
      </c>
      <c r="T1233" s="68">
        <v>0.0034569842</v>
      </c>
      <c r="U1233" s="68">
        <v>1.5604898E-4</v>
      </c>
      <c r="V1233" s="68">
        <v>1.2270243E-4</v>
      </c>
      <c r="X1233" s="69">
        <v>9.9922811E-6</v>
      </c>
      <c r="Y1233" s="88"/>
      <c r="Z1233" s="73" t="s">
        <v>1871</v>
      </c>
    </row>
    <row r="1234" ht="12.75" customHeight="1">
      <c r="A1234" s="1" t="s">
        <v>1872</v>
      </c>
      <c r="B1234" s="2" t="s">
        <v>1645</v>
      </c>
      <c r="C1234" s="60" t="str">
        <f t="shared" si="312"/>
        <v>A.160.05.127</v>
      </c>
      <c r="D1234" s="51" t="s">
        <v>1827</v>
      </c>
      <c r="E1234" s="62" t="s">
        <v>45</v>
      </c>
      <c r="F1234" s="63" t="str">
        <f t="shared" si="313"/>
        <v>Poplar FSC/PEFC 440 (kg/m3)</v>
      </c>
      <c r="G1234" s="64">
        <v>0.044504594101983805</v>
      </c>
      <c r="H1234" s="10">
        <f t="shared" si="304"/>
        <v>0.0445045941</v>
      </c>
      <c r="I1234" s="65">
        <v>0.0030519711703999993</v>
      </c>
      <c r="J1234" s="65">
        <v>0.004546430615</v>
      </c>
      <c r="K1234" s="65">
        <v>0.008952569316583803</v>
      </c>
      <c r="L1234" s="65">
        <v>0.027953623</v>
      </c>
      <c r="N1234" s="66">
        <v>0.18635748666666668</v>
      </c>
      <c r="O1234" s="10">
        <f t="shared" si="305"/>
        <v>0.1863574867</v>
      </c>
      <c r="Q1234" s="67">
        <v>25.241235</v>
      </c>
      <c r="S1234" s="68">
        <v>0.0037357357</v>
      </c>
      <c r="T1234" s="68">
        <v>0.0034569842</v>
      </c>
      <c r="U1234" s="68">
        <v>1.5604898E-4</v>
      </c>
      <c r="V1234" s="68">
        <v>1.2270243E-4</v>
      </c>
      <c r="X1234" s="69">
        <v>9.9922811E-6</v>
      </c>
      <c r="Y1234" s="88"/>
      <c r="Z1234" s="73" t="s">
        <v>1873</v>
      </c>
    </row>
    <row r="1235" ht="12.75" customHeight="1">
      <c r="A1235" s="1" t="s">
        <v>1874</v>
      </c>
      <c r="B1235" s="2" t="s">
        <v>1645</v>
      </c>
      <c r="C1235" s="60" t="str">
        <f t="shared" si="312"/>
        <v>A.160.05.129</v>
      </c>
      <c r="D1235" s="51" t="s">
        <v>1827</v>
      </c>
      <c r="E1235" s="62" t="s">
        <v>45</v>
      </c>
      <c r="F1235" s="63" t="str">
        <f t="shared" si="313"/>
        <v>Sycamore FSC/PEFC 615 (kg/m3)</v>
      </c>
      <c r="G1235" s="64">
        <v>0.07393761297972704</v>
      </c>
      <c r="H1235" s="10">
        <f t="shared" si="304"/>
        <v>0.07393761298</v>
      </c>
      <c r="I1235" s="65">
        <v>0.0029603749854999997</v>
      </c>
      <c r="J1235" s="65">
        <v>0.008274100252999999</v>
      </c>
      <c r="K1235" s="65">
        <v>0.018525625741227042</v>
      </c>
      <c r="L1235" s="65">
        <v>0.044177512</v>
      </c>
      <c r="N1235" s="66">
        <v>0.2945167466666667</v>
      </c>
      <c r="O1235" s="10">
        <f t="shared" si="305"/>
        <v>0.2945167467</v>
      </c>
      <c r="Q1235" s="67">
        <v>25.659224</v>
      </c>
      <c r="S1235" s="68">
        <v>0.0067943591</v>
      </c>
      <c r="T1235" s="68">
        <v>0.0063156199</v>
      </c>
      <c r="U1235" s="68">
        <v>2.6002211E-4</v>
      </c>
      <c r="V1235" s="68">
        <v>2.1871711E-4</v>
      </c>
      <c r="X1235" s="69">
        <v>1.5728723E-5</v>
      </c>
      <c r="Y1235" s="88"/>
      <c r="Z1235" s="73" t="s">
        <v>1875</v>
      </c>
    </row>
    <row r="1236" ht="12.75" customHeight="1">
      <c r="A1236" s="1" t="s">
        <v>1876</v>
      </c>
      <c r="B1236" s="2" t="s">
        <v>1645</v>
      </c>
      <c r="C1236" s="60" t="str">
        <f t="shared" si="312"/>
        <v>A.160.05.130</v>
      </c>
      <c r="D1236" s="51" t="s">
        <v>1827</v>
      </c>
      <c r="E1236" s="62" t="s">
        <v>45</v>
      </c>
      <c r="F1236" s="63" t="str">
        <f t="shared" si="313"/>
        <v>Wawa FSC/PEFC 390 (kg/m3)</v>
      </c>
      <c r="G1236" s="64">
        <v>0.06838965410029124</v>
      </c>
      <c r="H1236" s="10">
        <f t="shared" si="304"/>
        <v>0.0683896541</v>
      </c>
      <c r="I1236" s="65">
        <v>0.0030033572782</v>
      </c>
      <c r="J1236" s="65">
        <v>0.007574619807</v>
      </c>
      <c r="K1236" s="65">
        <v>0.016702515015091235</v>
      </c>
      <c r="L1236" s="65">
        <v>0.041109162</v>
      </c>
      <c r="N1236" s="66">
        <v>0.27406108</v>
      </c>
      <c r="O1236" s="10">
        <f t="shared" si="305"/>
        <v>0.27406108</v>
      </c>
      <c r="Q1236" s="67">
        <v>25.405206</v>
      </c>
      <c r="S1236" s="68">
        <v>0.0062105981</v>
      </c>
      <c r="T1236" s="68">
        <v>0.0057695516</v>
      </c>
      <c r="U1236" s="68">
        <v>2.4029626E-4</v>
      </c>
      <c r="V1236" s="68">
        <v>2.007502E-4</v>
      </c>
      <c r="X1236" s="69">
        <v>1.4647849E-5</v>
      </c>
      <c r="Y1236" s="88"/>
      <c r="Z1236" s="73" t="s">
        <v>1877</v>
      </c>
    </row>
    <row r="1237" ht="12.75" customHeight="1">
      <c r="A1237" s="1" t="s">
        <v>1878</v>
      </c>
      <c r="B1237" s="2" t="s">
        <v>1645</v>
      </c>
      <c r="C1237" s="60" t="str">
        <f t="shared" si="312"/>
        <v>A.160.05.131</v>
      </c>
      <c r="D1237" s="51" t="s">
        <v>1827</v>
      </c>
      <c r="E1237" s="62" t="s">
        <v>45</v>
      </c>
      <c r="F1237" s="63" t="str">
        <f t="shared" si="313"/>
        <v>Wawa natural forest clear cut 390 (kg/m3)</v>
      </c>
      <c r="G1237" s="64">
        <v>8.443452169093291</v>
      </c>
      <c r="H1237" s="10">
        <f t="shared" si="304"/>
        <v>8.443452169</v>
      </c>
      <c r="I1237" s="65">
        <v>0.0030033572782</v>
      </c>
      <c r="J1237" s="65">
        <v>7.8651371368000005</v>
      </c>
      <c r="K1237" s="65">
        <v>0.016702515015091235</v>
      </c>
      <c r="L1237" s="65">
        <v>0.55860916</v>
      </c>
      <c r="N1237" s="66">
        <v>3.724061066666667</v>
      </c>
      <c r="O1237" s="10">
        <f t="shared" si="305"/>
        <v>3.724061067</v>
      </c>
      <c r="Q1237" s="67">
        <v>25.405206</v>
      </c>
      <c r="S1237" s="68">
        <v>0.062225421</v>
      </c>
      <c r="T1237" s="68">
        <v>0.05917224</v>
      </c>
      <c r="U1237" s="68">
        <v>0.0028524316</v>
      </c>
      <c r="V1237" s="68">
        <v>2.007502E-4</v>
      </c>
      <c r="X1237" s="69">
        <v>1.10843E-4</v>
      </c>
      <c r="Y1237" s="88"/>
      <c r="Z1237" s="73" t="s">
        <v>1877</v>
      </c>
    </row>
    <row r="1238" ht="12.75" customHeight="1">
      <c r="A1238" s="1" t="s">
        <v>1879</v>
      </c>
      <c r="B1238" s="2" t="s">
        <v>1645</v>
      </c>
      <c r="C1238" s="60" t="str">
        <f t="shared" si="312"/>
        <v>A.160.05.132</v>
      </c>
      <c r="D1238" s="51" t="s">
        <v>1827</v>
      </c>
      <c r="E1238" s="62" t="s">
        <v>45</v>
      </c>
      <c r="F1238" s="63" t="str">
        <f t="shared" si="313"/>
        <v>Willow FSC/PEFC 450 (kg/m3)</v>
      </c>
      <c r="G1238" s="64">
        <v>0.0336066778544419</v>
      </c>
      <c r="H1238" s="10">
        <f t="shared" si="304"/>
        <v>0.03360667785</v>
      </c>
      <c r="I1238" s="65">
        <v>0.0018857635862</v>
      </c>
      <c r="J1238" s="65">
        <v>0.00301854978</v>
      </c>
      <c r="K1238" s="65">
        <v>0.006278057488241902</v>
      </c>
      <c r="L1238" s="65">
        <v>0.022424307</v>
      </c>
      <c r="N1238" s="66">
        <v>0.14949538</v>
      </c>
      <c r="O1238" s="10">
        <f t="shared" si="305"/>
        <v>0.14949538</v>
      </c>
      <c r="Q1238" s="67">
        <v>24.610509</v>
      </c>
      <c r="S1238" s="68">
        <v>0.0029405351</v>
      </c>
      <c r="T1238" s="68">
        <v>0.0027360096</v>
      </c>
      <c r="U1238" s="68">
        <v>1.2350161E-4</v>
      </c>
      <c r="V1238" s="68">
        <v>8.1023908E-5</v>
      </c>
      <c r="X1238" s="69">
        <v>7.8490123E-6</v>
      </c>
      <c r="Y1238" s="88"/>
      <c r="Z1238" s="73" t="s">
        <v>1880</v>
      </c>
    </row>
    <row r="1239" ht="12.75" customHeight="1">
      <c r="B1239" s="2"/>
      <c r="C1239" s="60"/>
      <c r="D1239" s="75" t="s">
        <v>1881</v>
      </c>
      <c r="E1239" s="62"/>
      <c r="G1239" s="10"/>
      <c r="H1239" s="10" t="str">
        <f t="shared" si="304"/>
        <v/>
      </c>
      <c r="I1239" s="10"/>
      <c r="J1239" s="10"/>
      <c r="K1239" s="10"/>
      <c r="L1239" s="10"/>
      <c r="N1239" s="10"/>
      <c r="O1239" s="10" t="str">
        <f t="shared" si="305"/>
        <v/>
      </c>
      <c r="Q1239" s="67"/>
      <c r="Y1239" s="89"/>
      <c r="Z1239" s="72"/>
    </row>
    <row r="1240" ht="12.75" customHeight="1">
      <c r="A1240" s="1" t="s">
        <v>1882</v>
      </c>
      <c r="B1240" s="2" t="s">
        <v>1645</v>
      </c>
      <c r="C1240" s="60" t="str">
        <f t="shared" ref="C1240:C1269" si="314">MID(A1240,1,12)</f>
        <v>A.160.06.101</v>
      </c>
      <c r="D1240" s="51" t="s">
        <v>1881</v>
      </c>
      <c r="E1240" s="62" t="s">
        <v>45</v>
      </c>
      <c r="F1240" s="63" t="str">
        <f t="shared" ref="F1240:F1269" si="315">MID(A1240, 21,85)</f>
        <v>Anzala (Mukulungu) FSC/PEFC 940 (kg/m3)</v>
      </c>
      <c r="G1240" s="64">
        <v>0.05085634318552704</v>
      </c>
      <c r="H1240" s="10">
        <f t="shared" si="304"/>
        <v>0.05085634319</v>
      </c>
      <c r="I1240" s="65">
        <v>0.0027043139923</v>
      </c>
      <c r="J1240" s="65">
        <v>0.005310529992</v>
      </c>
      <c r="K1240" s="65">
        <v>0.011256171201227043</v>
      </c>
      <c r="L1240" s="65">
        <v>0.031585328</v>
      </c>
      <c r="N1240" s="66">
        <v>0.21056885333333336</v>
      </c>
      <c r="O1240" s="10">
        <f t="shared" si="305"/>
        <v>0.2105688533</v>
      </c>
      <c r="Q1240" s="67">
        <v>24.556613</v>
      </c>
      <c r="S1240" s="68">
        <v>0.0044879499</v>
      </c>
      <c r="T1240" s="68">
        <v>0.0041660891</v>
      </c>
      <c r="U1240" s="68">
        <v>1.8011234E-4</v>
      </c>
      <c r="V1240" s="68">
        <v>1.4174849E-4</v>
      </c>
      <c r="X1240" s="69">
        <v>1.1224957E-5</v>
      </c>
      <c r="Y1240" s="88"/>
      <c r="Z1240" s="73" t="s">
        <v>1883</v>
      </c>
    </row>
    <row r="1241" ht="12.75" customHeight="1">
      <c r="A1241" s="1" t="s">
        <v>1884</v>
      </c>
      <c r="B1241" s="2" t="s">
        <v>1645</v>
      </c>
      <c r="C1241" s="60" t="str">
        <f t="shared" si="314"/>
        <v>A.160.06.102</v>
      </c>
      <c r="D1241" s="51" t="s">
        <v>1881</v>
      </c>
      <c r="E1241" s="62" t="s">
        <v>45</v>
      </c>
      <c r="F1241" s="63" t="str">
        <f t="shared" si="315"/>
        <v>Anzala (Mukulungu) natural forest clear cut 940 (kg/m3)</v>
      </c>
      <c r="G1241" s="64">
        <v>3.1789563694135268</v>
      </c>
      <c r="H1241" s="10">
        <f t="shared" si="304"/>
        <v>3.178956369</v>
      </c>
      <c r="I1241" s="65">
        <v>0.0027043139923</v>
      </c>
      <c r="J1241" s="65">
        <v>2.6159105542199996</v>
      </c>
      <c r="K1241" s="65">
        <v>0.011256171201227043</v>
      </c>
      <c r="L1241" s="65">
        <v>0.54908533</v>
      </c>
      <c r="N1241" s="66">
        <v>3.660568866666667</v>
      </c>
      <c r="O1241" s="10">
        <f t="shared" si="305"/>
        <v>3.660568867</v>
      </c>
      <c r="Q1241" s="67">
        <v>24.556613</v>
      </c>
      <c r="S1241" s="68">
        <v>0.060502773</v>
      </c>
      <c r="T1241" s="68">
        <v>0.057568777</v>
      </c>
      <c r="U1241" s="68">
        <v>0.0027922477</v>
      </c>
      <c r="V1241" s="68">
        <v>1.4174849E-4</v>
      </c>
      <c r="X1241" s="69">
        <v>1.0742011E-4</v>
      </c>
      <c r="Y1241" s="88"/>
      <c r="Z1241" s="73" t="s">
        <v>1883</v>
      </c>
    </row>
    <row r="1242" ht="12.75" customHeight="1">
      <c r="A1242" s="1" t="s">
        <v>1885</v>
      </c>
      <c r="B1242" s="2" t="s">
        <v>1645</v>
      </c>
      <c r="C1242" s="60" t="str">
        <f t="shared" si="314"/>
        <v>A.160.06.103</v>
      </c>
      <c r="D1242" s="51" t="s">
        <v>1881</v>
      </c>
      <c r="E1242" s="62" t="s">
        <v>45</v>
      </c>
      <c r="F1242" s="63" t="str">
        <f t="shared" si="315"/>
        <v>Coromandel Ebony FSC/PEFC 1100 (kg/m3)</v>
      </c>
      <c r="G1242" s="64">
        <v>0.06533870881372704</v>
      </c>
      <c r="H1242" s="10">
        <f t="shared" si="304"/>
        <v>0.06533870881</v>
      </c>
      <c r="I1242" s="65">
        <v>0.0028649797344999996</v>
      </c>
      <c r="J1242" s="65">
        <v>0.007170024988000001</v>
      </c>
      <c r="K1242" s="65">
        <v>0.015817398091227043</v>
      </c>
      <c r="L1242" s="65">
        <v>0.039486306</v>
      </c>
      <c r="N1242" s="66">
        <v>0.26324204</v>
      </c>
      <c r="O1242" s="10">
        <f t="shared" si="305"/>
        <v>0.26324204</v>
      </c>
      <c r="Q1242" s="67">
        <v>25.248447</v>
      </c>
      <c r="S1242" s="68">
        <v>0.0059351086</v>
      </c>
      <c r="T1242" s="68">
        <v>0.0055148143</v>
      </c>
      <c r="U1242" s="68">
        <v>2.3025181E-4</v>
      </c>
      <c r="V1242" s="68">
        <v>1.9004253E-4</v>
      </c>
      <c r="X1242" s="69">
        <v>1.4050849E-5</v>
      </c>
      <c r="Y1242" s="88"/>
      <c r="Z1242" s="73" t="s">
        <v>1886</v>
      </c>
    </row>
    <row r="1243" ht="12.75" customHeight="1">
      <c r="A1243" s="1" t="s">
        <v>1887</v>
      </c>
      <c r="B1243" s="2" t="s">
        <v>1645</v>
      </c>
      <c r="C1243" s="60" t="str">
        <f t="shared" si="314"/>
        <v>A.160.06.104</v>
      </c>
      <c r="D1243" s="51" t="s">
        <v>1881</v>
      </c>
      <c r="E1243" s="62" t="s">
        <v>45</v>
      </c>
      <c r="F1243" s="63" t="str">
        <f t="shared" si="315"/>
        <v>Coromandel Ebony natural forest clear cut 1100 (kg/m3)</v>
      </c>
      <c r="G1243" s="64">
        <v>6.164713742935727</v>
      </c>
      <c r="H1243" s="10">
        <f t="shared" si="304"/>
        <v>6.164713743</v>
      </c>
      <c r="I1243" s="65">
        <v>0.0028649797344999996</v>
      </c>
      <c r="J1243" s="65">
        <v>5.58904505511</v>
      </c>
      <c r="K1243" s="65">
        <v>0.015817398091227043</v>
      </c>
      <c r="L1243" s="65">
        <v>0.55698631</v>
      </c>
      <c r="N1243" s="66">
        <v>3.7132420666666666</v>
      </c>
      <c r="O1243" s="10">
        <f t="shared" si="305"/>
        <v>3.713242067</v>
      </c>
      <c r="Q1243" s="67">
        <v>25.248447</v>
      </c>
      <c r="S1243" s="68">
        <v>0.061949932</v>
      </c>
      <c r="T1243" s="68">
        <v>0.058917502</v>
      </c>
      <c r="U1243" s="68">
        <v>0.0028423872</v>
      </c>
      <c r="V1243" s="68">
        <v>1.9004253E-4</v>
      </c>
      <c r="X1243" s="69">
        <v>1.10246E-4</v>
      </c>
      <c r="Y1243" s="88"/>
      <c r="Z1243" s="73" t="s">
        <v>1886</v>
      </c>
    </row>
    <row r="1244" ht="12.75" customHeight="1">
      <c r="A1244" s="1" t="s">
        <v>1888</v>
      </c>
      <c r="B1244" s="2" t="s">
        <v>1645</v>
      </c>
      <c r="C1244" s="60" t="str">
        <f t="shared" si="314"/>
        <v>A.160.06.105</v>
      </c>
      <c r="D1244" s="51" t="s">
        <v>1881</v>
      </c>
      <c r="E1244" s="62" t="s">
        <v>45</v>
      </c>
      <c r="F1244" s="63" t="str">
        <f t="shared" si="315"/>
        <v>Dabema FSC/PEFC 690 (kg/m3)</v>
      </c>
      <c r="G1244" s="64">
        <v>0.05553294117702704</v>
      </c>
      <c r="H1244" s="10">
        <f t="shared" si="304"/>
        <v>0.05553294118</v>
      </c>
      <c r="I1244" s="65">
        <v>0.0027561955957999995</v>
      </c>
      <c r="J1244" s="65">
        <v>0.005910991890000001</v>
      </c>
      <c r="K1244" s="65">
        <v>0.012729067691227043</v>
      </c>
      <c r="L1244" s="65">
        <v>0.034136686</v>
      </c>
      <c r="N1244" s="66">
        <v>0.22757790666666666</v>
      </c>
      <c r="O1244" s="10">
        <f t="shared" si="305"/>
        <v>0.2275779067</v>
      </c>
      <c r="Q1244" s="67">
        <v>24.780018</v>
      </c>
      <c r="S1244" s="68">
        <v>0.0049552616</v>
      </c>
      <c r="T1244" s="68">
        <v>0.0046016149</v>
      </c>
      <c r="U1244" s="68">
        <v>1.9630321E-4</v>
      </c>
      <c r="V1244" s="68">
        <v>1.5734344E-4</v>
      </c>
      <c r="X1244" s="69">
        <v>1.2137484E-5</v>
      </c>
      <c r="Y1244" s="88"/>
      <c r="Z1244" s="73" t="s">
        <v>1889</v>
      </c>
    </row>
    <row r="1245" ht="12.75" customHeight="1">
      <c r="A1245" s="1" t="s">
        <v>1890</v>
      </c>
      <c r="B1245" s="2" t="s">
        <v>1645</v>
      </c>
      <c r="C1245" s="60" t="str">
        <f t="shared" si="314"/>
        <v>A.160.06.106</v>
      </c>
      <c r="D1245" s="51" t="s">
        <v>1881</v>
      </c>
      <c r="E1245" s="62" t="s">
        <v>45</v>
      </c>
      <c r="F1245" s="63" t="str">
        <f t="shared" si="315"/>
        <v>Dabema natural forest clear cut 690 (kg/m3)</v>
      </c>
      <c r="G1245" s="64">
        <v>7.6491329390170275</v>
      </c>
      <c r="H1245" s="10">
        <f t="shared" si="304"/>
        <v>7.649132939</v>
      </c>
      <c r="I1245" s="65">
        <v>0.0027561955957999995</v>
      </c>
      <c r="J1245" s="65">
        <v>7.08201098573</v>
      </c>
      <c r="K1245" s="65">
        <v>0.012729067691227043</v>
      </c>
      <c r="L1245" s="65">
        <v>0.55163669</v>
      </c>
      <c r="N1245" s="66">
        <v>3.6775779333333336</v>
      </c>
      <c r="O1245" s="10">
        <f t="shared" si="305"/>
        <v>3.677577933</v>
      </c>
      <c r="Q1245" s="67">
        <v>24.780018</v>
      </c>
      <c r="S1245" s="68">
        <v>0.060970085</v>
      </c>
      <c r="T1245" s="68">
        <v>0.058004303</v>
      </c>
      <c r="U1245" s="68">
        <v>0.0028084386</v>
      </c>
      <c r="V1245" s="68">
        <v>1.5734344E-4</v>
      </c>
      <c r="X1245" s="69">
        <v>1.0833264E-4</v>
      </c>
      <c r="Y1245" s="88"/>
      <c r="Z1245" s="73" t="s">
        <v>1889</v>
      </c>
    </row>
    <row r="1246" ht="12.75" customHeight="1">
      <c r="A1246" s="1" t="s">
        <v>1891</v>
      </c>
      <c r="B1246" s="2" t="s">
        <v>1645</v>
      </c>
      <c r="C1246" s="60" t="str">
        <f t="shared" si="314"/>
        <v>A.160.06.107</v>
      </c>
      <c r="D1246" s="51" t="s">
        <v>1881</v>
      </c>
      <c r="E1246" s="62" t="s">
        <v>45</v>
      </c>
      <c r="F1246" s="63" t="str">
        <f t="shared" si="315"/>
        <v>Emien FSC/PEFC 360 (kg/m3)</v>
      </c>
      <c r="G1246" s="64">
        <v>0.0676524920935411</v>
      </c>
      <c r="H1246" s="10">
        <f t="shared" si="304"/>
        <v>0.06765249209</v>
      </c>
      <c r="I1246" s="65">
        <v>0.0031415223540999996</v>
      </c>
      <c r="J1246" s="65">
        <v>0.007497976942999999</v>
      </c>
      <c r="K1246" s="65">
        <v>0.0163642547964411</v>
      </c>
      <c r="L1246" s="65">
        <v>0.040648738</v>
      </c>
      <c r="N1246" s="66">
        <v>0.2709915866666667</v>
      </c>
      <c r="O1246" s="10">
        <f t="shared" si="305"/>
        <v>0.2709915867</v>
      </c>
      <c r="Q1246" s="67">
        <v>25.385408</v>
      </c>
      <c r="S1246" s="68">
        <v>0.0060958076</v>
      </c>
      <c r="T1246" s="68">
        <v>0.0056597498</v>
      </c>
      <c r="U1246" s="68">
        <v>2.370186E-4</v>
      </c>
      <c r="V1246" s="68">
        <v>1.9903925E-4</v>
      </c>
      <c r="X1246" s="69">
        <v>1.4506361E-5</v>
      </c>
      <c r="Y1246" s="88"/>
      <c r="Z1246" s="73" t="s">
        <v>1892</v>
      </c>
    </row>
    <row r="1247" ht="12.75" customHeight="1">
      <c r="A1247" s="1" t="s">
        <v>1893</v>
      </c>
      <c r="B1247" s="2" t="s">
        <v>1645</v>
      </c>
      <c r="C1247" s="60" t="str">
        <f t="shared" si="314"/>
        <v>A.160.06.108</v>
      </c>
      <c r="D1247" s="51" t="s">
        <v>1881</v>
      </c>
      <c r="E1247" s="62" t="s">
        <v>45</v>
      </c>
      <c r="F1247" s="63" t="str">
        <f t="shared" si="315"/>
        <v>Emien natural forest clear cut 360 (kg/m3)</v>
      </c>
      <c r="G1247" s="64">
        <v>7.386452525250541</v>
      </c>
      <c r="H1247" s="10">
        <f t="shared" si="304"/>
        <v>7.386452525</v>
      </c>
      <c r="I1247" s="65">
        <v>0.0031415223540999996</v>
      </c>
      <c r="J1247" s="65">
        <v>6.8087980081</v>
      </c>
      <c r="K1247" s="65">
        <v>0.0163642547964411</v>
      </c>
      <c r="L1247" s="65">
        <v>0.55814874</v>
      </c>
      <c r="N1247" s="66">
        <v>3.7209916000000005</v>
      </c>
      <c r="O1247" s="10">
        <f t="shared" si="305"/>
        <v>3.7209916</v>
      </c>
      <c r="Q1247" s="67">
        <v>25.385408</v>
      </c>
      <c r="S1247" s="68">
        <v>0.062110631</v>
      </c>
      <c r="T1247" s="68">
        <v>0.059062438</v>
      </c>
      <c r="U1247" s="68">
        <v>0.002849154</v>
      </c>
      <c r="V1247" s="68">
        <v>1.9903925E-4</v>
      </c>
      <c r="X1247" s="69">
        <v>1.1070151E-4</v>
      </c>
      <c r="Y1247" s="88"/>
      <c r="Z1247" s="73" t="s">
        <v>1892</v>
      </c>
    </row>
    <row r="1248" ht="12.75" customHeight="1">
      <c r="A1248" s="1" t="s">
        <v>1894</v>
      </c>
      <c r="B1248" s="2" t="s">
        <v>1645</v>
      </c>
      <c r="C1248" s="60" t="str">
        <f t="shared" si="314"/>
        <v>A.160.06.109</v>
      </c>
      <c r="D1248" s="51" t="s">
        <v>1881</v>
      </c>
      <c r="E1248" s="62" t="s">
        <v>45</v>
      </c>
      <c r="F1248" s="63" t="str">
        <f t="shared" si="315"/>
        <v>Incense cedar FSC/PEFC 385 (kg/m3)</v>
      </c>
      <c r="G1248" s="64">
        <v>0.09063287610988408</v>
      </c>
      <c r="H1248" s="10">
        <f t="shared" si="304"/>
        <v>0.09063287611</v>
      </c>
      <c r="I1248" s="65">
        <v>0.003271027313</v>
      </c>
      <c r="J1248" s="65">
        <v>0.010433159543</v>
      </c>
      <c r="K1248" s="65">
        <v>0.02369287025388407</v>
      </c>
      <c r="L1248" s="65">
        <v>0.053235819</v>
      </c>
      <c r="N1248" s="66">
        <v>0.35490546</v>
      </c>
      <c r="O1248" s="10">
        <f t="shared" si="305"/>
        <v>0.35490546</v>
      </c>
      <c r="Q1248" s="67">
        <v>26.469984</v>
      </c>
      <c r="S1248" s="68">
        <v>0.0084273894</v>
      </c>
      <c r="T1248" s="68">
        <v>0.0078351574</v>
      </c>
      <c r="U1248" s="68">
        <v>3.1720097E-4</v>
      </c>
      <c r="V1248" s="68">
        <v>2.7503095E-4</v>
      </c>
      <c r="X1248" s="69">
        <v>1.8988426E-5</v>
      </c>
      <c r="Y1248" s="88"/>
      <c r="Z1248" s="73" t="s">
        <v>1895</v>
      </c>
    </row>
    <row r="1249" ht="12.75" customHeight="1">
      <c r="A1249" s="1" t="s">
        <v>1896</v>
      </c>
      <c r="B1249" s="2" t="s">
        <v>1645</v>
      </c>
      <c r="C1249" s="60" t="str">
        <f t="shared" si="314"/>
        <v>A.160.06.110</v>
      </c>
      <c r="D1249" s="51" t="s">
        <v>1881</v>
      </c>
      <c r="E1249" s="62" t="s">
        <v>45</v>
      </c>
      <c r="F1249" s="63" t="str">
        <f t="shared" si="315"/>
        <v>Missanda (Tali) FSC/PEFC 900 (kg/m3)</v>
      </c>
      <c r="G1249" s="64">
        <v>0.05085634318552704</v>
      </c>
      <c r="H1249" s="10">
        <f t="shared" si="304"/>
        <v>0.05085634319</v>
      </c>
      <c r="I1249" s="65">
        <v>0.0027043139923</v>
      </c>
      <c r="J1249" s="65">
        <v>0.005310529992</v>
      </c>
      <c r="K1249" s="65">
        <v>0.011256171201227043</v>
      </c>
      <c r="L1249" s="65">
        <v>0.031585328</v>
      </c>
      <c r="N1249" s="66">
        <v>0.21056885333333336</v>
      </c>
      <c r="O1249" s="10">
        <f t="shared" si="305"/>
        <v>0.2105688533</v>
      </c>
      <c r="Q1249" s="67">
        <v>24.556613</v>
      </c>
      <c r="S1249" s="68">
        <v>0.0044879499</v>
      </c>
      <c r="T1249" s="68">
        <v>0.0041660891</v>
      </c>
      <c r="U1249" s="68">
        <v>1.8011234E-4</v>
      </c>
      <c r="V1249" s="68">
        <v>1.4174849E-4</v>
      </c>
      <c r="X1249" s="69">
        <v>1.1224957E-5</v>
      </c>
      <c r="Y1249" s="88"/>
      <c r="Z1249" s="73" t="s">
        <v>1897</v>
      </c>
    </row>
    <row r="1250" ht="12.75" customHeight="1">
      <c r="A1250" s="1" t="s">
        <v>1898</v>
      </c>
      <c r="B1250" s="2" t="s">
        <v>1645</v>
      </c>
      <c r="C1250" s="60" t="str">
        <f t="shared" si="314"/>
        <v>A.160.06.111</v>
      </c>
      <c r="D1250" s="51" t="s">
        <v>1881</v>
      </c>
      <c r="E1250" s="62" t="s">
        <v>45</v>
      </c>
      <c r="F1250" s="63" t="str">
        <f t="shared" si="315"/>
        <v>Missanda (Tali) natural forest clear cut 900 (kg/m3)</v>
      </c>
      <c r="G1250" s="64">
        <v>3.282006369413527</v>
      </c>
      <c r="H1250" s="10">
        <f t="shared" si="304"/>
        <v>3.282006369</v>
      </c>
      <c r="I1250" s="65">
        <v>0.0027043139923</v>
      </c>
      <c r="J1250" s="65">
        <v>2.7189605542199997</v>
      </c>
      <c r="K1250" s="65">
        <v>0.011256171201227043</v>
      </c>
      <c r="L1250" s="65">
        <v>0.54908533</v>
      </c>
      <c r="N1250" s="66">
        <v>3.660568866666667</v>
      </c>
      <c r="O1250" s="10">
        <f t="shared" si="305"/>
        <v>3.660568867</v>
      </c>
      <c r="Q1250" s="67">
        <v>24.556613</v>
      </c>
      <c r="S1250" s="68">
        <v>0.060502773</v>
      </c>
      <c r="T1250" s="68">
        <v>0.057568777</v>
      </c>
      <c r="U1250" s="68">
        <v>0.0027922477</v>
      </c>
      <c r="V1250" s="68">
        <v>1.4174849E-4</v>
      </c>
      <c r="X1250" s="69">
        <v>1.0742011E-4</v>
      </c>
      <c r="Y1250" s="88"/>
      <c r="Z1250" s="73" t="s">
        <v>1897</v>
      </c>
    </row>
    <row r="1251" ht="12.75" customHeight="1">
      <c r="A1251" s="1" t="s">
        <v>1899</v>
      </c>
      <c r="B1251" s="2" t="s">
        <v>1645</v>
      </c>
      <c r="C1251" s="60" t="str">
        <f t="shared" si="314"/>
        <v>A.160.06.112</v>
      </c>
      <c r="D1251" s="51" t="s">
        <v>1881</v>
      </c>
      <c r="E1251" s="62" t="s">
        <v>45</v>
      </c>
      <c r="F1251" s="63" t="str">
        <f t="shared" si="315"/>
        <v>Mountain ash European FEC/PEFC 700 (kg/m3)</v>
      </c>
      <c r="G1251" s="64">
        <v>0.044504594101983805</v>
      </c>
      <c r="H1251" s="10">
        <f t="shared" si="304"/>
        <v>0.0445045941</v>
      </c>
      <c r="I1251" s="65">
        <v>0.0030519711703999993</v>
      </c>
      <c r="J1251" s="65">
        <v>0.004546430615</v>
      </c>
      <c r="K1251" s="65">
        <v>0.008952569316583803</v>
      </c>
      <c r="L1251" s="65">
        <v>0.027953623</v>
      </c>
      <c r="N1251" s="66">
        <v>0.18635748666666668</v>
      </c>
      <c r="O1251" s="10">
        <f t="shared" si="305"/>
        <v>0.1863574867</v>
      </c>
      <c r="Q1251" s="67">
        <v>25.241235</v>
      </c>
      <c r="S1251" s="68">
        <v>0.0037357357</v>
      </c>
      <c r="T1251" s="68">
        <v>0.0034569842</v>
      </c>
      <c r="U1251" s="68">
        <v>1.5604898E-4</v>
      </c>
      <c r="V1251" s="68">
        <v>1.2270243E-4</v>
      </c>
      <c r="X1251" s="69">
        <v>9.9922811E-6</v>
      </c>
      <c r="Y1251" s="88"/>
      <c r="Z1251" s="73" t="s">
        <v>1900</v>
      </c>
    </row>
    <row r="1252" ht="12.75" customHeight="1">
      <c r="A1252" s="1" t="s">
        <v>1901</v>
      </c>
      <c r="B1252" s="2" t="s">
        <v>1645</v>
      </c>
      <c r="C1252" s="60" t="str">
        <f t="shared" si="314"/>
        <v>A.160.06.113</v>
      </c>
      <c r="D1252" s="51" t="s">
        <v>1881</v>
      </c>
      <c r="E1252" s="62" t="s">
        <v>45</v>
      </c>
      <c r="F1252" s="63" t="str">
        <f t="shared" si="315"/>
        <v>Mubura FSC/PEFC 830 (kg/m3)</v>
      </c>
      <c r="G1252" s="64">
        <v>0.04738661043262704</v>
      </c>
      <c r="H1252" s="10">
        <f t="shared" si="304"/>
        <v>0.04738661043</v>
      </c>
      <c r="I1252" s="65">
        <v>0.0026658210663999997</v>
      </c>
      <c r="J1252" s="65">
        <v>0.0048650259150000005</v>
      </c>
      <c r="K1252" s="65">
        <v>0.010163377451227043</v>
      </c>
      <c r="L1252" s="65">
        <v>0.029692386</v>
      </c>
      <c r="N1252" s="66">
        <v>0.19794924000000003</v>
      </c>
      <c r="O1252" s="10">
        <f t="shared" si="305"/>
        <v>0.19794924</v>
      </c>
      <c r="Q1252" s="67">
        <v>24.390861</v>
      </c>
      <c r="S1252" s="68">
        <v>0.0041412348</v>
      </c>
      <c r="T1252" s="68">
        <v>0.003842957</v>
      </c>
      <c r="U1252" s="68">
        <v>1.6809976E-4</v>
      </c>
      <c r="V1252" s="68">
        <v>1.3017804E-4</v>
      </c>
      <c r="X1252" s="69">
        <v>1.054792E-5</v>
      </c>
      <c r="Y1252" s="88"/>
      <c r="Z1252" s="73" t="s">
        <v>1902</v>
      </c>
    </row>
    <row r="1253" ht="12.75" customHeight="1">
      <c r="A1253" s="1" t="s">
        <v>1903</v>
      </c>
      <c r="B1253" s="2" t="s">
        <v>1645</v>
      </c>
      <c r="C1253" s="60" t="str">
        <f t="shared" si="314"/>
        <v>A.160.06.114</v>
      </c>
      <c r="D1253" s="51" t="s">
        <v>1881</v>
      </c>
      <c r="E1253" s="62" t="s">
        <v>45</v>
      </c>
      <c r="F1253" s="63" t="str">
        <f t="shared" si="315"/>
        <v>Mubura natural forest clear cut 830 (kg/m3)</v>
      </c>
      <c r="G1253" s="64">
        <v>3.5189866612076273</v>
      </c>
      <c r="H1253" s="10">
        <f t="shared" si="304"/>
        <v>3.518986661</v>
      </c>
      <c r="I1253" s="65">
        <v>0.0026658210663999997</v>
      </c>
      <c r="J1253" s="65">
        <v>2.95896507269</v>
      </c>
      <c r="K1253" s="65">
        <v>0.010163377451227043</v>
      </c>
      <c r="L1253" s="65">
        <v>0.54719239</v>
      </c>
      <c r="N1253" s="66">
        <v>3.6479492666666666</v>
      </c>
      <c r="O1253" s="10">
        <f t="shared" si="305"/>
        <v>3.647949267</v>
      </c>
      <c r="Q1253" s="67">
        <v>24.390861</v>
      </c>
      <c r="S1253" s="68">
        <v>0.060156058</v>
      </c>
      <c r="T1253" s="68">
        <v>0.057245645</v>
      </c>
      <c r="U1253" s="68">
        <v>0.0027802351</v>
      </c>
      <c r="V1253" s="68">
        <v>1.3017804E-4</v>
      </c>
      <c r="X1253" s="69">
        <v>1.0674307E-4</v>
      </c>
      <c r="Y1253" s="88"/>
      <c r="Z1253" s="73" t="s">
        <v>1902</v>
      </c>
    </row>
    <row r="1254" ht="12.75" customHeight="1">
      <c r="A1254" s="1" t="s">
        <v>1904</v>
      </c>
      <c r="B1254" s="2" t="s">
        <v>1645</v>
      </c>
      <c r="C1254" s="60" t="str">
        <f t="shared" si="314"/>
        <v>A.160.06.115</v>
      </c>
      <c r="D1254" s="51" t="s">
        <v>1881</v>
      </c>
      <c r="E1254" s="62" t="s">
        <v>45</v>
      </c>
      <c r="F1254" s="63" t="str">
        <f t="shared" si="315"/>
        <v>Niove FSC/PEFC 850 (kg/m3)</v>
      </c>
      <c r="G1254" s="64">
        <v>0.05266663975502704</v>
      </c>
      <c r="H1254" s="10">
        <f t="shared" si="304"/>
        <v>0.05266663976</v>
      </c>
      <c r="I1254" s="65">
        <v>0.0027243971088</v>
      </c>
      <c r="J1254" s="65">
        <v>0.005542966835</v>
      </c>
      <c r="K1254" s="65">
        <v>0.011826324811227043</v>
      </c>
      <c r="L1254" s="65">
        <v>0.032572951</v>
      </c>
      <c r="N1254" s="66">
        <v>0.2171530066666667</v>
      </c>
      <c r="O1254" s="10">
        <f t="shared" si="305"/>
        <v>0.2171530067</v>
      </c>
      <c r="Q1254" s="67">
        <v>24.643093</v>
      </c>
      <c r="S1254" s="68">
        <v>0.0046688447</v>
      </c>
      <c r="T1254" s="68">
        <v>0.0043346797</v>
      </c>
      <c r="U1254" s="68">
        <v>1.8637978E-4</v>
      </c>
      <c r="V1254" s="68">
        <v>1.4778524E-4</v>
      </c>
      <c r="X1254" s="69">
        <v>1.1578193E-5</v>
      </c>
      <c r="Y1254" s="88"/>
      <c r="Z1254" s="73" t="s">
        <v>1905</v>
      </c>
    </row>
    <row r="1255" ht="12.75" customHeight="1">
      <c r="A1255" s="1" t="s">
        <v>1906</v>
      </c>
      <c r="B1255" s="2" t="s">
        <v>1645</v>
      </c>
      <c r="C1255" s="60" t="str">
        <f t="shared" si="314"/>
        <v>A.160.06.116</v>
      </c>
      <c r="D1255" s="51" t="s">
        <v>1881</v>
      </c>
      <c r="E1255" s="62" t="s">
        <v>45</v>
      </c>
      <c r="F1255" s="63" t="str">
        <f t="shared" si="315"/>
        <v>Niove natural forest clear cut 850 (kg/m3)</v>
      </c>
      <c r="G1255" s="64">
        <v>6.340966651220026</v>
      </c>
      <c r="H1255" s="10">
        <f t="shared" si="304"/>
        <v>6.340966651</v>
      </c>
      <c r="I1255" s="65">
        <v>0.0027243971088</v>
      </c>
      <c r="J1255" s="65">
        <v>5.7763429793</v>
      </c>
      <c r="K1255" s="65">
        <v>0.011826324811227043</v>
      </c>
      <c r="L1255" s="65">
        <v>0.55007295</v>
      </c>
      <c r="N1255" s="66">
        <v>3.6671530000000003</v>
      </c>
      <c r="O1255" s="10">
        <f t="shared" si="305"/>
        <v>3.667153</v>
      </c>
      <c r="Q1255" s="67">
        <v>24.643093</v>
      </c>
      <c r="S1255" s="68">
        <v>0.060683668</v>
      </c>
      <c r="T1255" s="68">
        <v>0.057737368</v>
      </c>
      <c r="U1255" s="68">
        <v>0.0027985151</v>
      </c>
      <c r="V1255" s="68">
        <v>1.4778524E-4</v>
      </c>
      <c r="X1255" s="69">
        <v>1.0777335E-4</v>
      </c>
      <c r="Y1255" s="88"/>
      <c r="Z1255" s="73" t="s">
        <v>1905</v>
      </c>
    </row>
    <row r="1256" ht="12.75" customHeight="1">
      <c r="A1256" s="1" t="s">
        <v>1907</v>
      </c>
      <c r="B1256" s="2" t="s">
        <v>1645</v>
      </c>
      <c r="C1256" s="60" t="str">
        <f t="shared" si="314"/>
        <v>A.160.06.117</v>
      </c>
      <c r="D1256" s="51" t="s">
        <v>1881</v>
      </c>
      <c r="E1256" s="62" t="s">
        <v>45</v>
      </c>
      <c r="F1256" s="63" t="str">
        <f t="shared" si="315"/>
        <v>Onzabili FSC/PEFCt 550 (kg/m3)</v>
      </c>
      <c r="G1256" s="64">
        <v>0.059455248251527044</v>
      </c>
      <c r="H1256" s="10">
        <f t="shared" si="304"/>
        <v>0.05945524825</v>
      </c>
      <c r="I1256" s="65">
        <v>0.0027997092533000004</v>
      </c>
      <c r="J1256" s="65">
        <v>0.006414605147</v>
      </c>
      <c r="K1256" s="65">
        <v>0.013964399851227043</v>
      </c>
      <c r="L1256" s="65">
        <v>0.036276534</v>
      </c>
      <c r="N1256" s="66">
        <v>0.24184356</v>
      </c>
      <c r="O1256" s="10">
        <f t="shared" si="305"/>
        <v>0.24184356</v>
      </c>
      <c r="Q1256" s="67">
        <v>24.96739</v>
      </c>
      <c r="S1256" s="68">
        <v>0.0053472004</v>
      </c>
      <c r="T1256" s="68">
        <v>0.0049668947</v>
      </c>
      <c r="U1256" s="68">
        <v>2.0988265E-4</v>
      </c>
      <c r="V1256" s="68">
        <v>1.7042307E-4</v>
      </c>
      <c r="X1256" s="69">
        <v>1.290283E-5</v>
      </c>
      <c r="Y1256" s="88"/>
      <c r="Z1256" s="73" t="s">
        <v>1908</v>
      </c>
    </row>
    <row r="1257" ht="12.75" customHeight="1">
      <c r="A1257" s="1" t="s">
        <v>1909</v>
      </c>
      <c r="B1257" s="2" t="s">
        <v>1645</v>
      </c>
      <c r="C1257" s="60" t="str">
        <f t="shared" si="314"/>
        <v>A.160.06.118</v>
      </c>
      <c r="D1257" s="51" t="s">
        <v>1881</v>
      </c>
      <c r="E1257" s="62" t="s">
        <v>45</v>
      </c>
      <c r="F1257" s="63" t="str">
        <f t="shared" si="315"/>
        <v>Onzabili natural forest clear cut 550 (kg/m3)</v>
      </c>
      <c r="G1257" s="64">
        <v>9.507955212604527</v>
      </c>
      <c r="H1257" s="10">
        <f t="shared" si="304"/>
        <v>9.507955213</v>
      </c>
      <c r="I1257" s="65">
        <v>0.0027997092533000004</v>
      </c>
      <c r="J1257" s="65">
        <v>8.9374145735</v>
      </c>
      <c r="K1257" s="65">
        <v>0.013964399851227043</v>
      </c>
      <c r="L1257" s="65">
        <v>0.55377653</v>
      </c>
      <c r="N1257" s="66">
        <v>3.691843533333334</v>
      </c>
      <c r="O1257" s="10">
        <f t="shared" si="305"/>
        <v>3.691843533</v>
      </c>
      <c r="Q1257" s="67">
        <v>24.96739</v>
      </c>
      <c r="S1257" s="68">
        <v>0.061362024</v>
      </c>
      <c r="T1257" s="68">
        <v>0.058369583</v>
      </c>
      <c r="U1257" s="68">
        <v>0.002822018</v>
      </c>
      <c r="V1257" s="68">
        <v>1.7042307E-4</v>
      </c>
      <c r="X1257" s="69">
        <v>1.0909798E-4</v>
      </c>
      <c r="Y1257" s="88"/>
      <c r="Z1257" s="73" t="s">
        <v>1908</v>
      </c>
    </row>
    <row r="1258" ht="12.75" customHeight="1">
      <c r="A1258" s="1" t="s">
        <v>1910</v>
      </c>
      <c r="B1258" s="2" t="s">
        <v>1645</v>
      </c>
      <c r="C1258" s="60" t="str">
        <f t="shared" si="314"/>
        <v>A.160.06.119</v>
      </c>
      <c r="D1258" s="51" t="s">
        <v>1881</v>
      </c>
      <c r="E1258" s="62" t="s">
        <v>45</v>
      </c>
      <c r="F1258" s="63" t="str">
        <f t="shared" si="315"/>
        <v>Ozigo (Igaganga) FSC/PEFC 650 (kg/m3)</v>
      </c>
      <c r="G1258" s="64">
        <v>0.053873502204727045</v>
      </c>
      <c r="H1258" s="10">
        <f t="shared" si="304"/>
        <v>0.0538735022</v>
      </c>
      <c r="I1258" s="65">
        <v>0.0027377858864999997</v>
      </c>
      <c r="J1258" s="65">
        <v>0.005697924767</v>
      </c>
      <c r="K1258" s="65">
        <v>0.012206426551227043</v>
      </c>
      <c r="L1258" s="65">
        <v>0.033231365</v>
      </c>
      <c r="N1258" s="66">
        <v>0.22154243333333334</v>
      </c>
      <c r="O1258" s="10">
        <f t="shared" si="305"/>
        <v>0.2215424333</v>
      </c>
      <c r="Q1258" s="67">
        <v>24.700745</v>
      </c>
      <c r="S1258" s="68">
        <v>0.0047894413</v>
      </c>
      <c r="T1258" s="68">
        <v>0.0044470735</v>
      </c>
      <c r="U1258" s="68">
        <v>1.9055806E-4</v>
      </c>
      <c r="V1258" s="68">
        <v>1.5180975E-4</v>
      </c>
      <c r="X1258" s="69">
        <v>1.1813684E-5</v>
      </c>
      <c r="Y1258" s="88"/>
      <c r="Z1258" s="73" t="s">
        <v>1911</v>
      </c>
    </row>
    <row r="1259" ht="12.75" customHeight="1">
      <c r="A1259" s="1" t="s">
        <v>1912</v>
      </c>
      <c r="B1259" s="2" t="s">
        <v>1645</v>
      </c>
      <c r="C1259" s="60" t="str">
        <f t="shared" si="314"/>
        <v>A.160.06.120</v>
      </c>
      <c r="D1259" s="51" t="s">
        <v>1881</v>
      </c>
      <c r="E1259" s="62" t="s">
        <v>45</v>
      </c>
      <c r="F1259" s="63" t="str">
        <f t="shared" si="315"/>
        <v>Ozigo (Igaganga) natural forest clear cut 650 (kg/m3)</v>
      </c>
      <c r="G1259" s="64">
        <v>3.8813395118277274</v>
      </c>
      <c r="H1259" s="10">
        <f t="shared" si="304"/>
        <v>3.881339512</v>
      </c>
      <c r="I1259" s="65">
        <v>0.0027377858864999997</v>
      </c>
      <c r="J1259" s="65">
        <v>3.31566392939</v>
      </c>
      <c r="K1259" s="65">
        <v>0.012206426551227043</v>
      </c>
      <c r="L1259" s="65">
        <v>0.55073137</v>
      </c>
      <c r="N1259" s="66">
        <v>3.671542466666667</v>
      </c>
      <c r="O1259" s="10">
        <f t="shared" si="305"/>
        <v>3.671542467</v>
      </c>
      <c r="Q1259" s="67">
        <v>24.700745</v>
      </c>
      <c r="S1259" s="68">
        <v>0.060804265</v>
      </c>
      <c r="T1259" s="68">
        <v>0.057849761</v>
      </c>
      <c r="U1259" s="68">
        <v>0.0028026934</v>
      </c>
      <c r="V1259" s="68">
        <v>1.5180975E-4</v>
      </c>
      <c r="X1259" s="69">
        <v>1.0800884E-4</v>
      </c>
      <c r="Y1259" s="88"/>
      <c r="Z1259" s="73" t="s">
        <v>1911</v>
      </c>
    </row>
    <row r="1260" ht="12.75" customHeight="1">
      <c r="A1260" s="1" t="s">
        <v>1913</v>
      </c>
      <c r="B1260" s="2" t="s">
        <v>1645</v>
      </c>
      <c r="C1260" s="60" t="str">
        <f t="shared" si="314"/>
        <v>A.160.06.121</v>
      </c>
      <c r="D1260" s="51" t="s">
        <v>1881</v>
      </c>
      <c r="E1260" s="62" t="s">
        <v>45</v>
      </c>
      <c r="F1260" s="63" t="str">
        <f t="shared" si="315"/>
        <v>Parasolier FSC/PEFC 190 (kg/m3)</v>
      </c>
      <c r="G1260" s="64">
        <v>0.10791915486004666</v>
      </c>
      <c r="H1260" s="10">
        <f t="shared" si="304"/>
        <v>0.1079191549</v>
      </c>
      <c r="I1260" s="65">
        <v>0.0053234465000000005</v>
      </c>
      <c r="J1260" s="65">
        <v>0.012881611266000001</v>
      </c>
      <c r="K1260" s="65">
        <v>0.02778832209404666</v>
      </c>
      <c r="L1260" s="65">
        <v>0.061925775</v>
      </c>
      <c r="N1260" s="66">
        <v>0.41283850000000005</v>
      </c>
      <c r="O1260" s="10">
        <f t="shared" si="305"/>
        <v>0.4128385</v>
      </c>
      <c r="Q1260" s="67">
        <v>27.491784</v>
      </c>
      <c r="S1260" s="68">
        <v>0.0096318024</v>
      </c>
      <c r="T1260" s="68">
        <v>0.0089218032</v>
      </c>
      <c r="U1260" s="68">
        <v>3.6782329E-4</v>
      </c>
      <c r="V1260" s="68">
        <v>3.4217584E-4</v>
      </c>
      <c r="X1260" s="69">
        <v>2.2391335E-5</v>
      </c>
      <c r="Y1260" s="88"/>
      <c r="Z1260" s="73" t="s">
        <v>1914</v>
      </c>
    </row>
    <row r="1261" ht="12.75" customHeight="1">
      <c r="A1261" s="1" t="s">
        <v>1915</v>
      </c>
      <c r="B1261" s="2" t="s">
        <v>1645</v>
      </c>
      <c r="C1261" s="60" t="str">
        <f t="shared" si="314"/>
        <v>A.160.06.122</v>
      </c>
      <c r="D1261" s="51" t="s">
        <v>1881</v>
      </c>
      <c r="E1261" s="62" t="s">
        <v>45</v>
      </c>
      <c r="F1261" s="63" t="str">
        <f t="shared" si="315"/>
        <v>Parasolier natural forest clear cut 190 (kg/m3)</v>
      </c>
      <c r="G1261" s="64">
        <v>13.506669330514047</v>
      </c>
      <c r="H1261" s="10">
        <f t="shared" si="304"/>
        <v>13.50666933</v>
      </c>
      <c r="I1261" s="65">
        <v>0.0053234465000000005</v>
      </c>
      <c r="J1261" s="65">
        <v>12.89413179192</v>
      </c>
      <c r="K1261" s="65">
        <v>0.02778832209404666</v>
      </c>
      <c r="L1261" s="65">
        <v>0.57942577</v>
      </c>
      <c r="N1261" s="66">
        <v>3.8628384666666666</v>
      </c>
      <c r="O1261" s="10">
        <f t="shared" si="305"/>
        <v>3.862838467</v>
      </c>
      <c r="Q1261" s="67">
        <v>27.491784</v>
      </c>
      <c r="S1261" s="68">
        <v>0.065646626</v>
      </c>
      <c r="T1261" s="68">
        <v>0.062324491</v>
      </c>
      <c r="U1261" s="68">
        <v>0.0029799587</v>
      </c>
      <c r="V1261" s="68">
        <v>3.4217584E-4</v>
      </c>
      <c r="X1261" s="69">
        <v>1.1858649E-4</v>
      </c>
      <c r="Y1261" s="88"/>
      <c r="Z1261" s="73" t="s">
        <v>1914</v>
      </c>
    </row>
    <row r="1262" ht="12.75" customHeight="1">
      <c r="A1262" s="1" t="s">
        <v>1916</v>
      </c>
      <c r="B1262" s="2" t="s">
        <v>1645</v>
      </c>
      <c r="C1262" s="60" t="str">
        <f t="shared" si="314"/>
        <v>A.160.06.123</v>
      </c>
      <c r="D1262" s="51" t="s">
        <v>1881</v>
      </c>
      <c r="E1262" s="62" t="s">
        <v>45</v>
      </c>
      <c r="F1262" s="63" t="str">
        <f t="shared" si="315"/>
        <v>Pear FSC/PEFC 680 (kg/m3)</v>
      </c>
      <c r="G1262" s="64">
        <v>0.04813723259739777</v>
      </c>
      <c r="H1262" s="10">
        <f t="shared" si="304"/>
        <v>0.0481372326</v>
      </c>
      <c r="I1262" s="65">
        <v>0.0034407071004000003</v>
      </c>
      <c r="J1262" s="65">
        <v>0.005055724371</v>
      </c>
      <c r="K1262" s="65">
        <v>0.009844073125997771</v>
      </c>
      <c r="L1262" s="65">
        <v>0.029796728</v>
      </c>
      <c r="N1262" s="66">
        <v>0.19864485333333334</v>
      </c>
      <c r="O1262" s="10">
        <f t="shared" si="305"/>
        <v>0.1986448533</v>
      </c>
      <c r="Q1262" s="67">
        <v>24.507477</v>
      </c>
      <c r="S1262" s="68">
        <v>0.0040008025</v>
      </c>
      <c r="T1262" s="68">
        <v>0.0036973091</v>
      </c>
      <c r="U1262" s="68">
        <v>1.668981E-4</v>
      </c>
      <c r="V1262" s="68">
        <v>1.3659527E-4</v>
      </c>
      <c r="X1262" s="69">
        <v>1.0706704E-5</v>
      </c>
      <c r="Y1262" s="88"/>
      <c r="Z1262" s="73" t="s">
        <v>1917</v>
      </c>
    </row>
    <row r="1263" ht="12.75" customHeight="1">
      <c r="A1263" s="1" t="s">
        <v>1918</v>
      </c>
      <c r="B1263" s="2" t="s">
        <v>1645</v>
      </c>
      <c r="C1263" s="60" t="str">
        <f t="shared" si="314"/>
        <v>A.160.06.124</v>
      </c>
      <c r="D1263" s="51" t="s">
        <v>1881</v>
      </c>
      <c r="E1263" s="62" t="s">
        <v>45</v>
      </c>
      <c r="F1263" s="63" t="str">
        <f t="shared" si="315"/>
        <v>Pockwood FSC/PEFC1250 (kg/m3)</v>
      </c>
      <c r="G1263" s="64">
        <v>0.051761490929727046</v>
      </c>
      <c r="H1263" s="10">
        <f t="shared" si="304"/>
        <v>0.05176149093</v>
      </c>
      <c r="I1263" s="65">
        <v>0.0027143555554999996</v>
      </c>
      <c r="J1263" s="65">
        <v>0.005426748363</v>
      </c>
      <c r="K1263" s="65">
        <v>0.011541248011227044</v>
      </c>
      <c r="L1263" s="65">
        <v>0.032079139</v>
      </c>
      <c r="N1263" s="66">
        <v>0.21386092666666667</v>
      </c>
      <c r="O1263" s="10">
        <f t="shared" si="305"/>
        <v>0.2138609267</v>
      </c>
      <c r="Q1263" s="67">
        <v>24.599853</v>
      </c>
      <c r="S1263" s="68">
        <v>0.0045783973</v>
      </c>
      <c r="T1263" s="68">
        <v>0.0042503844</v>
      </c>
      <c r="U1263" s="68">
        <v>1.8324606E-4</v>
      </c>
      <c r="V1263" s="68">
        <v>1.4476687E-4</v>
      </c>
      <c r="X1263" s="69">
        <v>1.1401575E-5</v>
      </c>
      <c r="Y1263" s="88"/>
      <c r="Z1263" s="73" t="s">
        <v>1919</v>
      </c>
    </row>
    <row r="1264" ht="12.75" customHeight="1">
      <c r="A1264" s="1" t="s">
        <v>1920</v>
      </c>
      <c r="B1264" s="2" t="s">
        <v>1645</v>
      </c>
      <c r="C1264" s="60" t="str">
        <f t="shared" si="314"/>
        <v>A.160.06.125</v>
      </c>
      <c r="D1264" s="51" t="s">
        <v>1881</v>
      </c>
      <c r="E1264" s="62" t="s">
        <v>45</v>
      </c>
      <c r="F1264" s="63" t="str">
        <f t="shared" si="315"/>
        <v>Pockwood natural forest clear cut 1250 (kg/m3)</v>
      </c>
      <c r="G1264" s="64">
        <v>3.5061865102767267</v>
      </c>
      <c r="H1264" s="10">
        <f t="shared" si="304"/>
        <v>3.50618651</v>
      </c>
      <c r="I1264" s="65">
        <v>0.0027143555554999996</v>
      </c>
      <c r="J1264" s="65">
        <v>2.94235176671</v>
      </c>
      <c r="K1264" s="65">
        <v>0.011541248011227044</v>
      </c>
      <c r="L1264" s="65">
        <v>0.54957914</v>
      </c>
      <c r="N1264" s="66">
        <v>3.6638609333333334</v>
      </c>
      <c r="O1264" s="10">
        <f t="shared" si="305"/>
        <v>3.663860933</v>
      </c>
      <c r="Q1264" s="67">
        <v>24.599853</v>
      </c>
      <c r="S1264" s="68">
        <v>0.060593221</v>
      </c>
      <c r="T1264" s="68">
        <v>0.057653072</v>
      </c>
      <c r="U1264" s="68">
        <v>0.0027953814</v>
      </c>
      <c r="V1264" s="68">
        <v>1.4476687E-4</v>
      </c>
      <c r="X1264" s="69">
        <v>1.0759673E-4</v>
      </c>
      <c r="Y1264" s="88"/>
      <c r="Z1264" s="73" t="s">
        <v>1919</v>
      </c>
    </row>
    <row r="1265" ht="12.75" customHeight="1">
      <c r="A1265" s="1" t="s">
        <v>1921</v>
      </c>
      <c r="B1265" s="2" t="s">
        <v>1645</v>
      </c>
      <c r="C1265" s="60" t="str">
        <f t="shared" si="314"/>
        <v>A.160.06.126</v>
      </c>
      <c r="D1265" s="51" t="s">
        <v>1881</v>
      </c>
      <c r="E1265" s="62" t="s">
        <v>45</v>
      </c>
      <c r="F1265" s="63" t="str">
        <f t="shared" si="315"/>
        <v>Simmon (Persimmon) FSC/PEFC 835 (kg/m3)</v>
      </c>
      <c r="G1265" s="64">
        <v>0.049800337433027045</v>
      </c>
      <c r="H1265" s="10">
        <f t="shared" si="304"/>
        <v>0.04980033743</v>
      </c>
      <c r="I1265" s="65">
        <v>0.0026925987218</v>
      </c>
      <c r="J1265" s="65">
        <v>0.00517494178</v>
      </c>
      <c r="K1265" s="65">
        <v>0.010923581931227042</v>
      </c>
      <c r="L1265" s="65">
        <v>0.031009215</v>
      </c>
      <c r="N1265" s="66">
        <v>0.2067281</v>
      </c>
      <c r="O1265" s="10">
        <f t="shared" si="305"/>
        <v>0.2067281</v>
      </c>
      <c r="Q1265" s="67">
        <v>24.506167</v>
      </c>
      <c r="S1265" s="68">
        <v>0.0043824279</v>
      </c>
      <c r="T1265" s="68">
        <v>0.0040677445</v>
      </c>
      <c r="U1265" s="68">
        <v>1.7645634E-4</v>
      </c>
      <c r="V1265" s="68">
        <v>1.3822705E-4</v>
      </c>
      <c r="X1265" s="69">
        <v>1.1018902E-5</v>
      </c>
      <c r="Y1265" s="88"/>
      <c r="Z1265" s="73" t="s">
        <v>1922</v>
      </c>
    </row>
    <row r="1266" ht="12.75" customHeight="1">
      <c r="A1266" s="1" t="s">
        <v>1923</v>
      </c>
      <c r="B1266" s="2" t="s">
        <v>1645</v>
      </c>
      <c r="C1266" s="60" t="str">
        <f t="shared" si="314"/>
        <v>A.160.06.127</v>
      </c>
      <c r="D1266" s="51" t="s">
        <v>1881</v>
      </c>
      <c r="E1266" s="62" t="s">
        <v>45</v>
      </c>
      <c r="F1266" s="63" t="str">
        <f t="shared" si="315"/>
        <v>Sterculia (Niangon) FSC/PEFC 700 (kg/m3)</v>
      </c>
      <c r="G1266" s="64">
        <v>0.07567711752942705</v>
      </c>
      <c r="H1266" s="10">
        <f t="shared" si="304"/>
        <v>0.07567711753</v>
      </c>
      <c r="I1266" s="65">
        <v>0.0034473003332</v>
      </c>
      <c r="J1266" s="65">
        <v>0.007072375095000001</v>
      </c>
      <c r="K1266" s="65">
        <v>0.015524896101227044</v>
      </c>
      <c r="L1266" s="65">
        <v>0.049632546</v>
      </c>
      <c r="N1266" s="66">
        <v>0.33088364000000003</v>
      </c>
      <c r="O1266" s="10">
        <f t="shared" si="305"/>
        <v>0.33088364</v>
      </c>
      <c r="Q1266" s="67">
        <v>26.807289</v>
      </c>
      <c r="S1266" s="68">
        <v>0.0068443284</v>
      </c>
      <c r="T1266" s="68">
        <v>0.0063778131</v>
      </c>
      <c r="U1266" s="68">
        <v>2.7837858E-4</v>
      </c>
      <c r="V1266" s="68">
        <v>1.8813675E-4</v>
      </c>
      <c r="X1266" s="69">
        <v>1.7342809E-5</v>
      </c>
      <c r="Y1266" s="88"/>
      <c r="Z1266" s="73" t="s">
        <v>1924</v>
      </c>
    </row>
    <row r="1267" ht="12.75" customHeight="1">
      <c r="A1267" s="1" t="s">
        <v>1925</v>
      </c>
      <c r="B1267" s="2" t="s">
        <v>1645</v>
      </c>
      <c r="C1267" s="60" t="str">
        <f t="shared" si="314"/>
        <v>A.160.06.128</v>
      </c>
      <c r="D1267" s="51" t="s">
        <v>1881</v>
      </c>
      <c r="E1267" s="62" t="s">
        <v>45</v>
      </c>
      <c r="F1267" s="63" t="str">
        <f t="shared" si="315"/>
        <v>Sterculia (Niangon) natural forest clear cut 700 (kg/m3)</v>
      </c>
      <c r="G1267" s="64">
        <v>4.096877132034427</v>
      </c>
      <c r="H1267" s="10">
        <f t="shared" si="304"/>
        <v>4.096877132</v>
      </c>
      <c r="I1267" s="65">
        <v>0.0034473003332</v>
      </c>
      <c r="J1267" s="65">
        <v>3.5107723855999997</v>
      </c>
      <c r="K1267" s="65">
        <v>0.015524896101227044</v>
      </c>
      <c r="L1267" s="65">
        <v>0.56713255</v>
      </c>
      <c r="N1267" s="66">
        <v>3.7808836666666665</v>
      </c>
      <c r="O1267" s="10">
        <f t="shared" si="305"/>
        <v>3.780883667</v>
      </c>
      <c r="Q1267" s="67">
        <v>26.807289</v>
      </c>
      <c r="S1267" s="68">
        <v>0.062859152</v>
      </c>
      <c r="T1267" s="68">
        <v>0.059780501</v>
      </c>
      <c r="U1267" s="68">
        <v>0.0028905139</v>
      </c>
      <c r="V1267" s="68">
        <v>1.8813675E-4</v>
      </c>
      <c r="X1267" s="69">
        <v>1.1353796E-4</v>
      </c>
      <c r="Y1267" s="88"/>
      <c r="Z1267" s="73" t="s">
        <v>1924</v>
      </c>
    </row>
    <row r="1268" ht="12.75" customHeight="1">
      <c r="A1268" s="1" t="s">
        <v>1926</v>
      </c>
      <c r="B1268" s="2" t="s">
        <v>1645</v>
      </c>
      <c r="C1268" s="60" t="str">
        <f t="shared" si="314"/>
        <v>A.160.06.129</v>
      </c>
      <c r="D1268" s="51" t="s">
        <v>1881</v>
      </c>
      <c r="E1268" s="62" t="s">
        <v>45</v>
      </c>
      <c r="F1268" s="63" t="str">
        <f t="shared" si="315"/>
        <v>Zebrano (Goncalo-alvez) FSC/PEFC 900 (kg/m3)</v>
      </c>
      <c r="G1268" s="64">
        <v>0.07356510603552704</v>
      </c>
      <c r="H1268" s="10">
        <f t="shared" si="304"/>
        <v>0.07356510604</v>
      </c>
      <c r="I1268" s="65">
        <v>0.0034238697922999994</v>
      </c>
      <c r="J1268" s="65">
        <v>0.006801198692</v>
      </c>
      <c r="K1268" s="65">
        <v>0.014859717551227043</v>
      </c>
      <c r="L1268" s="65">
        <v>0.04848032</v>
      </c>
      <c r="N1268" s="66">
        <v>0.32320213333333336</v>
      </c>
      <c r="O1268" s="10">
        <f t="shared" si="305"/>
        <v>0.3232021333</v>
      </c>
      <c r="Q1268" s="67">
        <v>26.706396</v>
      </c>
      <c r="S1268" s="68">
        <v>0.0066332845</v>
      </c>
      <c r="T1268" s="68">
        <v>0.006181124</v>
      </c>
      <c r="U1268" s="68">
        <v>2.7106658E-4</v>
      </c>
      <c r="V1268" s="68">
        <v>1.8109387E-4</v>
      </c>
      <c r="X1268" s="69">
        <v>1.69307E-5</v>
      </c>
      <c r="Y1268" s="88"/>
      <c r="Z1268" s="73" t="s">
        <v>1927</v>
      </c>
    </row>
    <row r="1269" ht="12.75" customHeight="1">
      <c r="A1269" s="1" t="s">
        <v>1928</v>
      </c>
      <c r="B1269" s="2" t="s">
        <v>1645</v>
      </c>
      <c r="C1269" s="60" t="str">
        <f t="shared" si="314"/>
        <v>A.160.06.130</v>
      </c>
      <c r="D1269" s="51" t="s">
        <v>1881</v>
      </c>
      <c r="E1269" s="62" t="s">
        <v>45</v>
      </c>
      <c r="F1269" s="63" t="str">
        <f t="shared" si="315"/>
        <v>Zebrano (Goncalo-alvez) natural forest clear cut 900 (kg/m3)</v>
      </c>
      <c r="G1269" s="64">
        <v>3.304715130263527</v>
      </c>
      <c r="H1269" s="10">
        <f t="shared" si="304"/>
        <v>3.30471513</v>
      </c>
      <c r="I1269" s="65">
        <v>0.0034238697922999994</v>
      </c>
      <c r="J1269" s="65">
        <v>2.72045122292</v>
      </c>
      <c r="K1269" s="65">
        <v>0.014859717551227043</v>
      </c>
      <c r="L1269" s="65">
        <v>0.56598032</v>
      </c>
      <c r="N1269" s="66">
        <v>3.773202133333333</v>
      </c>
      <c r="O1269" s="10">
        <f t="shared" si="305"/>
        <v>3.773202133</v>
      </c>
      <c r="Q1269" s="67">
        <v>26.706396</v>
      </c>
      <c r="S1269" s="68">
        <v>0.062648108</v>
      </c>
      <c r="T1269" s="68">
        <v>0.059583812</v>
      </c>
      <c r="U1269" s="68">
        <v>0.0028832019</v>
      </c>
      <c r="V1269" s="68">
        <v>1.8109387E-4</v>
      </c>
      <c r="X1269" s="69">
        <v>1.1312585E-4</v>
      </c>
      <c r="Y1269" s="88"/>
      <c r="Z1269" s="73" t="s">
        <v>1927</v>
      </c>
    </row>
    <row r="1270" ht="12.75" customHeight="1">
      <c r="B1270" s="2"/>
      <c r="C1270" s="60"/>
      <c r="D1270" s="75" t="s">
        <v>1929</v>
      </c>
      <c r="E1270" s="62"/>
      <c r="G1270" s="10"/>
      <c r="H1270" s="10" t="str">
        <f t="shared" si="304"/>
        <v/>
      </c>
      <c r="I1270" s="10"/>
      <c r="J1270" s="10"/>
      <c r="K1270" s="10"/>
      <c r="L1270" s="10"/>
      <c r="N1270" s="10"/>
      <c r="O1270" s="10" t="str">
        <f t="shared" si="305"/>
        <v/>
      </c>
      <c r="Q1270" s="67"/>
      <c r="Y1270" s="89"/>
      <c r="Z1270" s="72"/>
    </row>
    <row r="1271" ht="12.75" customHeight="1">
      <c r="A1271" s="1" t="s">
        <v>1930</v>
      </c>
      <c r="B1271" s="2" t="s">
        <v>1645</v>
      </c>
      <c r="C1271" s="60" t="str">
        <f t="shared" ref="C1271:C1280" si="316">MID(A1271,1,12)</f>
        <v>A.160.07.101</v>
      </c>
      <c r="D1271" s="51" t="s">
        <v>1931</v>
      </c>
      <c r="E1271" s="62" t="s">
        <v>45</v>
      </c>
      <c r="F1271" s="63" t="str">
        <f t="shared" ref="F1271:F1280" si="317">MID(A1271, 21,85)</f>
        <v>Angelim Vermelho FSC/PEFC 1430 (kg/m3) wet</v>
      </c>
      <c r="G1271" s="64">
        <v>0.051761490929727046</v>
      </c>
      <c r="H1271" s="10">
        <f t="shared" si="304"/>
        <v>0.05176149093</v>
      </c>
      <c r="I1271" s="65">
        <v>0.0027143555554999996</v>
      </c>
      <c r="J1271" s="65">
        <v>0.005426748363</v>
      </c>
      <c r="K1271" s="65">
        <v>0.011541248011227044</v>
      </c>
      <c r="L1271" s="65">
        <v>0.032079139</v>
      </c>
      <c r="N1271" s="66">
        <v>0.21386092666666667</v>
      </c>
      <c r="O1271" s="10">
        <f t="shared" si="305"/>
        <v>0.2138609267</v>
      </c>
      <c r="Q1271" s="67">
        <v>24.599853</v>
      </c>
      <c r="S1271" s="68">
        <v>0.0045783973</v>
      </c>
      <c r="T1271" s="68">
        <v>0.0042503844</v>
      </c>
      <c r="U1271" s="68">
        <v>1.8324606E-4</v>
      </c>
      <c r="V1271" s="68">
        <v>1.4476687E-4</v>
      </c>
      <c r="X1271" s="69">
        <v>1.1401575E-5</v>
      </c>
      <c r="Y1271" s="88"/>
      <c r="Z1271" s="73" t="s">
        <v>1932</v>
      </c>
    </row>
    <row r="1272" ht="12.75" customHeight="1">
      <c r="A1272" s="1" t="s">
        <v>1933</v>
      </c>
      <c r="B1272" s="2" t="s">
        <v>1645</v>
      </c>
      <c r="C1272" s="60" t="str">
        <f t="shared" si="316"/>
        <v>A.160.07.102</v>
      </c>
      <c r="D1272" s="51" t="s">
        <v>1931</v>
      </c>
      <c r="E1272" s="62" t="s">
        <v>45</v>
      </c>
      <c r="F1272" s="63" t="str">
        <f t="shared" si="317"/>
        <v>Angelim Vermelho natural forest clear cut 1430 (kg/m3) wet</v>
      </c>
      <c r="G1272" s="64">
        <v>2.9899615102767267</v>
      </c>
      <c r="H1272" s="10">
        <f t="shared" si="304"/>
        <v>2.98996151</v>
      </c>
      <c r="I1272" s="65">
        <v>0.0027143555554999996</v>
      </c>
      <c r="J1272" s="65">
        <v>2.58167676671</v>
      </c>
      <c r="K1272" s="65">
        <v>0.011541248011227044</v>
      </c>
      <c r="L1272" s="65">
        <v>0.39402914</v>
      </c>
      <c r="N1272" s="66">
        <v>2.6268609333333335</v>
      </c>
      <c r="O1272" s="10">
        <f t="shared" si="305"/>
        <v>2.626860933</v>
      </c>
      <c r="Q1272" s="67">
        <v>24.599853</v>
      </c>
      <c r="S1272" s="68">
        <v>0.043756301</v>
      </c>
      <c r="T1272" s="68">
        <v>0.041601308</v>
      </c>
      <c r="U1272" s="68">
        <v>0.0020102265</v>
      </c>
      <c r="V1272" s="68">
        <v>1.4476687E-4</v>
      </c>
      <c r="X1272" s="69">
        <v>7.8682417E-5</v>
      </c>
      <c r="Y1272" s="88"/>
      <c r="Z1272" s="73" t="s">
        <v>1932</v>
      </c>
    </row>
    <row r="1273" ht="12.75" customHeight="1">
      <c r="A1273" s="1" t="s">
        <v>1934</v>
      </c>
      <c r="B1273" s="2" t="s">
        <v>1645</v>
      </c>
      <c r="C1273" s="60" t="str">
        <f t="shared" si="316"/>
        <v>A.160.07.103</v>
      </c>
      <c r="D1273" s="51" t="s">
        <v>1931</v>
      </c>
      <c r="E1273" s="62" t="s">
        <v>45</v>
      </c>
      <c r="F1273" s="63" t="str">
        <f t="shared" si="317"/>
        <v>Cumaru FSC/PEFC 1200 (kg/m3) wet</v>
      </c>
      <c r="G1273" s="64">
        <v>0.051761490929727046</v>
      </c>
      <c r="H1273" s="10">
        <f t="shared" si="304"/>
        <v>0.05176149093</v>
      </c>
      <c r="I1273" s="65">
        <v>0.0027143555554999996</v>
      </c>
      <c r="J1273" s="65">
        <v>0.005426748363</v>
      </c>
      <c r="K1273" s="65">
        <v>0.011541248011227044</v>
      </c>
      <c r="L1273" s="65">
        <v>0.032079139</v>
      </c>
      <c r="N1273" s="66">
        <v>0.21386092666666667</v>
      </c>
      <c r="O1273" s="10">
        <f t="shared" si="305"/>
        <v>0.2138609267</v>
      </c>
      <c r="Q1273" s="67">
        <v>24.599853</v>
      </c>
      <c r="S1273" s="68">
        <v>0.0045783973</v>
      </c>
      <c r="T1273" s="68">
        <v>0.0042503844</v>
      </c>
      <c r="U1273" s="68">
        <v>1.8324606E-4</v>
      </c>
      <c r="V1273" s="68">
        <v>1.4476687E-4</v>
      </c>
      <c r="X1273" s="69">
        <v>1.1401575E-5</v>
      </c>
      <c r="Y1273" s="88"/>
      <c r="Z1273" s="73" t="s">
        <v>1935</v>
      </c>
    </row>
    <row r="1274" ht="12.75" customHeight="1">
      <c r="A1274" s="1" t="s">
        <v>1936</v>
      </c>
      <c r="B1274" s="2" t="s">
        <v>1645</v>
      </c>
      <c r="C1274" s="60" t="str">
        <f t="shared" si="316"/>
        <v>A.160.07.104</v>
      </c>
      <c r="D1274" s="51" t="s">
        <v>1931</v>
      </c>
      <c r="E1274" s="62" t="s">
        <v>45</v>
      </c>
      <c r="F1274" s="63" t="str">
        <f t="shared" si="317"/>
        <v>Cumaru natural forest clear cut 1200 (kg/m3) wet</v>
      </c>
      <c r="G1274" s="64">
        <v>3.5445865102767264</v>
      </c>
      <c r="H1274" s="10">
        <f t="shared" si="304"/>
        <v>3.54458651</v>
      </c>
      <c r="I1274" s="65">
        <v>0.0027143555554999996</v>
      </c>
      <c r="J1274" s="65">
        <v>3.04540176671</v>
      </c>
      <c r="K1274" s="65">
        <v>0.011541248011227044</v>
      </c>
      <c r="L1274" s="65">
        <v>0.48492914</v>
      </c>
      <c r="N1274" s="66">
        <v>3.2328609333333334</v>
      </c>
      <c r="O1274" s="10">
        <f t="shared" si="305"/>
        <v>3.232860933</v>
      </c>
      <c r="Q1274" s="67">
        <v>24.599853</v>
      </c>
      <c r="S1274" s="68">
        <v>0.053595427</v>
      </c>
      <c r="T1274" s="68">
        <v>0.050981606</v>
      </c>
      <c r="U1274" s="68">
        <v>0.0024690538</v>
      </c>
      <c r="V1274" s="68">
        <v>1.4476687E-4</v>
      </c>
      <c r="X1274" s="69">
        <v>9.5579305E-5</v>
      </c>
      <c r="Y1274" s="88"/>
      <c r="Z1274" s="73" t="s">
        <v>1935</v>
      </c>
    </row>
    <row r="1275" ht="12.75" customHeight="1">
      <c r="A1275" s="1" t="s">
        <v>1937</v>
      </c>
      <c r="B1275" s="2" t="s">
        <v>1645</v>
      </c>
      <c r="C1275" s="60" t="str">
        <f t="shared" si="316"/>
        <v>A.160.07.105</v>
      </c>
      <c r="D1275" s="51" t="s">
        <v>1931</v>
      </c>
      <c r="E1275" s="62" t="s">
        <v>45</v>
      </c>
      <c r="F1275" s="63" t="str">
        <f t="shared" si="317"/>
        <v>Massaranduba FCS/PEFC 1200 (kg/m3) wet</v>
      </c>
      <c r="G1275" s="64">
        <v>0.051761490929727046</v>
      </c>
      <c r="H1275" s="10">
        <f t="shared" si="304"/>
        <v>0.05176149093</v>
      </c>
      <c r="I1275" s="65">
        <v>0.0027143555554999996</v>
      </c>
      <c r="J1275" s="65">
        <v>0.005426748363</v>
      </c>
      <c r="K1275" s="65">
        <v>0.011541248011227044</v>
      </c>
      <c r="L1275" s="65">
        <v>0.032079139</v>
      </c>
      <c r="N1275" s="66">
        <v>0.21386092666666667</v>
      </c>
      <c r="O1275" s="10">
        <f t="shared" si="305"/>
        <v>0.2138609267</v>
      </c>
      <c r="Q1275" s="67">
        <v>24.599853</v>
      </c>
      <c r="S1275" s="68">
        <v>0.0045783973</v>
      </c>
      <c r="T1275" s="68">
        <v>0.0042503844</v>
      </c>
      <c r="U1275" s="68">
        <v>1.8324606E-4</v>
      </c>
      <c r="V1275" s="68">
        <v>1.4476687E-4</v>
      </c>
      <c r="X1275" s="69">
        <v>1.1401575E-5</v>
      </c>
      <c r="Y1275" s="88"/>
      <c r="Z1275" s="73" t="s">
        <v>1938</v>
      </c>
    </row>
    <row r="1276" ht="12.75" customHeight="1">
      <c r="A1276" s="1" t="s">
        <v>1939</v>
      </c>
      <c r="B1276" s="2" t="s">
        <v>1645</v>
      </c>
      <c r="C1276" s="60" t="str">
        <f t="shared" si="316"/>
        <v>A.160.07.106</v>
      </c>
      <c r="D1276" s="51" t="s">
        <v>1931</v>
      </c>
      <c r="E1276" s="62" t="s">
        <v>45</v>
      </c>
      <c r="F1276" s="63" t="str">
        <f t="shared" si="317"/>
        <v>Massaranduba natural forest clear cut 1200 (kg/m3) wet</v>
      </c>
      <c r="G1276" s="64">
        <v>3.5445865102767264</v>
      </c>
      <c r="H1276" s="10">
        <f t="shared" si="304"/>
        <v>3.54458651</v>
      </c>
      <c r="I1276" s="65">
        <v>0.0027143555554999996</v>
      </c>
      <c r="J1276" s="65">
        <v>3.04540176671</v>
      </c>
      <c r="K1276" s="65">
        <v>0.011541248011227044</v>
      </c>
      <c r="L1276" s="65">
        <v>0.48492914</v>
      </c>
      <c r="N1276" s="66">
        <v>3.2328609333333334</v>
      </c>
      <c r="O1276" s="10">
        <f t="shared" si="305"/>
        <v>3.232860933</v>
      </c>
      <c r="Q1276" s="67">
        <v>24.599853</v>
      </c>
      <c r="S1276" s="68">
        <v>0.053595427</v>
      </c>
      <c r="T1276" s="68">
        <v>0.050981606</v>
      </c>
      <c r="U1276" s="68">
        <v>0.0024690538</v>
      </c>
      <c r="V1276" s="68">
        <v>1.4476687E-4</v>
      </c>
      <c r="X1276" s="69">
        <v>9.5579305E-5</v>
      </c>
      <c r="Y1276" s="88"/>
      <c r="Z1276" s="73" t="s">
        <v>1938</v>
      </c>
    </row>
    <row r="1277" ht="12.75" customHeight="1">
      <c r="A1277" s="1" t="s">
        <v>1940</v>
      </c>
      <c r="B1277" s="2" t="s">
        <v>1645</v>
      </c>
      <c r="C1277" s="60" t="str">
        <f t="shared" si="316"/>
        <v>A.160.07.107</v>
      </c>
      <c r="D1277" s="51" t="s">
        <v>1931</v>
      </c>
      <c r="E1277" s="62" t="s">
        <v>45</v>
      </c>
      <c r="F1277" s="63" t="str">
        <f t="shared" si="317"/>
        <v>Okan FSC/PEFC 1075 (kg/m3) wet</v>
      </c>
      <c r="G1277" s="64">
        <v>0.05085634318552704</v>
      </c>
      <c r="H1277" s="10">
        <f t="shared" si="304"/>
        <v>0.05085634319</v>
      </c>
      <c r="I1277" s="65">
        <v>0.0027043139923</v>
      </c>
      <c r="J1277" s="65">
        <v>0.005310529992</v>
      </c>
      <c r="K1277" s="65">
        <v>0.011256171201227043</v>
      </c>
      <c r="L1277" s="65">
        <v>0.031585328</v>
      </c>
      <c r="N1277" s="66">
        <v>0.21056885333333336</v>
      </c>
      <c r="O1277" s="10">
        <f t="shared" si="305"/>
        <v>0.2105688533</v>
      </c>
      <c r="Q1277" s="67">
        <v>24.556613</v>
      </c>
      <c r="S1277" s="68">
        <v>0.0044879499</v>
      </c>
      <c r="T1277" s="68">
        <v>0.0041660891</v>
      </c>
      <c r="U1277" s="68">
        <v>1.8011234E-4</v>
      </c>
      <c r="V1277" s="68">
        <v>1.4174849E-4</v>
      </c>
      <c r="X1277" s="69">
        <v>1.1224957E-5</v>
      </c>
      <c r="Y1277" s="88"/>
      <c r="Z1277" s="73" t="s">
        <v>1941</v>
      </c>
    </row>
    <row r="1278" ht="12.75" customHeight="1">
      <c r="A1278" s="1" t="s">
        <v>1942</v>
      </c>
      <c r="B1278" s="2" t="s">
        <v>1645</v>
      </c>
      <c r="C1278" s="60" t="str">
        <f t="shared" si="316"/>
        <v>A.160.07.108</v>
      </c>
      <c r="D1278" s="51" t="s">
        <v>1931</v>
      </c>
      <c r="E1278" s="62" t="s">
        <v>45</v>
      </c>
      <c r="F1278" s="63" t="str">
        <f t="shared" si="317"/>
        <v>Okan natural forest clear cut 1075 (kg/m3) wet</v>
      </c>
      <c r="G1278" s="64">
        <v>2.903733669413527</v>
      </c>
      <c r="H1278" s="10">
        <f t="shared" si="304"/>
        <v>2.903733669</v>
      </c>
      <c r="I1278" s="65">
        <v>0.0027043139923</v>
      </c>
      <c r="J1278" s="65">
        <v>2.41523785422</v>
      </c>
      <c r="K1278" s="65">
        <v>0.011256171201227043</v>
      </c>
      <c r="L1278" s="65">
        <v>0.47453533</v>
      </c>
      <c r="N1278" s="66">
        <v>3.1635688666666666</v>
      </c>
      <c r="O1278" s="10">
        <f t="shared" si="305"/>
        <v>3.163568867</v>
      </c>
      <c r="Q1278" s="67">
        <v>24.556613</v>
      </c>
      <c r="S1278" s="68">
        <v>0.052433391</v>
      </c>
      <c r="T1278" s="68">
        <v>0.049875694</v>
      </c>
      <c r="U1278" s="68">
        <v>0.0024159488</v>
      </c>
      <c r="V1278" s="68">
        <v>1.4174849E-4</v>
      </c>
      <c r="X1278" s="69">
        <v>9.3562432E-5</v>
      </c>
      <c r="Y1278" s="88"/>
      <c r="Z1278" s="73" t="s">
        <v>1941</v>
      </c>
    </row>
    <row r="1279" ht="12.75" customHeight="1">
      <c r="A1279" s="1" t="s">
        <v>1943</v>
      </c>
      <c r="B1279" s="2" t="s">
        <v>1645</v>
      </c>
      <c r="C1279" s="60" t="str">
        <f t="shared" si="316"/>
        <v>A.160.07.109</v>
      </c>
      <c r="D1279" s="51" t="s">
        <v>1931</v>
      </c>
      <c r="E1279" s="62" t="s">
        <v>45</v>
      </c>
      <c r="F1279" s="63" t="str">
        <f t="shared" si="317"/>
        <v>Sapupira FSC/PEFC 1075 (kg/m3) wet</v>
      </c>
      <c r="G1279" s="64">
        <v>0.051761490929727046</v>
      </c>
      <c r="H1279" s="10">
        <f t="shared" si="304"/>
        <v>0.05176149093</v>
      </c>
      <c r="I1279" s="65">
        <v>0.0027143555554999996</v>
      </c>
      <c r="J1279" s="65">
        <v>0.005426748363</v>
      </c>
      <c r="K1279" s="65">
        <v>0.011541248011227044</v>
      </c>
      <c r="L1279" s="65">
        <v>0.032079139</v>
      </c>
      <c r="N1279" s="66">
        <v>0.21386092666666667</v>
      </c>
      <c r="O1279" s="10">
        <f t="shared" si="305"/>
        <v>0.2138609267</v>
      </c>
      <c r="Q1279" s="67">
        <v>24.599853</v>
      </c>
      <c r="S1279" s="68">
        <v>0.0045783973</v>
      </c>
      <c r="T1279" s="68">
        <v>0.0042503844</v>
      </c>
      <c r="U1279" s="68">
        <v>1.8324606E-4</v>
      </c>
      <c r="V1279" s="68">
        <v>1.4476687E-4</v>
      </c>
      <c r="X1279" s="69">
        <v>1.1401575E-5</v>
      </c>
      <c r="Y1279" s="88"/>
      <c r="Z1279" s="73" t="s">
        <v>1944</v>
      </c>
    </row>
    <row r="1280" ht="12.75" customHeight="1">
      <c r="A1280" s="1" t="s">
        <v>1945</v>
      </c>
      <c r="B1280" s="2" t="s">
        <v>1645</v>
      </c>
      <c r="C1280" s="60" t="str">
        <f t="shared" si="316"/>
        <v>A.160.07.110</v>
      </c>
      <c r="D1280" s="51" t="s">
        <v>1931</v>
      </c>
      <c r="E1280" s="62" t="s">
        <v>45</v>
      </c>
      <c r="F1280" s="63" t="str">
        <f t="shared" si="317"/>
        <v>Sapupira natural forest clear cut 1075 (kg/m3) wet</v>
      </c>
      <c r="G1280" s="64">
        <v>3.8182615102767263</v>
      </c>
      <c r="H1280" s="10">
        <f t="shared" si="304"/>
        <v>3.81826151</v>
      </c>
      <c r="I1280" s="65">
        <v>0.0027143555554999996</v>
      </c>
      <c r="J1280" s="65">
        <v>3.4060767667099996</v>
      </c>
      <c r="K1280" s="65">
        <v>0.011541248011227044</v>
      </c>
      <c r="L1280" s="65">
        <v>0.39792914</v>
      </c>
      <c r="N1280" s="66">
        <v>2.6528609333333337</v>
      </c>
      <c r="O1280" s="10">
        <f t="shared" si="305"/>
        <v>2.652860933</v>
      </c>
      <c r="Q1280" s="67">
        <v>24.599853</v>
      </c>
      <c r="S1280" s="68">
        <v>0.044178442</v>
      </c>
      <c r="T1280" s="68">
        <v>0.042003763</v>
      </c>
      <c r="U1280" s="68">
        <v>0.0020299122</v>
      </c>
      <c r="V1280" s="68">
        <v>1.4476687E-4</v>
      </c>
      <c r="X1280" s="69">
        <v>7.9407366E-5</v>
      </c>
      <c r="Y1280" s="88"/>
      <c r="Z1280" s="73" t="s">
        <v>1944</v>
      </c>
    </row>
    <row r="1281" ht="12.75" customHeight="1">
      <c r="B1281" s="2"/>
      <c r="C1281" s="60"/>
      <c r="D1281" s="75" t="s">
        <v>1946</v>
      </c>
      <c r="E1281" s="62"/>
      <c r="G1281" s="10"/>
      <c r="H1281" s="10"/>
      <c r="I1281" s="10"/>
      <c r="J1281" s="10"/>
      <c r="K1281" s="10"/>
      <c r="L1281" s="10"/>
      <c r="N1281" s="10"/>
      <c r="O1281" s="10"/>
      <c r="Q1281" s="67"/>
    </row>
    <row r="1282" ht="12.75" customHeight="1">
      <c r="A1282" s="1" t="s">
        <v>1947</v>
      </c>
      <c r="B1282" s="2" t="s">
        <v>1645</v>
      </c>
      <c r="C1282" s="60" t="str">
        <f t="shared" ref="C1282:C1298" si="318">MID(A1282,1,12)</f>
        <v>A.160.09.101</v>
      </c>
      <c r="D1282" s="51" t="s">
        <v>1946</v>
      </c>
      <c r="E1282" s="62" t="s">
        <v>45</v>
      </c>
      <c r="F1282" s="63" t="str">
        <f t="shared" ref="F1282:F1298" si="319">MID(A1282, 21,85)</f>
        <v>Acetylated Radiata pine = durable wood, s.g. 515 kg/m3 (Netherlands)</v>
      </c>
      <c r="G1282" s="64">
        <v>0.34790186369</v>
      </c>
      <c r="H1282" s="10">
        <f t="shared" ref="H1282:H1298" si="320">G1282</f>
        <v>0.3479018637</v>
      </c>
      <c r="I1282" s="65">
        <v>0.04760193259</v>
      </c>
      <c r="J1282" s="65">
        <v>0.0643776011</v>
      </c>
      <c r="K1282" s="65">
        <v>0.0</v>
      </c>
      <c r="L1282" s="65">
        <v>0.23592233</v>
      </c>
      <c r="N1282" s="66">
        <v>1.5728155333333336</v>
      </c>
      <c r="O1282" s="10">
        <f t="shared" ref="O1282:O1298" si="321">N1282</f>
        <v>1.572815533</v>
      </c>
      <c r="Q1282" s="67">
        <v>48.482544</v>
      </c>
      <c r="S1282" s="68">
        <v>0.046778137</v>
      </c>
      <c r="T1282" s="68">
        <v>0.045049076</v>
      </c>
      <c r="U1282" s="68">
        <v>0.001612457</v>
      </c>
      <c r="V1282" s="68">
        <v>1.1660383E-4</v>
      </c>
      <c r="X1282" s="69">
        <v>7.9861747E-5</v>
      </c>
    </row>
    <row r="1283" ht="12.75" customHeight="1">
      <c r="A1283" s="1" t="s">
        <v>1948</v>
      </c>
      <c r="B1283" s="2" t="s">
        <v>1645</v>
      </c>
      <c r="C1283" s="60" t="str">
        <f t="shared" si="318"/>
        <v>A.160.09.102</v>
      </c>
      <c r="D1283" s="51" t="s">
        <v>1946</v>
      </c>
      <c r="E1283" s="62" t="s">
        <v>45</v>
      </c>
      <c r="F1283" s="63" t="str">
        <f t="shared" si="319"/>
        <v>Acetylated Scots pine = durable wood, s.g. 540 kg/m3 (Netherlands)</v>
      </c>
      <c r="G1283" s="64">
        <v>0.27337379926772515</v>
      </c>
      <c r="H1283" s="10">
        <f t="shared" si="320"/>
        <v>0.2733737993</v>
      </c>
      <c r="I1283" s="65">
        <v>0.04406316202</v>
      </c>
      <c r="J1283" s="65">
        <v>0.039200559508</v>
      </c>
      <c r="K1283" s="65">
        <v>-0.012983152260274862</v>
      </c>
      <c r="L1283" s="65">
        <v>0.20309323</v>
      </c>
      <c r="N1283" s="66">
        <v>1.3539548666666668</v>
      </c>
      <c r="O1283" s="10">
        <f t="shared" si="321"/>
        <v>1.353954867</v>
      </c>
      <c r="Q1283" s="67">
        <v>47.105982</v>
      </c>
      <c r="S1283" s="68">
        <v>0.035572799</v>
      </c>
      <c r="T1283" s="68">
        <v>0.034306339</v>
      </c>
      <c r="U1283" s="68">
        <v>0.0013044615</v>
      </c>
      <c r="V1283" s="68">
        <v>-3.8001224E-5</v>
      </c>
      <c r="X1283" s="69">
        <v>6.3588429E-5</v>
      </c>
    </row>
    <row r="1284" ht="12.75" customHeight="1">
      <c r="A1284" s="1" t="s">
        <v>1949</v>
      </c>
      <c r="B1284" s="2" t="s">
        <v>1645</v>
      </c>
      <c r="C1284" s="60" t="str">
        <f t="shared" si="318"/>
        <v>A.160.09.103</v>
      </c>
      <c r="D1284" s="51" t="s">
        <v>1946</v>
      </c>
      <c r="E1284" s="62" t="s">
        <v>45</v>
      </c>
      <c r="F1284" s="63" t="str">
        <f t="shared" si="319"/>
        <v>Bamboo (local at forest road China)</v>
      </c>
      <c r="G1284" s="64">
        <v>0.0308738921052</v>
      </c>
      <c r="H1284" s="10">
        <f t="shared" si="320"/>
        <v>0.03087389211</v>
      </c>
      <c r="I1284" s="65">
        <v>8.389898832000001E-4</v>
      </c>
      <c r="J1284" s="65">
        <v>0.00177901047</v>
      </c>
      <c r="K1284" s="65">
        <v>0.008238734752</v>
      </c>
      <c r="L1284" s="65">
        <v>0.020017157</v>
      </c>
      <c r="N1284" s="66">
        <v>0.13344771333333336</v>
      </c>
      <c r="O1284" s="10">
        <f t="shared" si="321"/>
        <v>0.1334477133</v>
      </c>
      <c r="Q1284" s="67">
        <v>23.163481</v>
      </c>
      <c r="S1284" s="68">
        <v>0.0025485779</v>
      </c>
      <c r="T1284" s="68">
        <v>0.0023413024</v>
      </c>
      <c r="U1284" s="68">
        <v>1.0680995E-4</v>
      </c>
      <c r="V1284" s="68">
        <v>1.0046552E-4</v>
      </c>
      <c r="X1284" s="69">
        <v>6.7791197E-6</v>
      </c>
    </row>
    <row r="1285" ht="12.75" customHeight="1">
      <c r="A1285" s="1" t="s">
        <v>1950</v>
      </c>
      <c r="B1285" s="2" t="s">
        <v>1645</v>
      </c>
      <c r="C1285" s="60" t="str">
        <f t="shared" si="318"/>
        <v>A.160.09.104</v>
      </c>
      <c r="D1285" s="51" t="s">
        <v>1946</v>
      </c>
      <c r="E1285" s="62" t="s">
        <v>45</v>
      </c>
      <c r="F1285" s="63" t="str">
        <f t="shared" si="319"/>
        <v>CCA wood (Scots pine with Cromium Copper and Asenic) incl EoL</v>
      </c>
      <c r="G1285" s="64">
        <v>1.3272861864113215</v>
      </c>
      <c r="H1285" s="10">
        <f t="shared" si="320"/>
        <v>1.327286186</v>
      </c>
      <c r="I1285" s="65">
        <v>1.05305384827</v>
      </c>
      <c r="J1285" s="65">
        <v>0.2080808205001</v>
      </c>
      <c r="K1285" s="65">
        <v>0.022391618641221318</v>
      </c>
      <c r="L1285" s="65">
        <v>0.043759899</v>
      </c>
      <c r="N1285" s="66">
        <v>0.29173266</v>
      </c>
      <c r="O1285" s="10">
        <f t="shared" si="321"/>
        <v>0.29173266</v>
      </c>
      <c r="Q1285" s="67">
        <v>25.230643</v>
      </c>
      <c r="S1285" s="68">
        <v>0.92039958</v>
      </c>
      <c r="T1285" s="68">
        <v>0.91987589</v>
      </c>
      <c r="U1285" s="68">
        <v>4.108811E-4</v>
      </c>
      <c r="V1285" s="68">
        <v>1.1280751E-4</v>
      </c>
      <c r="X1285" s="69">
        <v>9.2730859E-4</v>
      </c>
    </row>
    <row r="1286" ht="12.75" customHeight="1">
      <c r="A1286" s="1" t="s">
        <v>1951</v>
      </c>
      <c r="B1286" s="2" t="s">
        <v>1645</v>
      </c>
      <c r="C1286" s="60" t="str">
        <f t="shared" si="318"/>
        <v>A.160.09.105</v>
      </c>
      <c r="D1286" s="51" t="s">
        <v>1946</v>
      </c>
      <c r="E1286" s="62" t="s">
        <v>45</v>
      </c>
      <c r="F1286" s="63" t="str">
        <f t="shared" si="319"/>
        <v>Cork at factory gate in Portugal 150 kg/m3</v>
      </c>
      <c r="G1286" s="64">
        <v>0.08353117649719785</v>
      </c>
      <c r="H1286" s="10">
        <f t="shared" si="320"/>
        <v>0.0835311765</v>
      </c>
      <c r="I1286" s="65">
        <v>0.0044740345444</v>
      </c>
      <c r="J1286" s="65">
        <v>0.013002068241</v>
      </c>
      <c r="K1286" s="65">
        <v>0.02490090671179786</v>
      </c>
      <c r="L1286" s="65">
        <v>0.041154167</v>
      </c>
      <c r="N1286" s="66">
        <v>0.27436111333333335</v>
      </c>
      <c r="O1286" s="10">
        <f t="shared" si="321"/>
        <v>0.2743611133</v>
      </c>
      <c r="Q1286" s="67">
        <v>25.092626</v>
      </c>
      <c r="S1286" s="68">
        <v>0.0077898726</v>
      </c>
      <c r="T1286" s="68">
        <v>0.0072258103</v>
      </c>
      <c r="U1286" s="68">
        <v>2.7166057E-4</v>
      </c>
      <c r="V1286" s="68">
        <v>2.9240167E-4</v>
      </c>
      <c r="X1286" s="69">
        <v>1.6278839E-5</v>
      </c>
    </row>
    <row r="1287" ht="12.75" customHeight="1">
      <c r="A1287" s="1" t="s">
        <v>1952</v>
      </c>
      <c r="B1287" s="2" t="s">
        <v>1645</v>
      </c>
      <c r="C1287" s="60" t="str">
        <f t="shared" si="318"/>
        <v>A.160.09.106</v>
      </c>
      <c r="D1287" s="51" t="s">
        <v>1946</v>
      </c>
      <c r="E1287" s="62" t="s">
        <v>45</v>
      </c>
      <c r="F1287" s="63" t="str">
        <f t="shared" si="319"/>
        <v>Cork at forest road 150 kg/m3</v>
      </c>
      <c r="G1287" s="64">
        <v>0.059119844448117</v>
      </c>
      <c r="H1287" s="10">
        <f t="shared" si="320"/>
        <v>0.05911984445</v>
      </c>
      <c r="I1287" s="65">
        <v>0.001861729525498</v>
      </c>
      <c r="J1287" s="65">
        <v>0.009579614922619</v>
      </c>
      <c r="K1287" s="65">
        <v>0.01891</v>
      </c>
      <c r="L1287" s="65">
        <v>0.0287685</v>
      </c>
      <c r="N1287" s="66">
        <v>0.19179</v>
      </c>
      <c r="O1287" s="10">
        <f t="shared" si="321"/>
        <v>0.19179</v>
      </c>
      <c r="Q1287" s="67">
        <v>23.6798</v>
      </c>
      <c r="S1287" s="68">
        <v>0.0060086233</v>
      </c>
      <c r="T1287" s="68">
        <v>0.0056108271</v>
      </c>
      <c r="U1287" s="68">
        <v>1.9875446E-4</v>
      </c>
      <c r="V1287" s="68">
        <v>1.9904178E-4</v>
      </c>
      <c r="X1287" s="69">
        <v>1.1477917E-5</v>
      </c>
    </row>
    <row r="1288" ht="12.75" customHeight="1">
      <c r="A1288" s="1" t="s">
        <v>1953</v>
      </c>
      <c r="B1288" s="2" t="s">
        <v>1645</v>
      </c>
      <c r="C1288" s="60" t="str">
        <f t="shared" si="318"/>
        <v>A.160.09.107</v>
      </c>
      <c r="D1288" s="51" t="s">
        <v>1946</v>
      </c>
      <c r="E1288" s="62" t="s">
        <v>45</v>
      </c>
      <c r="F1288" s="63" t="str">
        <f t="shared" si="319"/>
        <v>Cork granulate 150 kg/m3</v>
      </c>
      <c r="G1288" s="64">
        <v>0.03956358819993965</v>
      </c>
      <c r="H1288" s="10">
        <f t="shared" si="320"/>
        <v>0.0395635882</v>
      </c>
      <c r="I1288" s="65">
        <v>0.0015386321581999998</v>
      </c>
      <c r="J1288" s="65">
        <v>0.0028657441722000003</v>
      </c>
      <c r="K1288" s="65">
        <v>0.006984237869539653</v>
      </c>
      <c r="L1288" s="65">
        <v>0.028174974</v>
      </c>
      <c r="N1288" s="66">
        <v>0.18783316</v>
      </c>
      <c r="O1288" s="10">
        <f t="shared" si="321"/>
        <v>0.18783316</v>
      </c>
      <c r="Q1288" s="67">
        <v>24.416349</v>
      </c>
      <c r="S1288" s="68">
        <v>0.0036116154</v>
      </c>
      <c r="T1288" s="68">
        <v>0.0033771524</v>
      </c>
      <c r="U1288" s="68">
        <v>1.5257585E-4</v>
      </c>
      <c r="V1288" s="68">
        <v>8.1887143E-5</v>
      </c>
      <c r="X1288" s="69">
        <v>9.6190896E-6</v>
      </c>
    </row>
    <row r="1289" ht="12.75" customHeight="1">
      <c r="A1289" s="1" t="s">
        <v>1954</v>
      </c>
      <c r="B1289" s="2" t="s">
        <v>1645</v>
      </c>
      <c r="C1289" s="60" t="str">
        <f t="shared" si="318"/>
        <v>A.160.09.108</v>
      </c>
      <c r="D1289" s="51" t="s">
        <v>1946</v>
      </c>
      <c r="E1289" s="62" t="s">
        <v>45</v>
      </c>
      <c r="F1289" s="63" t="str">
        <f t="shared" si="319"/>
        <v>Cork granulate glued = aggregate (e.g. slab for insulation) 150 kg/m3</v>
      </c>
      <c r="G1289" s="64">
        <v>0.2527363268448787</v>
      </c>
      <c r="H1289" s="10">
        <f t="shared" si="320"/>
        <v>0.2527363268</v>
      </c>
      <c r="I1289" s="65">
        <v>0.009447569757</v>
      </c>
      <c r="J1289" s="65">
        <v>0.09970984869229998</v>
      </c>
      <c r="K1289" s="65">
        <v>0.01997928839557869</v>
      </c>
      <c r="L1289" s="65">
        <v>0.12359962</v>
      </c>
      <c r="N1289" s="66">
        <v>0.8239974666666666</v>
      </c>
      <c r="O1289" s="10">
        <f t="shared" si="321"/>
        <v>0.8239974667</v>
      </c>
      <c r="Q1289" s="67">
        <v>35.114713</v>
      </c>
      <c r="S1289" s="68">
        <v>0.022738938</v>
      </c>
      <c r="T1289" s="68">
        <v>0.021355989</v>
      </c>
      <c r="U1289" s="68">
        <v>8.2442433E-4</v>
      </c>
      <c r="V1289" s="68">
        <v>5.5852468E-4</v>
      </c>
      <c r="X1289" s="69">
        <v>5.2292324E-5</v>
      </c>
    </row>
    <row r="1290" ht="12.75" customHeight="1">
      <c r="A1290" s="1" t="s">
        <v>1955</v>
      </c>
      <c r="B1290" s="2" t="s">
        <v>1645</v>
      </c>
      <c r="C1290" s="60" t="str">
        <f t="shared" si="318"/>
        <v>A.160.09.109</v>
      </c>
      <c r="D1290" s="51" t="s">
        <v>1946</v>
      </c>
      <c r="E1290" s="62" t="s">
        <v>45</v>
      </c>
      <c r="F1290" s="63" t="str">
        <f t="shared" si="319"/>
        <v>MDF at factury gate</v>
      </c>
      <c r="G1290" s="64">
        <v>0.18811903554774118</v>
      </c>
      <c r="H1290" s="10">
        <f t="shared" si="320"/>
        <v>0.1881190355</v>
      </c>
      <c r="I1290" s="65">
        <v>0.008971499635000001</v>
      </c>
      <c r="J1290" s="65">
        <v>0.07529744543299999</v>
      </c>
      <c r="K1290" s="65">
        <v>0.01047034847974119</v>
      </c>
      <c r="L1290" s="65">
        <v>0.093379742</v>
      </c>
      <c r="N1290" s="66">
        <v>0.6225316133333334</v>
      </c>
      <c r="O1290" s="10">
        <f t="shared" si="321"/>
        <v>0.6225316133</v>
      </c>
      <c r="Q1290" s="67">
        <v>29.863566</v>
      </c>
      <c r="S1290" s="68">
        <v>0.017528659</v>
      </c>
      <c r="T1290" s="68">
        <v>0.01641405</v>
      </c>
      <c r="U1290" s="68">
        <v>6.3343793E-4</v>
      </c>
      <c r="V1290" s="68">
        <v>4.8117105E-4</v>
      </c>
      <c r="X1290" s="69">
        <v>3.8869127E-5</v>
      </c>
    </row>
    <row r="1291" ht="12.75" customHeight="1">
      <c r="A1291" s="1" t="s">
        <v>1956</v>
      </c>
      <c r="B1291" s="2" t="s">
        <v>1645</v>
      </c>
      <c r="C1291" s="60" t="str">
        <f t="shared" si="318"/>
        <v>A.160.09.110</v>
      </c>
      <c r="D1291" s="51" t="s">
        <v>1946</v>
      </c>
      <c r="E1291" s="62" t="s">
        <v>45</v>
      </c>
      <c r="F1291" s="63" t="str">
        <f t="shared" si="319"/>
        <v>Particle board  standard (Rotterdam)</v>
      </c>
      <c r="G1291" s="64">
        <v>0.20090705315265567</v>
      </c>
      <c r="H1291" s="10">
        <f t="shared" si="320"/>
        <v>0.2009070532</v>
      </c>
      <c r="I1291" s="65">
        <v>0.009674350155</v>
      </c>
      <c r="J1291" s="65">
        <v>0.077008414806</v>
      </c>
      <c r="K1291" s="65">
        <v>0.014091258191655676</v>
      </c>
      <c r="L1291" s="65">
        <v>0.10013303</v>
      </c>
      <c r="N1291" s="66">
        <v>0.6675535333333333</v>
      </c>
      <c r="O1291" s="10">
        <f t="shared" si="321"/>
        <v>0.6675535333</v>
      </c>
      <c r="Q1291" s="67">
        <v>30.53356</v>
      </c>
      <c r="S1291" s="68">
        <v>0.018648846</v>
      </c>
      <c r="T1291" s="68">
        <v>0.017447237</v>
      </c>
      <c r="U1291" s="68">
        <v>6.7493017E-4</v>
      </c>
      <c r="V1291" s="68">
        <v>5.2667942E-4</v>
      </c>
      <c r="X1291" s="69">
        <v>4.1373421E-5</v>
      </c>
    </row>
    <row r="1292" ht="12.75" customHeight="1">
      <c r="A1292" s="1" t="s">
        <v>1957</v>
      </c>
      <c r="B1292" s="2" t="s">
        <v>1645</v>
      </c>
      <c r="C1292" s="60" t="str">
        <f t="shared" si="318"/>
        <v>A.160.09.111</v>
      </c>
      <c r="D1292" s="51" t="s">
        <v>1946</v>
      </c>
      <c r="E1292" s="62" t="s">
        <v>45</v>
      </c>
      <c r="F1292" s="63" t="str">
        <f t="shared" si="319"/>
        <v>Particle board biodegradable at factury gate</v>
      </c>
      <c r="G1292" s="64">
        <v>0.1530037268297412</v>
      </c>
      <c r="H1292" s="10">
        <f t="shared" si="320"/>
        <v>0.1530037268</v>
      </c>
      <c r="I1292" s="65">
        <v>0.006128065072</v>
      </c>
      <c r="J1292" s="65">
        <v>0.009743522798</v>
      </c>
      <c r="K1292" s="65">
        <v>0.011051058959741188</v>
      </c>
      <c r="L1292" s="65">
        <v>0.12608108</v>
      </c>
      <c r="N1292" s="66">
        <v>0.8405405333333335</v>
      </c>
      <c r="O1292" s="10">
        <f t="shared" si="321"/>
        <v>0.8405405333</v>
      </c>
      <c r="Q1292" s="67">
        <v>35.407647</v>
      </c>
      <c r="S1292" s="68">
        <v>0.015788629</v>
      </c>
      <c r="T1292" s="68">
        <v>0.014421474</v>
      </c>
      <c r="U1292" s="68">
        <v>6.6872069E-4</v>
      </c>
      <c r="V1292" s="68">
        <v>6.984347E-4</v>
      </c>
      <c r="X1292" s="69">
        <v>4.1668064E-5</v>
      </c>
    </row>
    <row r="1293" ht="12.75" customHeight="1">
      <c r="A1293" s="1" t="s">
        <v>1958</v>
      </c>
      <c r="B1293" s="2" t="s">
        <v>1645</v>
      </c>
      <c r="C1293" s="60" t="str">
        <f t="shared" si="318"/>
        <v>A.160.09.112</v>
      </c>
      <c r="D1293" s="51" t="s">
        <v>1946</v>
      </c>
      <c r="E1293" s="62" t="s">
        <v>45</v>
      </c>
      <c r="F1293" s="63" t="str">
        <f t="shared" si="319"/>
        <v>Particle board high humidity P5 (Rotterdam)</v>
      </c>
      <c r="G1293" s="64">
        <v>0.24085646454900825</v>
      </c>
      <c r="H1293" s="10">
        <f t="shared" si="320"/>
        <v>0.2408564645</v>
      </c>
      <c r="I1293" s="65">
        <v>0.011229054759</v>
      </c>
      <c r="J1293" s="65">
        <v>0.082274573259</v>
      </c>
      <c r="K1293" s="65">
        <v>0.025867556531008234</v>
      </c>
      <c r="L1293" s="65">
        <v>0.12148528</v>
      </c>
      <c r="N1293" s="66">
        <v>0.8099018666666667</v>
      </c>
      <c r="O1293" s="10">
        <f t="shared" si="321"/>
        <v>0.8099018667</v>
      </c>
      <c r="Q1293" s="67">
        <v>32.559073</v>
      </c>
      <c r="S1293" s="68">
        <v>0.022328429</v>
      </c>
      <c r="T1293" s="68">
        <v>0.020855127</v>
      </c>
      <c r="U1293" s="68">
        <v>8.0772866E-4</v>
      </c>
      <c r="V1293" s="68">
        <v>6.655734E-4</v>
      </c>
      <c r="X1293" s="69">
        <v>4.9186469E-5</v>
      </c>
    </row>
    <row r="1294" ht="12.75" customHeight="1">
      <c r="A1294" s="1" t="s">
        <v>1959</v>
      </c>
      <c r="B1294" s="2" t="s">
        <v>1645</v>
      </c>
      <c r="C1294" s="60" t="str">
        <f t="shared" si="318"/>
        <v>A.160.09.113</v>
      </c>
      <c r="D1294" s="51" t="s">
        <v>1946</v>
      </c>
      <c r="E1294" s="62" t="s">
        <v>45</v>
      </c>
      <c r="F1294" s="63" t="str">
        <f t="shared" si="319"/>
        <v>Plato wood = thermal treated European Spruce s.g. 420 kg/m3</v>
      </c>
      <c r="G1294" s="64">
        <v>0.08545751335031257</v>
      </c>
      <c r="H1294" s="10">
        <f t="shared" si="320"/>
        <v>0.08545751335</v>
      </c>
      <c r="I1294" s="65">
        <v>0.0035215196819999997</v>
      </c>
      <c r="J1294" s="65">
        <v>0.008421899537</v>
      </c>
      <c r="K1294" s="65">
        <v>0.013500213131312567</v>
      </c>
      <c r="L1294" s="65">
        <v>0.060013881</v>
      </c>
      <c r="N1294" s="66">
        <v>0.40009254</v>
      </c>
      <c r="O1294" s="10">
        <f t="shared" si="321"/>
        <v>0.40009254</v>
      </c>
      <c r="Q1294" s="67">
        <v>30.833383</v>
      </c>
      <c r="S1294" s="68">
        <v>0.0079296713</v>
      </c>
      <c r="T1294" s="68">
        <v>0.0073211038</v>
      </c>
      <c r="U1294" s="68">
        <v>3.4630202E-4</v>
      </c>
      <c r="V1294" s="68">
        <v>2.6226545E-4</v>
      </c>
      <c r="X1294" s="69">
        <v>2.0478658E-5</v>
      </c>
    </row>
    <row r="1295" ht="12.75" customHeight="1">
      <c r="A1295" s="1" t="s">
        <v>1960</v>
      </c>
      <c r="B1295" s="2" t="s">
        <v>1645</v>
      </c>
      <c r="C1295" s="60" t="str">
        <f t="shared" si="318"/>
        <v>A.160.09.114</v>
      </c>
      <c r="D1295" s="51" t="s">
        <v>1946</v>
      </c>
      <c r="E1295" s="62" t="s">
        <v>45</v>
      </c>
      <c r="F1295" s="63" t="str">
        <f t="shared" si="319"/>
        <v>Plywood Bamboo (density approx 700 kg/m3)</v>
      </c>
      <c r="G1295" s="64">
        <v>0.1219465821008204</v>
      </c>
      <c r="H1295" s="10">
        <f t="shared" si="320"/>
        <v>0.1219465821</v>
      </c>
      <c r="I1295" s="65">
        <v>0.011252338324</v>
      </c>
      <c r="J1295" s="65">
        <v>0.045330588463</v>
      </c>
      <c r="K1295" s="65">
        <v>0.03832141631382042</v>
      </c>
      <c r="L1295" s="65">
        <v>0.027042239</v>
      </c>
      <c r="N1295" s="66">
        <v>0.18028159333333332</v>
      </c>
      <c r="O1295" s="10">
        <f t="shared" si="321"/>
        <v>0.1802815933</v>
      </c>
      <c r="Q1295" s="67">
        <v>14.991451</v>
      </c>
      <c r="S1295" s="68">
        <v>0.008936295</v>
      </c>
      <c r="T1295" s="68">
        <v>0.0080930634</v>
      </c>
      <c r="U1295" s="68">
        <v>2.6030466E-4</v>
      </c>
      <c r="V1295" s="68">
        <v>5.8292689E-4</v>
      </c>
      <c r="X1295" s="69">
        <v>2.9191014E-5</v>
      </c>
    </row>
    <row r="1296" ht="12.75" customHeight="1">
      <c r="A1296" s="1" t="s">
        <v>1961</v>
      </c>
      <c r="B1296" s="2" t="s">
        <v>1645</v>
      </c>
      <c r="C1296" s="60" t="str">
        <f t="shared" si="318"/>
        <v>A.160.09.115</v>
      </c>
      <c r="D1296" s="51" t="s">
        <v>1946</v>
      </c>
      <c r="E1296" s="62" t="s">
        <v>45</v>
      </c>
      <c r="F1296" s="63" t="str">
        <f t="shared" si="319"/>
        <v>Plywood (softwood 600 kg/m3) - indoor use</v>
      </c>
      <c r="G1296" s="64">
        <v>0.2080480522112939</v>
      </c>
      <c r="H1296" s="10">
        <f t="shared" si="320"/>
        <v>0.2080480522</v>
      </c>
      <c r="I1296" s="65">
        <v>0.009470189327999999</v>
      </c>
      <c r="J1296" s="65">
        <v>0.0918834779119</v>
      </c>
      <c r="K1296" s="65">
        <v>0.015404687971393903</v>
      </c>
      <c r="L1296" s="65">
        <v>0.091289697</v>
      </c>
      <c r="N1296" s="66">
        <v>0.6085979800000001</v>
      </c>
      <c r="O1296" s="10">
        <f t="shared" si="321"/>
        <v>0.60859798</v>
      </c>
      <c r="Q1296" s="67">
        <v>29.338148</v>
      </c>
      <c r="S1296" s="68">
        <v>0.01900566</v>
      </c>
      <c r="T1296" s="68">
        <v>0.017934484</v>
      </c>
      <c r="U1296" s="68">
        <v>6.6185813E-4</v>
      </c>
      <c r="V1296" s="68">
        <v>4.0931841E-4</v>
      </c>
      <c r="X1296" s="69">
        <v>4.0233435E-5</v>
      </c>
    </row>
    <row r="1297" ht="12.75" customHeight="1">
      <c r="A1297" s="1" t="s">
        <v>1962</v>
      </c>
      <c r="B1297" s="2" t="s">
        <v>1645</v>
      </c>
      <c r="C1297" s="60" t="str">
        <f t="shared" si="318"/>
        <v>A.160.09.116</v>
      </c>
      <c r="D1297" s="51" t="s">
        <v>1946</v>
      </c>
      <c r="E1297" s="62" t="s">
        <v>45</v>
      </c>
      <c r="F1297" s="63" t="str">
        <f t="shared" si="319"/>
        <v>Plywood Okoumei plantation (500 kg/m3) - marine and outdoor use</v>
      </c>
      <c r="G1297" s="64">
        <v>0.3019726837710587</v>
      </c>
      <c r="H1297" s="10">
        <f t="shared" si="320"/>
        <v>0.3019726838</v>
      </c>
      <c r="I1297" s="65">
        <v>0.008999401852</v>
      </c>
      <c r="J1297" s="65">
        <v>0.1441012833</v>
      </c>
      <c r="K1297" s="65">
        <v>0.021788808619058717</v>
      </c>
      <c r="L1297" s="65">
        <v>0.12708319</v>
      </c>
      <c r="N1297" s="66">
        <v>0.8472212666666668</v>
      </c>
      <c r="O1297" s="10">
        <f t="shared" si="321"/>
        <v>0.8472212667</v>
      </c>
      <c r="Q1297" s="67">
        <v>36.119656</v>
      </c>
      <c r="S1297" s="68">
        <v>0.028047095</v>
      </c>
      <c r="T1297" s="68">
        <v>0.026225004</v>
      </c>
      <c r="U1297" s="68">
        <v>9.4592731E-4</v>
      </c>
      <c r="V1297" s="68">
        <v>8.7616368E-4</v>
      </c>
      <c r="X1297" s="69">
        <v>6.201096E-5</v>
      </c>
    </row>
    <row r="1298" ht="12.75" customHeight="1">
      <c r="A1298" s="1" t="s">
        <v>1963</v>
      </c>
      <c r="B1298" s="2" t="s">
        <v>1645</v>
      </c>
      <c r="C1298" s="60" t="str">
        <f t="shared" si="318"/>
        <v>A.160.09.117</v>
      </c>
      <c r="D1298" s="51" t="s">
        <v>1946</v>
      </c>
      <c r="E1298" s="62" t="s">
        <v>45</v>
      </c>
      <c r="F1298" s="63" t="str">
        <f t="shared" si="319"/>
        <v>Particle board Recycled from "A-wood" (Rotterdam)</v>
      </c>
      <c r="G1298" s="90">
        <v>0.16676642711265569</v>
      </c>
      <c r="H1298" s="10">
        <f t="shared" si="320"/>
        <v>0.1667664271</v>
      </c>
      <c r="I1298" s="91">
        <v>0.008127514687</v>
      </c>
      <c r="J1298" s="91">
        <v>0.057604261734000003</v>
      </c>
      <c r="K1298" s="91">
        <v>0.011905670691655677</v>
      </c>
      <c r="L1298" s="91">
        <v>0.08912898</v>
      </c>
      <c r="N1298" s="66">
        <v>0.5941932</v>
      </c>
      <c r="O1298" s="10">
        <f t="shared" si="321"/>
        <v>0.5941932</v>
      </c>
      <c r="Q1298" s="92">
        <v>29.479332</v>
      </c>
      <c r="S1298" s="68">
        <v>0.015520672</v>
      </c>
      <c r="T1298" s="68">
        <v>0.014491894</v>
      </c>
      <c r="U1298" s="68">
        <v>5.7672936E-4</v>
      </c>
      <c r="V1298" s="68">
        <v>4.520487E-4</v>
      </c>
      <c r="X1298" s="93">
        <v>3.5595192E-5</v>
      </c>
    </row>
    <row r="1299" ht="12.75" customHeight="1">
      <c r="B1299" s="2"/>
      <c r="C1299" s="60"/>
      <c r="D1299" s="75" t="s">
        <v>1964</v>
      </c>
      <c r="E1299" s="62"/>
      <c r="G1299" s="10"/>
      <c r="H1299" s="10"/>
      <c r="I1299" s="10"/>
      <c r="J1299" s="10"/>
      <c r="K1299" s="10"/>
      <c r="L1299" s="10"/>
      <c r="N1299" s="10"/>
      <c r="O1299" s="10"/>
      <c r="Q1299" s="67"/>
    </row>
    <row r="1300" ht="12.75" customHeight="1">
      <c r="B1300" s="2"/>
      <c r="C1300" s="60"/>
      <c r="D1300" s="75" t="s">
        <v>1965</v>
      </c>
      <c r="E1300" s="62"/>
      <c r="G1300" s="10"/>
      <c r="H1300" s="10"/>
      <c r="I1300" s="10"/>
      <c r="J1300" s="10"/>
      <c r="K1300" s="10"/>
      <c r="L1300" s="10"/>
      <c r="N1300" s="10"/>
      <c r="O1300" s="10"/>
      <c r="Q1300" s="67"/>
    </row>
    <row r="1301" ht="12.75" customHeight="1">
      <c r="A1301" s="1" t="s">
        <v>1966</v>
      </c>
      <c r="B1301" s="2" t="s">
        <v>1967</v>
      </c>
      <c r="C1301" s="60" t="str">
        <f t="shared" ref="C1301:C1308" si="322">MID(A1301,1,12)</f>
        <v>B.030.01.101</v>
      </c>
      <c r="D1301" s="51" t="s">
        <v>1965</v>
      </c>
      <c r="E1301" s="62" t="s">
        <v>896</v>
      </c>
      <c r="F1301" s="63" t="str">
        <f t="shared" ref="F1301:F1308" si="323">MID(A1301, 21,85)</f>
        <v>Electricity coal EU - US - China 38% efficiency</v>
      </c>
      <c r="G1301" s="64">
        <v>0.05661696197148</v>
      </c>
      <c r="H1301" s="10">
        <f t="shared" ref="H1301:H1308" si="324">G1301</f>
        <v>0.05661696197</v>
      </c>
      <c r="I1301" s="65">
        <v>0.00397570745168</v>
      </c>
      <c r="J1301" s="65">
        <v>0.0111266988372</v>
      </c>
      <c r="K1301" s="65">
        <v>4.072686826E-4</v>
      </c>
      <c r="L1301" s="65">
        <v>0.041107287</v>
      </c>
      <c r="N1301" s="66">
        <v>0.27404858</v>
      </c>
      <c r="O1301" s="10">
        <f t="shared" ref="O1301:O1308" si="325">N1301</f>
        <v>0.27404858</v>
      </c>
      <c r="Q1301" s="67">
        <v>3.5214434</v>
      </c>
      <c r="S1301" s="68">
        <v>0.0073058783</v>
      </c>
      <c r="T1301" s="68">
        <v>0.0069754643</v>
      </c>
      <c r="U1301" s="68">
        <v>2.8163944E-4</v>
      </c>
      <c r="V1301" s="68">
        <v>4.8774569E-5</v>
      </c>
      <c r="X1301" s="69">
        <v>1.6082836E-5</v>
      </c>
    </row>
    <row r="1302" ht="12.75" customHeight="1">
      <c r="A1302" s="1" t="s">
        <v>1968</v>
      </c>
      <c r="B1302" s="2" t="s">
        <v>1967</v>
      </c>
      <c r="C1302" s="60" t="str">
        <f t="shared" si="322"/>
        <v>B.030.01.102</v>
      </c>
      <c r="D1302" s="51" t="s">
        <v>1965</v>
      </c>
      <c r="E1302" s="62" t="s">
        <v>896</v>
      </c>
      <c r="F1302" s="63" t="str">
        <f t="shared" si="323"/>
        <v>Electricity from offshore windmill (5MW  capacity factor 0.47)</v>
      </c>
      <c r="G1302" s="64">
        <v>9.054893383644759E-4</v>
      </c>
      <c r="H1302" s="10">
        <f t="shared" si="324"/>
        <v>0.0009054893384</v>
      </c>
      <c r="I1302" s="65">
        <v>3.81513472E-5</v>
      </c>
      <c r="J1302" s="65">
        <v>1.24712042864E-4</v>
      </c>
      <c r="K1302" s="65">
        <v>2.9533692830047587E-4</v>
      </c>
      <c r="L1302" s="65">
        <v>4.4728902E-4</v>
      </c>
      <c r="N1302" s="66">
        <v>0.0029819268</v>
      </c>
      <c r="O1302" s="10">
        <f t="shared" si="325"/>
        <v>0.0029819268</v>
      </c>
      <c r="Q1302" s="67">
        <v>1.0348381</v>
      </c>
      <c r="S1302" s="68">
        <v>7.4552327E-5</v>
      </c>
      <c r="T1302" s="68">
        <v>6.9444595E-5</v>
      </c>
      <c r="U1302" s="68">
        <v>2.6140848E-6</v>
      </c>
      <c r="V1302" s="68">
        <v>2.4936477E-6</v>
      </c>
      <c r="X1302" s="69">
        <v>1.8827314E-7</v>
      </c>
    </row>
    <row r="1303" ht="12.75" customHeight="1">
      <c r="A1303" s="1" t="s">
        <v>1969</v>
      </c>
      <c r="B1303" s="2" t="s">
        <v>1967</v>
      </c>
      <c r="C1303" s="60" t="str">
        <f t="shared" si="322"/>
        <v>B.030.01.103</v>
      </c>
      <c r="D1303" s="51" t="s">
        <v>1965</v>
      </c>
      <c r="E1303" s="62" t="s">
        <v>896</v>
      </c>
      <c r="F1303" s="63" t="str">
        <f t="shared" si="323"/>
        <v>Electricity gas EU - US - China 60% efficiency</v>
      </c>
      <c r="G1303" s="64">
        <v>0.03153678375262229</v>
      </c>
      <c r="H1303" s="10">
        <f t="shared" si="324"/>
        <v>0.03153678375</v>
      </c>
      <c r="I1303" s="65">
        <v>0.0034593299659</v>
      </c>
      <c r="J1303" s="65">
        <v>0.0030322770682499997</v>
      </c>
      <c r="K1303" s="65">
        <v>5.748757184722887E-4</v>
      </c>
      <c r="L1303" s="65">
        <v>0.024470301</v>
      </c>
      <c r="N1303" s="66">
        <v>0.16313534000000002</v>
      </c>
      <c r="O1303" s="10">
        <f t="shared" si="325"/>
        <v>0.16313534</v>
      </c>
      <c r="Q1303" s="67">
        <v>1.4134336</v>
      </c>
      <c r="S1303" s="68">
        <v>0.0035258606</v>
      </c>
      <c r="T1303" s="68">
        <v>0.0032936649</v>
      </c>
      <c r="U1303" s="68">
        <v>1.4235881E-4</v>
      </c>
      <c r="V1303" s="68">
        <v>8.983684E-5</v>
      </c>
      <c r="X1303" s="69">
        <v>8.5753126E-6</v>
      </c>
    </row>
    <row r="1304" ht="12.75" customHeight="1">
      <c r="A1304" s="1" t="s">
        <v>1970</v>
      </c>
      <c r="B1304" s="2" t="s">
        <v>1967</v>
      </c>
      <c r="C1304" s="60" t="str">
        <f t="shared" si="322"/>
        <v>B.030.01.104</v>
      </c>
      <c r="D1304" s="51" t="s">
        <v>1965</v>
      </c>
      <c r="E1304" s="62" t="s">
        <v>896</v>
      </c>
      <c r="F1304" s="63" t="str">
        <f t="shared" si="323"/>
        <v>Electricity nuclear (US)</v>
      </c>
      <c r="G1304" s="64">
        <v>0.025692443346754423</v>
      </c>
      <c r="H1304" s="10">
        <f t="shared" si="324"/>
        <v>0.02569244335</v>
      </c>
      <c r="I1304" s="65">
        <v>9.472921611E-5</v>
      </c>
      <c r="J1304" s="65">
        <v>5.987043876050001E-4</v>
      </c>
      <c r="K1304" s="65">
        <v>0.024629981613039423</v>
      </c>
      <c r="L1304" s="65">
        <v>3.6902813E-4</v>
      </c>
      <c r="N1304" s="66">
        <v>0.0024601875333333336</v>
      </c>
      <c r="O1304" s="10">
        <f t="shared" si="325"/>
        <v>0.002460187533</v>
      </c>
      <c r="Q1304" s="67">
        <v>3.0926809</v>
      </c>
      <c r="S1304" s="68">
        <v>1.9991757E-4</v>
      </c>
      <c r="T1304" s="68">
        <v>1.9332951E-4</v>
      </c>
      <c r="U1304" s="68">
        <v>5.1076831E-6</v>
      </c>
      <c r="V1304" s="68">
        <v>1.4803829E-6</v>
      </c>
      <c r="X1304" s="69">
        <v>4.1989648E-6</v>
      </c>
    </row>
    <row r="1305" ht="12.75" customHeight="1">
      <c r="A1305" s="1" t="s">
        <v>1971</v>
      </c>
      <c r="B1305" s="2" t="s">
        <v>1967</v>
      </c>
      <c r="C1305" s="60" t="str">
        <f t="shared" si="322"/>
        <v>B.030.01.105</v>
      </c>
      <c r="D1305" s="51" t="s">
        <v>1965</v>
      </c>
      <c r="E1305" s="62" t="s">
        <v>896</v>
      </c>
      <c r="F1305" s="63" t="str">
        <f t="shared" si="323"/>
        <v>Electricity oil EU - US - China  45% efficiency</v>
      </c>
      <c r="G1305" s="64">
        <v>0.0461658872864341</v>
      </c>
      <c r="H1305" s="10">
        <f t="shared" si="324"/>
        <v>0.04616588729</v>
      </c>
      <c r="I1305" s="65">
        <v>0.0026919380072721</v>
      </c>
      <c r="J1305" s="65">
        <v>0.00893437498944</v>
      </c>
      <c r="K1305" s="65">
        <v>8.8741289722E-5</v>
      </c>
      <c r="L1305" s="65">
        <v>0.034450833</v>
      </c>
      <c r="N1305" s="66">
        <v>0.22967222</v>
      </c>
      <c r="O1305" s="10">
        <f t="shared" si="325"/>
        <v>0.22967222</v>
      </c>
      <c r="Q1305" s="67">
        <v>2.6079777</v>
      </c>
      <c r="S1305" s="68">
        <v>0.0067270095</v>
      </c>
      <c r="T1305" s="68">
        <v>0.0063141936</v>
      </c>
      <c r="U1305" s="68">
        <v>2.2748606E-4</v>
      </c>
      <c r="V1305" s="68">
        <v>1.8532985E-4</v>
      </c>
      <c r="X1305" s="69">
        <v>1.3503693E-5</v>
      </c>
    </row>
    <row r="1306" ht="12.75" customHeight="1">
      <c r="A1306" s="1" t="s">
        <v>1972</v>
      </c>
      <c r="B1306" s="2" t="s">
        <v>1967</v>
      </c>
      <c r="C1306" s="60" t="str">
        <f t="shared" si="322"/>
        <v>B.030.01.106</v>
      </c>
      <c r="D1306" s="51" t="s">
        <v>1965</v>
      </c>
      <c r="E1306" s="62" t="s">
        <v>896</v>
      </c>
      <c r="F1306" s="63" t="str">
        <f t="shared" si="323"/>
        <v>Electricity from Hydropower (Norway)</v>
      </c>
      <c r="G1306" s="64">
        <v>5.1091195956E-4</v>
      </c>
      <c r="H1306" s="10">
        <f t="shared" si="324"/>
        <v>0.0005109119596</v>
      </c>
      <c r="I1306" s="65">
        <v>8.54992206E-6</v>
      </c>
      <c r="J1306" s="65">
        <v>4.4144156E-6</v>
      </c>
      <c r="K1306" s="65">
        <v>1.979476219E-4</v>
      </c>
      <c r="L1306" s="65">
        <v>3.0E-4</v>
      </c>
      <c r="N1306" s="66">
        <v>0.002</v>
      </c>
      <c r="O1306" s="10">
        <f t="shared" si="325"/>
        <v>0.002</v>
      </c>
      <c r="Q1306" s="67">
        <v>1.0094181</v>
      </c>
      <c r="S1306" s="68">
        <v>3.4814045E-5</v>
      </c>
      <c r="T1306" s="68">
        <v>3.2592941E-5</v>
      </c>
      <c r="U1306" s="68">
        <v>1.5146392E-6</v>
      </c>
      <c r="V1306" s="68">
        <v>7.0646436E-7</v>
      </c>
      <c r="X1306" s="69">
        <v>7.4691079E-8</v>
      </c>
    </row>
    <row r="1307" ht="12.75" customHeight="1">
      <c r="A1307" s="1" t="s">
        <v>1973</v>
      </c>
      <c r="B1307" s="2" t="s">
        <v>1967</v>
      </c>
      <c r="C1307" s="60" t="str">
        <f t="shared" si="322"/>
        <v>B.030.01.107</v>
      </c>
      <c r="D1307" s="51" t="s">
        <v>1965</v>
      </c>
      <c r="E1307" s="62" t="s">
        <v>896</v>
      </c>
      <c r="F1307" s="63" t="str">
        <f t="shared" si="323"/>
        <v>Electricity from PV panel  Mono-Si (irradiation 1100 kWh per m2 ) in MJ</v>
      </c>
      <c r="G1307" s="64">
        <v>9.723305203328E-4</v>
      </c>
      <c r="H1307" s="10">
        <f t="shared" si="324"/>
        <v>0.0009723305203</v>
      </c>
      <c r="I1307" s="65">
        <v>3.869060861E-5</v>
      </c>
      <c r="J1307" s="65">
        <v>1.4613620181000002E-4</v>
      </c>
      <c r="K1307" s="65">
        <v>3.0201413991279996E-4</v>
      </c>
      <c r="L1307" s="65">
        <v>4.8548957E-4</v>
      </c>
      <c r="N1307" s="66">
        <v>0.0032365971333333334</v>
      </c>
      <c r="O1307" s="10">
        <f t="shared" si="325"/>
        <v>0.003236597133</v>
      </c>
      <c r="Q1307" s="67">
        <v>1.0468103</v>
      </c>
      <c r="S1307" s="68">
        <v>8.6863922E-5</v>
      </c>
      <c r="T1307" s="68">
        <v>8.1404915E-5</v>
      </c>
      <c r="U1307" s="68">
        <v>2.9643915E-6</v>
      </c>
      <c r="V1307" s="68">
        <v>2.4946162E-6</v>
      </c>
      <c r="X1307" s="69">
        <v>4.5522167E-7</v>
      </c>
    </row>
    <row r="1308" ht="12.75" customHeight="1">
      <c r="A1308" s="1" t="s">
        <v>1974</v>
      </c>
      <c r="B1308" s="2" t="s">
        <v>1967</v>
      </c>
      <c r="C1308" s="60" t="str">
        <f t="shared" si="322"/>
        <v>B.030.01.108</v>
      </c>
      <c r="D1308" s="51" t="s">
        <v>1965</v>
      </c>
      <c r="E1308" s="62" t="s">
        <v>896</v>
      </c>
      <c r="F1308" s="63" t="str">
        <f t="shared" si="323"/>
        <v>Electricity from sawdust (waste wood 12% MC) in power plant</v>
      </c>
      <c r="G1308" s="64">
        <v>0.00903827679912063</v>
      </c>
      <c r="H1308" s="10">
        <f t="shared" si="324"/>
        <v>0.009038276799</v>
      </c>
      <c r="I1308" s="65">
        <v>0.0036626787463317997</v>
      </c>
      <c r="J1308" s="65">
        <v>0.0053229868509932</v>
      </c>
      <c r="K1308" s="65">
        <v>5.3888457956299276E-6</v>
      </c>
      <c r="L1308" s="65">
        <v>4.7222356E-5</v>
      </c>
      <c r="N1308" s="66">
        <v>3.1481570666666667E-4</v>
      </c>
      <c r="O1308" s="10">
        <f t="shared" si="325"/>
        <v>0.0003148157067</v>
      </c>
      <c r="Q1308" s="67">
        <v>0.0021888387</v>
      </c>
      <c r="S1308" s="68">
        <v>0.0016370095</v>
      </c>
      <c r="T1308" s="68">
        <v>0.0016010874</v>
      </c>
      <c r="U1308" s="68">
        <v>3.5764284E-5</v>
      </c>
      <c r="V1308" s="68">
        <v>1.5785154E-7</v>
      </c>
      <c r="X1308" s="69">
        <v>3.3649319E-6</v>
      </c>
    </row>
    <row r="1309" ht="12.75" customHeight="1">
      <c r="B1309" s="2"/>
      <c r="C1309" s="60"/>
      <c r="D1309" s="75" t="s">
        <v>1975</v>
      </c>
      <c r="E1309" s="62"/>
      <c r="G1309" s="10"/>
      <c r="H1309" s="10"/>
      <c r="I1309" s="10"/>
      <c r="J1309" s="10"/>
      <c r="K1309" s="10"/>
      <c r="L1309" s="10"/>
      <c r="N1309" s="10"/>
      <c r="O1309" s="10"/>
      <c r="Q1309" s="67"/>
    </row>
    <row r="1310" ht="12.75" customHeight="1">
      <c r="A1310" s="1" t="s">
        <v>1976</v>
      </c>
      <c r="B1310" s="2" t="s">
        <v>1977</v>
      </c>
      <c r="C1310" s="60" t="str">
        <f t="shared" ref="C1310:C1311" si="326">MID(A1310,1,12)</f>
        <v>B.040.01.101</v>
      </c>
      <c r="D1310" s="51" t="s">
        <v>1975</v>
      </c>
      <c r="E1310" s="62" t="s">
        <v>896</v>
      </c>
      <c r="F1310" s="63" t="str">
        <f t="shared" ref="F1310:F1311" si="327">MID(A1310, 21,85)</f>
        <v>Electricity General Industry</v>
      </c>
      <c r="G1310" s="64">
        <v>0.025231957989999998</v>
      </c>
      <c r="H1310" s="10">
        <f t="shared" ref="H1310:H1695" si="328">G1310</f>
        <v>0.02523195799</v>
      </c>
      <c r="I1310" s="65">
        <v>7.995066E-4</v>
      </c>
      <c r="J1310" s="65">
        <v>0.00165629863</v>
      </c>
      <c r="K1310" s="65">
        <v>0.00400393976</v>
      </c>
      <c r="L1310" s="65">
        <v>0.018772213</v>
      </c>
      <c r="N1310" s="66">
        <v>0.12514808666666666</v>
      </c>
      <c r="O1310" s="10">
        <f t="shared" ref="O1310:O1695" si="329">N1310</f>
        <v>0.1251480867</v>
      </c>
      <c r="Q1310" s="67">
        <v>2.3886478</v>
      </c>
      <c r="S1310" s="68">
        <v>0.002383705</v>
      </c>
      <c r="T1310" s="68">
        <v>0.0022389277</v>
      </c>
      <c r="U1310" s="68">
        <v>1.0106026E-4</v>
      </c>
      <c r="V1310" s="68">
        <v>4.3717096E-5</v>
      </c>
      <c r="X1310" s="69">
        <v>6.339715E-6</v>
      </c>
    </row>
    <row r="1311" ht="12.75" customHeight="1">
      <c r="A1311" s="1" t="s">
        <v>1978</v>
      </c>
      <c r="B1311" s="2" t="s">
        <v>1977</v>
      </c>
      <c r="C1311" s="60" t="str">
        <f t="shared" si="326"/>
        <v>B.040.01.104</v>
      </c>
      <c r="D1311" s="51" t="s">
        <v>1975</v>
      </c>
      <c r="E1311" s="62" t="s">
        <v>896</v>
      </c>
      <c r="F1311" s="63" t="str">
        <f t="shared" si="327"/>
        <v>Electricity General domestic use Low Voltage</v>
      </c>
      <c r="G1311" s="64">
        <v>0.026559956535</v>
      </c>
      <c r="H1311" s="10">
        <f t="shared" si="328"/>
        <v>0.02655995654</v>
      </c>
      <c r="I1311" s="65">
        <v>8.415859E-4</v>
      </c>
      <c r="J1311" s="65">
        <v>0.00174347223</v>
      </c>
      <c r="K1311" s="65">
        <v>0.004214673404999999</v>
      </c>
      <c r="L1311" s="65">
        <v>0.019760225</v>
      </c>
      <c r="N1311" s="66">
        <v>0.13173483333333333</v>
      </c>
      <c r="O1311" s="10">
        <f t="shared" si="329"/>
        <v>0.1317348333</v>
      </c>
      <c r="Q1311" s="67">
        <v>2.5143661</v>
      </c>
      <c r="S1311" s="68">
        <v>0.0025091632</v>
      </c>
      <c r="T1311" s="68">
        <v>0.002356766</v>
      </c>
      <c r="U1311" s="68">
        <v>1.0637922E-4</v>
      </c>
      <c r="V1311" s="68">
        <v>4.6017996E-5</v>
      </c>
      <c r="X1311" s="69">
        <v>6.6733843E-6</v>
      </c>
    </row>
    <row r="1312" ht="12.75" customHeight="1">
      <c r="B1312" s="2"/>
      <c r="C1312" s="60"/>
      <c r="D1312" s="75" t="s">
        <v>1979</v>
      </c>
      <c r="E1312" s="62"/>
      <c r="G1312" s="10"/>
      <c r="H1312" s="10" t="str">
        <f t="shared" si="328"/>
        <v/>
      </c>
      <c r="I1312" s="10"/>
      <c r="J1312" s="10"/>
      <c r="K1312" s="10"/>
      <c r="L1312" s="10"/>
      <c r="N1312" s="10"/>
      <c r="O1312" s="10" t="str">
        <f t="shared" si="329"/>
        <v/>
      </c>
      <c r="Q1312" s="67"/>
    </row>
    <row r="1313" ht="12.75" customHeight="1">
      <c r="A1313" s="1" t="s">
        <v>1980</v>
      </c>
      <c r="B1313" s="2" t="s">
        <v>1981</v>
      </c>
      <c r="C1313" s="60" t="str">
        <f t="shared" ref="C1313:C1343" si="330">MID(A1313,1,12)</f>
        <v>B.042.01.101</v>
      </c>
      <c r="D1313" s="51" t="s">
        <v>1979</v>
      </c>
      <c r="E1313" s="62" t="s">
        <v>896</v>
      </c>
      <c r="F1313" s="63" t="str">
        <f t="shared" ref="F1313:F1343" si="331">MID(A1313, 21,85)</f>
        <v>Electricity .EU-27 production</v>
      </c>
      <c r="G1313" s="64">
        <v>0.01804674271</v>
      </c>
      <c r="H1313" s="10">
        <f t="shared" si="328"/>
        <v>0.01804674271</v>
      </c>
      <c r="I1313" s="65">
        <v>6.5976924E-4</v>
      </c>
      <c r="J1313" s="65">
        <v>0.00135569663</v>
      </c>
      <c r="K1313" s="65">
        <v>0.00614741524</v>
      </c>
      <c r="L1313" s="65">
        <v>0.0098838616</v>
      </c>
      <c r="N1313" s="66">
        <v>0.06589241066666666</v>
      </c>
      <c r="O1313" s="10">
        <f t="shared" si="329"/>
        <v>0.06589241067</v>
      </c>
      <c r="Q1313" s="67">
        <v>2.3040619</v>
      </c>
      <c r="S1313" s="68">
        <v>0.0013757085</v>
      </c>
      <c r="T1313" s="68">
        <v>0.0012867646</v>
      </c>
      <c r="U1313" s="68">
        <v>5.518338E-5</v>
      </c>
      <c r="V1313" s="68">
        <v>3.3760513E-5</v>
      </c>
      <c r="X1313" s="69">
        <v>4.3360718E-6</v>
      </c>
    </row>
    <row r="1314" ht="12.75" customHeight="1">
      <c r="A1314" s="1" t="s">
        <v>1982</v>
      </c>
      <c r="B1314" s="2" t="s">
        <v>1981</v>
      </c>
      <c r="C1314" s="60" t="str">
        <f t="shared" si="330"/>
        <v>B.042.01.102</v>
      </c>
      <c r="D1314" s="51" t="s">
        <v>1979</v>
      </c>
      <c r="E1314" s="62" t="s">
        <v>896</v>
      </c>
      <c r="F1314" s="63" t="str">
        <f t="shared" si="331"/>
        <v>Electricity Austria production</v>
      </c>
      <c r="G1314" s="64">
        <v>0.0048133859300000005</v>
      </c>
      <c r="H1314" s="10">
        <f t="shared" si="328"/>
        <v>0.00481338593</v>
      </c>
      <c r="I1314" s="65">
        <v>4.8809334E-4</v>
      </c>
      <c r="J1314" s="65">
        <v>9.893096900000001E-4</v>
      </c>
      <c r="K1314" s="65">
        <v>1.838191E-4</v>
      </c>
      <c r="L1314" s="65">
        <v>0.0031521638</v>
      </c>
      <c r="N1314" s="66">
        <v>0.021014425333333336</v>
      </c>
      <c r="O1314" s="10">
        <f t="shared" si="329"/>
        <v>0.02101442533</v>
      </c>
      <c r="Q1314" s="67">
        <v>1.4022283</v>
      </c>
      <c r="S1314" s="68">
        <v>5.7309105E-4</v>
      </c>
      <c r="T1314" s="68">
        <v>5.3315918E-4</v>
      </c>
      <c r="U1314" s="68">
        <v>1.9830173E-5</v>
      </c>
      <c r="V1314" s="68">
        <v>2.0101697E-5</v>
      </c>
      <c r="X1314" s="69">
        <v>1.3077404E-6</v>
      </c>
    </row>
    <row r="1315" ht="12.75" customHeight="1">
      <c r="A1315" s="1" t="s">
        <v>1983</v>
      </c>
      <c r="B1315" s="2" t="s">
        <v>1981</v>
      </c>
      <c r="C1315" s="60" t="str">
        <f t="shared" si="330"/>
        <v>B.042.01.103</v>
      </c>
      <c r="D1315" s="51" t="s">
        <v>1979</v>
      </c>
      <c r="E1315" s="62" t="s">
        <v>896</v>
      </c>
      <c r="F1315" s="63" t="str">
        <f t="shared" si="331"/>
        <v>Electricity Belgium production</v>
      </c>
      <c r="G1315" s="64">
        <v>0.020206852988999997</v>
      </c>
      <c r="H1315" s="10">
        <f t="shared" si="328"/>
        <v>0.02020685299</v>
      </c>
      <c r="I1315" s="65">
        <v>6.0252867E-4</v>
      </c>
      <c r="J1315" s="65">
        <v>0.00132139566</v>
      </c>
      <c r="K1315" s="65">
        <v>0.010858129759</v>
      </c>
      <c r="L1315" s="65">
        <v>0.0074247989</v>
      </c>
      <c r="N1315" s="66">
        <v>0.049498659333333334</v>
      </c>
      <c r="O1315" s="10">
        <f t="shared" si="329"/>
        <v>0.04949865933</v>
      </c>
      <c r="Q1315" s="67">
        <v>2.5066687</v>
      </c>
      <c r="S1315" s="68">
        <v>0.0011060925</v>
      </c>
      <c r="T1315" s="68">
        <v>0.0010322065</v>
      </c>
      <c r="U1315" s="68">
        <v>4.2777173E-5</v>
      </c>
      <c r="V1315" s="68">
        <v>3.1108791E-5</v>
      </c>
      <c r="X1315" s="69">
        <v>4.3085307E-6</v>
      </c>
    </row>
    <row r="1316" ht="12.75" customHeight="1">
      <c r="A1316" s="1" t="s">
        <v>1984</v>
      </c>
      <c r="B1316" s="2" t="s">
        <v>1981</v>
      </c>
      <c r="C1316" s="60" t="str">
        <f t="shared" si="330"/>
        <v>B.042.01.104</v>
      </c>
      <c r="D1316" s="51" t="s">
        <v>1979</v>
      </c>
      <c r="E1316" s="62" t="s">
        <v>896</v>
      </c>
      <c r="F1316" s="63" t="str">
        <f t="shared" si="331"/>
        <v>Electricity Bulgaria production</v>
      </c>
      <c r="G1316" s="64">
        <v>0.027529225237</v>
      </c>
      <c r="H1316" s="10">
        <f t="shared" si="328"/>
        <v>0.02752922524</v>
      </c>
      <c r="I1316" s="65">
        <v>4.33428847E-4</v>
      </c>
      <c r="J1316" s="65">
        <v>9.2858511E-4</v>
      </c>
      <c r="K1316" s="65">
        <v>0.01090516528</v>
      </c>
      <c r="L1316" s="65">
        <v>0.015262046</v>
      </c>
      <c r="N1316" s="66">
        <v>0.10174697333333334</v>
      </c>
      <c r="O1316" s="10">
        <f t="shared" si="329"/>
        <v>0.1017469733</v>
      </c>
      <c r="Q1316" s="67">
        <v>2.7152172</v>
      </c>
      <c r="S1316" s="68">
        <v>0.0018600506</v>
      </c>
      <c r="T1316" s="68">
        <v>0.0017635239</v>
      </c>
      <c r="U1316" s="68">
        <v>8.0707211E-5</v>
      </c>
      <c r="V1316" s="68">
        <v>1.5819515E-5</v>
      </c>
      <c r="X1316" s="69">
        <v>5.9727495E-6</v>
      </c>
    </row>
    <row r="1317" ht="12.75" customHeight="1">
      <c r="A1317" s="1" t="s">
        <v>1985</v>
      </c>
      <c r="B1317" s="2" t="s">
        <v>1981</v>
      </c>
      <c r="C1317" s="60" t="str">
        <f t="shared" si="330"/>
        <v>B.042.01.105</v>
      </c>
      <c r="D1317" s="51" t="s">
        <v>1979</v>
      </c>
      <c r="E1317" s="62" t="s">
        <v>896</v>
      </c>
      <c r="F1317" s="63" t="str">
        <f t="shared" si="331"/>
        <v>Electricity Croatia production</v>
      </c>
      <c r="G1317" s="64">
        <v>0.01018506592</v>
      </c>
      <c r="H1317" s="10">
        <f t="shared" si="328"/>
        <v>0.01018506592</v>
      </c>
      <c r="I1317" s="65">
        <v>7.142845699999999E-4</v>
      </c>
      <c r="J1317" s="65">
        <v>0.00110780987</v>
      </c>
      <c r="K1317" s="65">
        <v>1.6599048E-4</v>
      </c>
      <c r="L1317" s="65">
        <v>0.008196981</v>
      </c>
      <c r="N1317" s="66">
        <v>0.05464654000000001</v>
      </c>
      <c r="O1317" s="10">
        <f t="shared" si="329"/>
        <v>0.05464654</v>
      </c>
      <c r="Q1317" s="67">
        <v>1.7226993</v>
      </c>
      <c r="S1317" s="68">
        <v>0.0011176881</v>
      </c>
      <c r="T1317" s="68">
        <v>0.0010398384</v>
      </c>
      <c r="U1317" s="68">
        <v>4.5192517E-5</v>
      </c>
      <c r="V1317" s="68">
        <v>3.2657197E-5</v>
      </c>
      <c r="X1317" s="69">
        <v>2.7437869E-6</v>
      </c>
    </row>
    <row r="1318" ht="12.75" customHeight="1">
      <c r="A1318" s="1" t="s">
        <v>1986</v>
      </c>
      <c r="B1318" s="2" t="s">
        <v>1981</v>
      </c>
      <c r="C1318" s="60" t="str">
        <f t="shared" si="330"/>
        <v>B.042.01.106</v>
      </c>
      <c r="D1318" s="51" t="s">
        <v>1979</v>
      </c>
      <c r="E1318" s="62" t="s">
        <v>896</v>
      </c>
      <c r="F1318" s="63" t="str">
        <f t="shared" si="331"/>
        <v>Electricity Cyprus production</v>
      </c>
      <c r="G1318" s="64">
        <v>0.031665652476</v>
      </c>
      <c r="H1318" s="10">
        <f t="shared" si="328"/>
        <v>0.03166565248</v>
      </c>
      <c r="I1318" s="65">
        <v>0.0013107390999999998</v>
      </c>
      <c r="J1318" s="65">
        <v>0.006436961200000001</v>
      </c>
      <c r="K1318" s="65">
        <v>6.3300176E-5</v>
      </c>
      <c r="L1318" s="65">
        <v>0.023854652</v>
      </c>
      <c r="N1318" s="66">
        <v>0.15903101333333333</v>
      </c>
      <c r="O1318" s="10">
        <f t="shared" si="329"/>
        <v>0.1590310133</v>
      </c>
      <c r="Q1318" s="67">
        <v>2.2873681</v>
      </c>
      <c r="S1318" s="68">
        <v>0.0043136096</v>
      </c>
      <c r="T1318" s="68">
        <v>0.0040180894</v>
      </c>
      <c r="U1318" s="68">
        <v>1.5115615E-4</v>
      </c>
      <c r="V1318" s="68">
        <v>1.4436404E-4</v>
      </c>
      <c r="X1318" s="69">
        <v>8.5994331E-6</v>
      </c>
    </row>
    <row r="1319" ht="12.75" customHeight="1">
      <c r="A1319" s="1" t="s">
        <v>1987</v>
      </c>
      <c r="B1319" s="2" t="s">
        <v>1981</v>
      </c>
      <c r="C1319" s="60" t="str">
        <f t="shared" si="330"/>
        <v>B.042.01.107</v>
      </c>
      <c r="D1319" s="51" t="s">
        <v>1979</v>
      </c>
      <c r="E1319" s="62" t="s">
        <v>896</v>
      </c>
      <c r="F1319" s="63" t="str">
        <f t="shared" si="331"/>
        <v>Electricity Czechia production</v>
      </c>
      <c r="G1319" s="64">
        <v>0.030481751305</v>
      </c>
      <c r="H1319" s="10">
        <f t="shared" si="328"/>
        <v>0.03048175131</v>
      </c>
      <c r="I1319" s="65">
        <v>5.8006729E-4</v>
      </c>
      <c r="J1319" s="65">
        <v>0.00117562867</v>
      </c>
      <c r="K1319" s="65">
        <v>0.010496987345</v>
      </c>
      <c r="L1319" s="65">
        <v>0.018229068</v>
      </c>
      <c r="N1319" s="66">
        <v>0.12152712000000002</v>
      </c>
      <c r="O1319" s="10">
        <f t="shared" si="329"/>
        <v>0.12152712</v>
      </c>
      <c r="Q1319" s="67">
        <v>2.9994906</v>
      </c>
      <c r="S1319" s="68">
        <v>0.0022332533</v>
      </c>
      <c r="T1319" s="68">
        <v>0.0021153697</v>
      </c>
      <c r="U1319" s="68">
        <v>9.655294E-5</v>
      </c>
      <c r="V1319" s="68">
        <v>2.1330649E-5</v>
      </c>
      <c r="X1319" s="69">
        <v>7.0653505E-6</v>
      </c>
    </row>
    <row r="1320" ht="12.75" customHeight="1">
      <c r="A1320" s="1" t="s">
        <v>1988</v>
      </c>
      <c r="B1320" s="2" t="s">
        <v>1981</v>
      </c>
      <c r="C1320" s="60" t="str">
        <f t="shared" si="330"/>
        <v>B.042.01.108</v>
      </c>
      <c r="D1320" s="51" t="s">
        <v>1979</v>
      </c>
      <c r="E1320" s="62" t="s">
        <v>896</v>
      </c>
      <c r="F1320" s="63" t="str">
        <f t="shared" si="331"/>
        <v>Electricity Denmark production</v>
      </c>
      <c r="G1320" s="64">
        <v>0.007510420659999999</v>
      </c>
      <c r="H1320" s="10">
        <f t="shared" si="328"/>
        <v>0.00751042066</v>
      </c>
      <c r="I1320" s="65">
        <v>8.7225897E-4</v>
      </c>
      <c r="J1320" s="65">
        <v>0.00148081302</v>
      </c>
      <c r="K1320" s="65">
        <v>2.0874927E-4</v>
      </c>
      <c r="L1320" s="65">
        <v>0.0049485994</v>
      </c>
      <c r="N1320" s="66">
        <v>0.03299066266666667</v>
      </c>
      <c r="O1320" s="10">
        <f t="shared" si="329"/>
        <v>0.03299066267</v>
      </c>
      <c r="Q1320" s="67">
        <v>1.7335659</v>
      </c>
      <c r="S1320" s="68">
        <v>8.722771E-4</v>
      </c>
      <c r="T1320" s="68">
        <v>8.3103036E-4</v>
      </c>
      <c r="U1320" s="68">
        <v>3.0544279E-5</v>
      </c>
      <c r="V1320" s="68">
        <v>1.0702455E-5</v>
      </c>
      <c r="X1320" s="69">
        <v>1.9117378E-6</v>
      </c>
    </row>
    <row r="1321" ht="12.75" customHeight="1">
      <c r="A1321" s="1" t="s">
        <v>1989</v>
      </c>
      <c r="B1321" s="2" t="s">
        <v>1981</v>
      </c>
      <c r="C1321" s="60" t="str">
        <f t="shared" si="330"/>
        <v>B.042.01.109</v>
      </c>
      <c r="D1321" s="51" t="s">
        <v>1979</v>
      </c>
      <c r="E1321" s="62" t="s">
        <v>896</v>
      </c>
      <c r="F1321" s="63" t="str">
        <f t="shared" si="331"/>
        <v>Electricity Estonia production</v>
      </c>
      <c r="G1321" s="64">
        <v>0.023884560810000004</v>
      </c>
      <c r="H1321" s="10">
        <f t="shared" si="328"/>
        <v>0.02388456081</v>
      </c>
      <c r="I1321" s="65">
        <v>0.0018741704</v>
      </c>
      <c r="J1321" s="65">
        <v>0.0058253534</v>
      </c>
      <c r="K1321" s="65">
        <v>1.2125301E-4</v>
      </c>
      <c r="L1321" s="65">
        <v>0.016063784</v>
      </c>
      <c r="N1321" s="66">
        <v>0.10709189333333334</v>
      </c>
      <c r="O1321" s="10">
        <f t="shared" si="329"/>
        <v>0.1070918933</v>
      </c>
      <c r="Q1321" s="67">
        <v>2.7281479</v>
      </c>
      <c r="S1321" s="68">
        <v>0.0032389658</v>
      </c>
      <c r="T1321" s="68">
        <v>0.0030330093</v>
      </c>
      <c r="U1321" s="68">
        <v>1.0714533E-4</v>
      </c>
      <c r="V1321" s="68">
        <v>9.881109E-5</v>
      </c>
      <c r="X1321" s="69">
        <v>6.4809246E-6</v>
      </c>
    </row>
    <row r="1322" ht="12.75" customHeight="1">
      <c r="A1322" s="1" t="s">
        <v>1990</v>
      </c>
      <c r="B1322" s="2" t="s">
        <v>1981</v>
      </c>
      <c r="C1322" s="60" t="str">
        <f t="shared" si="330"/>
        <v>B.042.01.110</v>
      </c>
      <c r="D1322" s="51" t="s">
        <v>1979</v>
      </c>
      <c r="E1322" s="62" t="s">
        <v>896</v>
      </c>
      <c r="F1322" s="63" t="str">
        <f t="shared" si="331"/>
        <v>Electricity Finland production</v>
      </c>
      <c r="G1322" s="64">
        <v>0.014680233829999998</v>
      </c>
      <c r="H1322" s="10">
        <f t="shared" si="328"/>
        <v>0.01468023383</v>
      </c>
      <c r="I1322" s="65">
        <v>5.9849115E-4</v>
      </c>
      <c r="J1322" s="65">
        <v>0.00128914334</v>
      </c>
      <c r="K1322" s="65">
        <v>0.010072469839999999</v>
      </c>
      <c r="L1322" s="65">
        <v>0.0027201295</v>
      </c>
      <c r="N1322" s="66">
        <v>0.018134196666666668</v>
      </c>
      <c r="O1322" s="10">
        <f t="shared" si="329"/>
        <v>0.01813419667</v>
      </c>
      <c r="Q1322" s="67">
        <v>2.4020916</v>
      </c>
      <c r="S1322" s="68">
        <v>6.0310667E-4</v>
      </c>
      <c r="T1322" s="68">
        <v>5.7520324E-4</v>
      </c>
      <c r="U1322" s="68">
        <v>1.9029322E-5</v>
      </c>
      <c r="V1322" s="68">
        <v>8.8741093E-6</v>
      </c>
      <c r="X1322" s="69">
        <v>2.9174069E-6</v>
      </c>
    </row>
    <row r="1323" ht="12.75" customHeight="1">
      <c r="A1323" s="1" t="s">
        <v>1991</v>
      </c>
      <c r="B1323" s="2" t="s">
        <v>1981</v>
      </c>
      <c r="C1323" s="60" t="str">
        <f t="shared" si="330"/>
        <v>B.042.01.111</v>
      </c>
      <c r="D1323" s="51" t="s">
        <v>1979</v>
      </c>
      <c r="E1323" s="62" t="s">
        <v>896</v>
      </c>
      <c r="F1323" s="63" t="str">
        <f t="shared" si="331"/>
        <v>Electricity France production</v>
      </c>
      <c r="G1323" s="64">
        <v>0.020588384942</v>
      </c>
      <c r="H1323" s="10">
        <f t="shared" si="328"/>
        <v>0.02058838494</v>
      </c>
      <c r="I1323" s="65">
        <v>2.3657017399999998E-4</v>
      </c>
      <c r="J1323" s="65">
        <v>7.858746699999999E-4</v>
      </c>
      <c r="K1323" s="65">
        <v>0.018059301698</v>
      </c>
      <c r="L1323" s="65">
        <v>0.0015066384</v>
      </c>
      <c r="N1323" s="66">
        <v>0.010044256</v>
      </c>
      <c r="O1323" s="10">
        <f t="shared" si="329"/>
        <v>0.010044256</v>
      </c>
      <c r="Q1323" s="67">
        <v>2.9663845</v>
      </c>
      <c r="S1323" s="68">
        <v>3.555319E-4</v>
      </c>
      <c r="T1323" s="68">
        <v>3.3550417E-4</v>
      </c>
      <c r="U1323" s="68">
        <v>1.1141394E-5</v>
      </c>
      <c r="V1323" s="68">
        <v>8.886339E-6</v>
      </c>
      <c r="X1323" s="69">
        <v>3.8709441E-6</v>
      </c>
    </row>
    <row r="1324" ht="12.75" customHeight="1">
      <c r="A1324" s="1" t="s">
        <v>1992</v>
      </c>
      <c r="B1324" s="2" t="s">
        <v>1981</v>
      </c>
      <c r="C1324" s="60" t="str">
        <f t="shared" si="330"/>
        <v>B.042.01.112</v>
      </c>
      <c r="D1324" s="51" t="s">
        <v>1979</v>
      </c>
      <c r="E1324" s="62" t="s">
        <v>896</v>
      </c>
      <c r="F1324" s="63" t="str">
        <f t="shared" si="331"/>
        <v>Electricity Germany production</v>
      </c>
      <c r="G1324" s="64">
        <v>0.01739744597</v>
      </c>
      <c r="H1324" s="10">
        <f t="shared" si="328"/>
        <v>0.01739744597</v>
      </c>
      <c r="I1324" s="65">
        <v>8.4342163E-4</v>
      </c>
      <c r="J1324" s="65">
        <v>0.00159450832</v>
      </c>
      <c r="K1324" s="65">
        <v>1.3698802E-4</v>
      </c>
      <c r="L1324" s="65">
        <v>0.014822528</v>
      </c>
      <c r="N1324" s="66">
        <v>0.09881685333333333</v>
      </c>
      <c r="O1324" s="10">
        <f t="shared" si="329"/>
        <v>0.09881685333</v>
      </c>
      <c r="Q1324" s="67">
        <v>1.9868861</v>
      </c>
      <c r="S1324" s="68">
        <v>0.0019602107</v>
      </c>
      <c r="T1324" s="68">
        <v>0.0018414577</v>
      </c>
      <c r="U1324" s="68">
        <v>8.086269E-5</v>
      </c>
      <c r="V1324" s="68">
        <v>3.7890381E-5</v>
      </c>
      <c r="X1324" s="69">
        <v>4.6442963E-6</v>
      </c>
    </row>
    <row r="1325" ht="12.75" customHeight="1">
      <c r="A1325" s="1" t="s">
        <v>1993</v>
      </c>
      <c r="B1325" s="2" t="s">
        <v>1981</v>
      </c>
      <c r="C1325" s="60" t="str">
        <f t="shared" si="330"/>
        <v>B.042.01.113</v>
      </c>
      <c r="D1325" s="51" t="s">
        <v>1979</v>
      </c>
      <c r="E1325" s="62" t="s">
        <v>896</v>
      </c>
      <c r="F1325" s="63" t="str">
        <f t="shared" si="331"/>
        <v>Electricity Greece production</v>
      </c>
      <c r="G1325" s="64">
        <v>0.01840333928</v>
      </c>
      <c r="H1325" s="10">
        <f t="shared" si="328"/>
        <v>0.01840333928</v>
      </c>
      <c r="I1325" s="65">
        <v>9.0082838E-4</v>
      </c>
      <c r="J1325" s="65">
        <v>0.0018760911</v>
      </c>
      <c r="K1325" s="65">
        <v>1.464498E-4</v>
      </c>
      <c r="L1325" s="65">
        <v>0.01547997</v>
      </c>
      <c r="N1325" s="66">
        <v>0.1031998</v>
      </c>
      <c r="O1325" s="10">
        <f t="shared" si="329"/>
        <v>0.1031998</v>
      </c>
      <c r="Q1325" s="67">
        <v>1.9087243</v>
      </c>
      <c r="S1325" s="68">
        <v>0.0020940097</v>
      </c>
      <c r="T1325" s="68">
        <v>0.0019392755</v>
      </c>
      <c r="U1325" s="68">
        <v>8.5384765E-5</v>
      </c>
      <c r="V1325" s="68">
        <v>6.9349453E-5</v>
      </c>
      <c r="X1325" s="69">
        <v>4.9508504E-6</v>
      </c>
    </row>
    <row r="1326" ht="12.75" customHeight="1">
      <c r="A1326" s="1" t="s">
        <v>1994</v>
      </c>
      <c r="B1326" s="2" t="s">
        <v>1981</v>
      </c>
      <c r="C1326" s="60" t="str">
        <f t="shared" si="330"/>
        <v>B.042.01.114</v>
      </c>
      <c r="D1326" s="51" t="s">
        <v>1979</v>
      </c>
      <c r="E1326" s="62" t="s">
        <v>896</v>
      </c>
      <c r="F1326" s="63" t="str">
        <f t="shared" si="331"/>
        <v>Electricity Hungary production</v>
      </c>
      <c r="G1326" s="64">
        <v>0.022381755312999997</v>
      </c>
      <c r="H1326" s="10">
        <f t="shared" si="328"/>
        <v>0.02238175531</v>
      </c>
      <c r="I1326" s="65">
        <v>6.048891E-4</v>
      </c>
      <c r="J1326" s="65">
        <v>0.00120461329</v>
      </c>
      <c r="K1326" s="65">
        <v>0.011200591522999999</v>
      </c>
      <c r="L1326" s="65">
        <v>0.0093716614</v>
      </c>
      <c r="N1326" s="66">
        <v>0.06247774266666667</v>
      </c>
      <c r="O1326" s="10">
        <f t="shared" si="329"/>
        <v>0.06247774267</v>
      </c>
      <c r="Q1326" s="67">
        <v>2.6647733</v>
      </c>
      <c r="S1326" s="68">
        <v>0.0012795104</v>
      </c>
      <c r="T1326" s="68">
        <v>0.0011977204</v>
      </c>
      <c r="U1326" s="68">
        <v>5.1935549E-5</v>
      </c>
      <c r="V1326" s="68">
        <v>2.9854479E-5</v>
      </c>
      <c r="X1326" s="69">
        <v>4.8714555E-6</v>
      </c>
    </row>
    <row r="1327" ht="12.75" customHeight="1">
      <c r="A1327" s="1" t="s">
        <v>1995</v>
      </c>
      <c r="B1327" s="2" t="s">
        <v>1981</v>
      </c>
      <c r="C1327" s="60" t="str">
        <f t="shared" si="330"/>
        <v>B.042.01.115</v>
      </c>
      <c r="D1327" s="51" t="s">
        <v>1979</v>
      </c>
      <c r="E1327" s="62" t="s">
        <v>896</v>
      </c>
      <c r="F1327" s="63" t="str">
        <f t="shared" si="331"/>
        <v>Electricity Ireland production</v>
      </c>
      <c r="G1327" s="64">
        <v>0.01890918812</v>
      </c>
      <c r="H1327" s="10">
        <f t="shared" si="328"/>
        <v>0.01890918812</v>
      </c>
      <c r="I1327" s="65">
        <v>0.00103937406</v>
      </c>
      <c r="J1327" s="65">
        <v>0.00180066543</v>
      </c>
      <c r="K1327" s="65">
        <v>1.3034063E-4</v>
      </c>
      <c r="L1327" s="65">
        <v>0.015938808</v>
      </c>
      <c r="N1327" s="66">
        <v>0.10625872</v>
      </c>
      <c r="O1327" s="10">
        <f t="shared" si="329"/>
        <v>0.10625872</v>
      </c>
      <c r="Q1327" s="67">
        <v>1.9050397</v>
      </c>
      <c r="S1327" s="68">
        <v>0.0021018145</v>
      </c>
      <c r="T1327" s="68">
        <v>0.0019423755</v>
      </c>
      <c r="U1327" s="68">
        <v>8.6878411E-5</v>
      </c>
      <c r="V1327" s="68">
        <v>7.256066E-5</v>
      </c>
      <c r="X1327" s="69">
        <v>5.0543553E-6</v>
      </c>
    </row>
    <row r="1328" ht="12.75" customHeight="1">
      <c r="A1328" s="1" t="s">
        <v>1996</v>
      </c>
      <c r="B1328" s="2" t="s">
        <v>1981</v>
      </c>
      <c r="C1328" s="60" t="str">
        <f t="shared" si="330"/>
        <v>B.042.01.116</v>
      </c>
      <c r="D1328" s="51" t="s">
        <v>1979</v>
      </c>
      <c r="E1328" s="62" t="s">
        <v>896</v>
      </c>
      <c r="F1328" s="63" t="str">
        <f t="shared" si="331"/>
        <v>Electricity Italy production</v>
      </c>
      <c r="G1328" s="64">
        <v>0.01707815935</v>
      </c>
      <c r="H1328" s="10">
        <f t="shared" si="328"/>
        <v>0.01707815935</v>
      </c>
      <c r="I1328" s="65">
        <v>0.00109771168</v>
      </c>
      <c r="J1328" s="65">
        <v>0.0019966302999999998</v>
      </c>
      <c r="K1328" s="65">
        <v>1.0450037E-4</v>
      </c>
      <c r="L1328" s="65">
        <v>0.013879317</v>
      </c>
      <c r="N1328" s="66">
        <v>0.09252878</v>
      </c>
      <c r="O1328" s="10">
        <f t="shared" si="329"/>
        <v>0.09252878</v>
      </c>
      <c r="Q1328" s="67">
        <v>1.9122866</v>
      </c>
      <c r="S1328" s="68">
        <v>0.0019360001</v>
      </c>
      <c r="T1328" s="68">
        <v>0.0017896119</v>
      </c>
      <c r="U1328" s="68">
        <v>7.7421086E-5</v>
      </c>
      <c r="V1328" s="68">
        <v>6.8967119E-5</v>
      </c>
      <c r="X1328" s="69">
        <v>4.6287433E-6</v>
      </c>
    </row>
    <row r="1329" ht="12.75" customHeight="1">
      <c r="A1329" s="1" t="s">
        <v>1997</v>
      </c>
      <c r="B1329" s="2" t="s">
        <v>1981</v>
      </c>
      <c r="C1329" s="60" t="str">
        <f t="shared" si="330"/>
        <v>B.042.01.117</v>
      </c>
      <c r="D1329" s="51" t="s">
        <v>1979</v>
      </c>
      <c r="E1329" s="62" t="s">
        <v>896</v>
      </c>
      <c r="F1329" s="63" t="str">
        <f t="shared" si="331"/>
        <v>Electricity Latvia production</v>
      </c>
      <c r="G1329" s="64">
        <v>0.01018196241</v>
      </c>
      <c r="H1329" s="10">
        <f t="shared" si="328"/>
        <v>0.01018196241</v>
      </c>
      <c r="I1329" s="65">
        <v>9.159757399999999E-4</v>
      </c>
      <c r="J1329" s="65">
        <v>0.00137992216</v>
      </c>
      <c r="K1329" s="65">
        <v>1.3818841E-4</v>
      </c>
      <c r="L1329" s="65">
        <v>0.0077478761</v>
      </c>
      <c r="N1329" s="66">
        <v>0.05165250733333334</v>
      </c>
      <c r="O1329" s="10">
        <f t="shared" si="329"/>
        <v>0.05165250733</v>
      </c>
      <c r="Q1329" s="67">
        <v>1.6965626</v>
      </c>
      <c r="S1329" s="68">
        <v>0.0011289182</v>
      </c>
      <c r="T1329" s="68">
        <v>0.0010511612</v>
      </c>
      <c r="U1329" s="68">
        <v>4.3850252E-5</v>
      </c>
      <c r="V1329" s="68">
        <v>3.390679E-5</v>
      </c>
      <c r="X1329" s="69">
        <v>2.6470684E-6</v>
      </c>
    </row>
    <row r="1330" ht="12.75" customHeight="1">
      <c r="A1330" s="1" t="s">
        <v>1998</v>
      </c>
      <c r="B1330" s="2" t="s">
        <v>1981</v>
      </c>
      <c r="C1330" s="60" t="str">
        <f t="shared" si="330"/>
        <v>B.042.01.118</v>
      </c>
      <c r="D1330" s="51" t="s">
        <v>1979</v>
      </c>
      <c r="E1330" s="62" t="s">
        <v>896</v>
      </c>
      <c r="F1330" s="63" t="str">
        <f t="shared" si="331"/>
        <v>Electricity Lithuania production</v>
      </c>
      <c r="G1330" s="64">
        <v>0.00955349997</v>
      </c>
      <c r="H1330" s="10">
        <f t="shared" si="328"/>
        <v>0.00955349997</v>
      </c>
      <c r="I1330" s="65">
        <v>8.3006321E-4</v>
      </c>
      <c r="J1330" s="65">
        <v>0.0019012627799999998</v>
      </c>
      <c r="K1330" s="65">
        <v>2.2909538E-4</v>
      </c>
      <c r="L1330" s="65">
        <v>0.0065930786</v>
      </c>
      <c r="N1330" s="66">
        <v>0.04395385733333333</v>
      </c>
      <c r="O1330" s="10">
        <f t="shared" si="329"/>
        <v>0.04395385733</v>
      </c>
      <c r="Q1330" s="67">
        <v>1.7831112</v>
      </c>
      <c r="S1330" s="68">
        <v>0.0011709294</v>
      </c>
      <c r="T1330" s="68">
        <v>0.0010942136</v>
      </c>
      <c r="U1330" s="68">
        <v>4.1128034E-5</v>
      </c>
      <c r="V1330" s="68">
        <v>3.5587765E-5</v>
      </c>
      <c r="X1330" s="69">
        <v>2.5113333E-6</v>
      </c>
    </row>
    <row r="1331" ht="12.75" customHeight="1">
      <c r="A1331" s="1" t="s">
        <v>1999</v>
      </c>
      <c r="B1331" s="2" t="s">
        <v>1981</v>
      </c>
      <c r="C1331" s="60" t="str">
        <f t="shared" si="330"/>
        <v>B.042.01.119</v>
      </c>
      <c r="D1331" s="51" t="s">
        <v>1979</v>
      </c>
      <c r="E1331" s="62" t="s">
        <v>896</v>
      </c>
      <c r="F1331" s="63" t="str">
        <f t="shared" si="331"/>
        <v>Electricity Luxembourg production</v>
      </c>
      <c r="G1331" s="64">
        <v>0.005806855960000001</v>
      </c>
      <c r="H1331" s="10">
        <f t="shared" si="328"/>
        <v>0.00580685596</v>
      </c>
      <c r="I1331" s="65">
        <v>0.0014978090000000001</v>
      </c>
      <c r="J1331" s="65">
        <v>0.0025196721</v>
      </c>
      <c r="K1331" s="65">
        <v>1.8907476E-4</v>
      </c>
      <c r="L1331" s="65">
        <v>0.0016003001</v>
      </c>
      <c r="N1331" s="66">
        <v>0.010668667333333335</v>
      </c>
      <c r="O1331" s="10">
        <f t="shared" si="329"/>
        <v>0.01066866733</v>
      </c>
      <c r="Q1331" s="67">
        <v>2.1663377</v>
      </c>
      <c r="S1331" s="68">
        <v>7.5049092E-4</v>
      </c>
      <c r="T1331" s="68">
        <v>7.1574791E-4</v>
      </c>
      <c r="U1331" s="68">
        <v>1.7538555E-5</v>
      </c>
      <c r="V1331" s="68">
        <v>1.7204449E-5</v>
      </c>
      <c r="X1331" s="69">
        <v>1.6434061E-6</v>
      </c>
    </row>
    <row r="1332" ht="12.75" customHeight="1">
      <c r="A1332" s="1" t="s">
        <v>2000</v>
      </c>
      <c r="B1332" s="2" t="s">
        <v>1981</v>
      </c>
      <c r="C1332" s="60" t="str">
        <f t="shared" si="330"/>
        <v>B.042.01.120</v>
      </c>
      <c r="D1332" s="51" t="s">
        <v>1979</v>
      </c>
      <c r="E1332" s="62" t="s">
        <v>896</v>
      </c>
      <c r="F1332" s="63" t="str">
        <f t="shared" si="331"/>
        <v>Electricity Malta production</v>
      </c>
      <c r="G1332" s="64">
        <v>0.026057652814</v>
      </c>
      <c r="H1332" s="10">
        <f t="shared" si="328"/>
        <v>0.02605765281</v>
      </c>
      <c r="I1332" s="65">
        <v>0.00147631653</v>
      </c>
      <c r="J1332" s="65">
        <v>0.0023365086200000003</v>
      </c>
      <c r="K1332" s="65">
        <v>4.7004664E-5</v>
      </c>
      <c r="L1332" s="65">
        <v>0.022197823</v>
      </c>
      <c r="N1332" s="66">
        <v>0.14798548666666667</v>
      </c>
      <c r="O1332" s="10">
        <f t="shared" si="329"/>
        <v>0.1479854867</v>
      </c>
      <c r="Q1332" s="67">
        <v>2.192169</v>
      </c>
      <c r="S1332" s="68">
        <v>0.0028656408</v>
      </c>
      <c r="T1332" s="68">
        <v>0.0026331985</v>
      </c>
      <c r="U1332" s="68">
        <v>1.1988351E-4</v>
      </c>
      <c r="V1332" s="68">
        <v>1.1255874E-4</v>
      </c>
      <c r="X1332" s="69">
        <v>7.1018163E-6</v>
      </c>
    </row>
    <row r="1333" ht="12.75" customHeight="1">
      <c r="A1333" s="1" t="s">
        <v>2001</v>
      </c>
      <c r="B1333" s="2" t="s">
        <v>1981</v>
      </c>
      <c r="C1333" s="60" t="str">
        <f t="shared" si="330"/>
        <v>B.042.01.121</v>
      </c>
      <c r="D1333" s="51" t="s">
        <v>1979</v>
      </c>
      <c r="E1333" s="62" t="s">
        <v>896</v>
      </c>
      <c r="F1333" s="63" t="str">
        <f t="shared" si="331"/>
        <v>Electricity Netherlands production</v>
      </c>
      <c r="G1333" s="64">
        <v>0.01791059803</v>
      </c>
      <c r="H1333" s="10">
        <f t="shared" si="328"/>
        <v>0.01791059803</v>
      </c>
      <c r="I1333" s="65">
        <v>9.399079100000001E-4</v>
      </c>
      <c r="J1333" s="65">
        <v>0.00170345022</v>
      </c>
      <c r="K1333" s="65">
        <v>8.857289E-4</v>
      </c>
      <c r="L1333" s="65">
        <v>0.014381511</v>
      </c>
      <c r="N1333" s="66">
        <v>0.09587674</v>
      </c>
      <c r="O1333" s="10">
        <f t="shared" si="329"/>
        <v>0.09587674</v>
      </c>
      <c r="Q1333" s="67">
        <v>1.8985735</v>
      </c>
      <c r="S1333" s="68">
        <v>0.0019247767</v>
      </c>
      <c r="T1333" s="68">
        <v>0.0017899655</v>
      </c>
      <c r="U1333" s="68">
        <v>7.8865959E-5</v>
      </c>
      <c r="V1333" s="68">
        <v>5.5945265E-5</v>
      </c>
      <c r="X1333" s="69">
        <v>4.6457662E-6</v>
      </c>
    </row>
    <row r="1334" ht="12.75" customHeight="1">
      <c r="A1334" s="1" t="s">
        <v>2002</v>
      </c>
      <c r="B1334" s="2" t="s">
        <v>1981</v>
      </c>
      <c r="C1334" s="60" t="str">
        <f t="shared" si="330"/>
        <v>B.042.01.122</v>
      </c>
      <c r="D1334" s="51" t="s">
        <v>1979</v>
      </c>
      <c r="E1334" s="62" t="s">
        <v>896</v>
      </c>
      <c r="F1334" s="63" t="str">
        <f t="shared" si="331"/>
        <v>Electricity Norway production</v>
      </c>
      <c r="G1334" s="64">
        <v>0.001162037364</v>
      </c>
      <c r="H1334" s="10">
        <f t="shared" si="328"/>
        <v>0.001162037364</v>
      </c>
      <c r="I1334" s="65">
        <v>4.2492241E-5</v>
      </c>
      <c r="J1334" s="65">
        <v>9.152797300000001E-5</v>
      </c>
      <c r="K1334" s="65">
        <v>2.0816201E-4</v>
      </c>
      <c r="L1334" s="65">
        <v>8.1985514E-4</v>
      </c>
      <c r="N1334" s="66">
        <v>0.005465700933333333</v>
      </c>
      <c r="O1334" s="10">
        <f t="shared" si="329"/>
        <v>0.005465700933</v>
      </c>
      <c r="Q1334" s="67">
        <v>1.0778803</v>
      </c>
      <c r="S1334" s="68">
        <v>1.1199809E-4</v>
      </c>
      <c r="T1334" s="68">
        <v>1.0502485E-4</v>
      </c>
      <c r="U1334" s="68">
        <v>4.5215718E-6</v>
      </c>
      <c r="V1334" s="68">
        <v>2.4516697E-6</v>
      </c>
      <c r="X1334" s="69">
        <v>2.3041374E-7</v>
      </c>
    </row>
    <row r="1335" ht="12.75" customHeight="1">
      <c r="A1335" s="1" t="s">
        <v>2003</v>
      </c>
      <c r="B1335" s="2" t="s">
        <v>1981</v>
      </c>
      <c r="C1335" s="60" t="str">
        <f t="shared" si="330"/>
        <v>B.042.01.123</v>
      </c>
      <c r="D1335" s="51" t="s">
        <v>1979</v>
      </c>
      <c r="E1335" s="62" t="s">
        <v>896</v>
      </c>
      <c r="F1335" s="63" t="str">
        <f t="shared" si="331"/>
        <v>Electricity Poland production</v>
      </c>
      <c r="G1335" s="64">
        <v>0.030467809037</v>
      </c>
      <c r="H1335" s="10">
        <f t="shared" si="328"/>
        <v>0.03046780904</v>
      </c>
      <c r="I1335" s="65">
        <v>7.4765684E-4</v>
      </c>
      <c r="J1335" s="65">
        <v>0.0015733596800000002</v>
      </c>
      <c r="K1335" s="65">
        <v>7.3280517E-5</v>
      </c>
      <c r="L1335" s="65">
        <v>0.028073512</v>
      </c>
      <c r="N1335" s="66">
        <v>0.18715674666666665</v>
      </c>
      <c r="O1335" s="10">
        <f t="shared" si="329"/>
        <v>0.1871567467</v>
      </c>
      <c r="Q1335" s="67">
        <v>2.448021</v>
      </c>
      <c r="S1335" s="68">
        <v>0.0033889279</v>
      </c>
      <c r="T1335" s="68">
        <v>0.0031957293</v>
      </c>
      <c r="U1335" s="68">
        <v>1.4777468E-4</v>
      </c>
      <c r="V1335" s="68">
        <v>4.5423882E-5</v>
      </c>
      <c r="X1335" s="69">
        <v>8.0953308E-6</v>
      </c>
    </row>
    <row r="1336" ht="12.75" customHeight="1">
      <c r="A1336" s="1" t="s">
        <v>2004</v>
      </c>
      <c r="B1336" s="2" t="s">
        <v>1981</v>
      </c>
      <c r="C1336" s="60" t="str">
        <f t="shared" si="330"/>
        <v>B.042.01.124</v>
      </c>
      <c r="D1336" s="51" t="s">
        <v>1979</v>
      </c>
      <c r="E1336" s="62" t="s">
        <v>896</v>
      </c>
      <c r="F1336" s="63" t="str">
        <f t="shared" si="331"/>
        <v>Electricity Portugal production</v>
      </c>
      <c r="G1336" s="64">
        <v>0.00633347429</v>
      </c>
      <c r="H1336" s="10">
        <f t="shared" si="328"/>
        <v>0.00633347429</v>
      </c>
      <c r="I1336" s="65">
        <v>6.3928165E-4</v>
      </c>
      <c r="J1336" s="65">
        <v>0.00117175194</v>
      </c>
      <c r="K1336" s="65">
        <v>2.097868E-4</v>
      </c>
      <c r="L1336" s="65">
        <v>0.0043126539</v>
      </c>
      <c r="N1336" s="66">
        <v>0.028751026000000002</v>
      </c>
      <c r="O1336" s="10">
        <f t="shared" si="329"/>
        <v>0.028751026</v>
      </c>
      <c r="Q1336" s="67">
        <v>1.5620953</v>
      </c>
      <c r="S1336" s="68">
        <v>7.3260438E-4</v>
      </c>
      <c r="T1336" s="68">
        <v>6.8366137E-4</v>
      </c>
      <c r="U1336" s="68">
        <v>2.6235546E-5</v>
      </c>
      <c r="V1336" s="68">
        <v>2.270747E-5</v>
      </c>
      <c r="X1336" s="69">
        <v>1.6606267E-6</v>
      </c>
    </row>
    <row r="1337" ht="12.75" customHeight="1">
      <c r="A1337" s="1" t="s">
        <v>2005</v>
      </c>
      <c r="B1337" s="2" t="s">
        <v>1981</v>
      </c>
      <c r="C1337" s="60" t="str">
        <f t="shared" si="330"/>
        <v>B.042.01.125</v>
      </c>
      <c r="D1337" s="51" t="s">
        <v>1979</v>
      </c>
      <c r="E1337" s="62" t="s">
        <v>896</v>
      </c>
      <c r="F1337" s="63" t="str">
        <f t="shared" si="331"/>
        <v>Electricity Romania production</v>
      </c>
      <c r="G1337" s="64">
        <v>0.019649037352</v>
      </c>
      <c r="H1337" s="10">
        <f t="shared" si="328"/>
        <v>0.01964903735</v>
      </c>
      <c r="I1337" s="65">
        <v>4.73057672E-4</v>
      </c>
      <c r="J1337" s="65">
        <v>8.9130918E-4</v>
      </c>
      <c r="K1337" s="65">
        <v>0.0056948595</v>
      </c>
      <c r="L1337" s="65">
        <v>0.012589811</v>
      </c>
      <c r="N1337" s="66">
        <v>0.08393207333333333</v>
      </c>
      <c r="O1337" s="10">
        <f t="shared" si="329"/>
        <v>0.08393207333</v>
      </c>
      <c r="Q1337" s="67">
        <v>2.1947595</v>
      </c>
      <c r="S1337" s="68">
        <v>0.0015505374</v>
      </c>
      <c r="T1337" s="68">
        <v>0.0014521149</v>
      </c>
      <c r="U1337" s="68">
        <v>6.6831802E-5</v>
      </c>
      <c r="V1337" s="68">
        <v>3.1590626E-5</v>
      </c>
      <c r="X1337" s="69">
        <v>4.6093062E-6</v>
      </c>
    </row>
    <row r="1338" ht="12.75" customHeight="1">
      <c r="A1338" s="1" t="s">
        <v>2006</v>
      </c>
      <c r="B1338" s="2" t="s">
        <v>1981</v>
      </c>
      <c r="C1338" s="60" t="str">
        <f t="shared" si="330"/>
        <v>B.042.01.126</v>
      </c>
      <c r="D1338" s="51" t="s">
        <v>1979</v>
      </c>
      <c r="E1338" s="62" t="s">
        <v>896</v>
      </c>
      <c r="F1338" s="63" t="str">
        <f t="shared" si="331"/>
        <v>Electricity Slovakia production</v>
      </c>
      <c r="G1338" s="64">
        <v>0.022349836392</v>
      </c>
      <c r="H1338" s="10">
        <f t="shared" si="328"/>
        <v>0.02234983639</v>
      </c>
      <c r="I1338" s="65">
        <v>4.72020495E-4</v>
      </c>
      <c r="J1338" s="65">
        <v>0.00116208913</v>
      </c>
      <c r="K1338" s="65">
        <v>0.016126473266999997</v>
      </c>
      <c r="L1338" s="65">
        <v>0.0045892535</v>
      </c>
      <c r="N1338" s="66">
        <v>0.030595023333333336</v>
      </c>
      <c r="O1338" s="10">
        <f t="shared" si="329"/>
        <v>0.03059502333</v>
      </c>
      <c r="Q1338" s="67">
        <v>2.9552195</v>
      </c>
      <c r="S1338" s="68">
        <v>7.7142907E-4</v>
      </c>
      <c r="T1338" s="68">
        <v>7.2475264E-4</v>
      </c>
      <c r="U1338" s="68">
        <v>2.8033402E-5</v>
      </c>
      <c r="V1338" s="68">
        <v>1.8643025E-5</v>
      </c>
      <c r="X1338" s="69">
        <v>4.4787952E-6</v>
      </c>
    </row>
    <row r="1339" ht="12.75" customHeight="1">
      <c r="A1339" s="1" t="s">
        <v>2007</v>
      </c>
      <c r="B1339" s="2" t="s">
        <v>1981</v>
      </c>
      <c r="C1339" s="60" t="str">
        <f t="shared" si="330"/>
        <v>B.042.01.127</v>
      </c>
      <c r="D1339" s="51" t="s">
        <v>1979</v>
      </c>
      <c r="E1339" s="62" t="s">
        <v>896</v>
      </c>
      <c r="F1339" s="63" t="str">
        <f t="shared" si="331"/>
        <v>Electricity Slovenia production</v>
      </c>
      <c r="G1339" s="64">
        <v>0.02076615584</v>
      </c>
      <c r="H1339" s="10">
        <f t="shared" si="328"/>
        <v>0.02076615584</v>
      </c>
      <c r="I1339" s="65">
        <v>2.74687162E-4</v>
      </c>
      <c r="J1339" s="65">
        <v>6.189173099999999E-4</v>
      </c>
      <c r="K1339" s="65">
        <v>0.008965406368</v>
      </c>
      <c r="L1339" s="65">
        <v>0.010907145</v>
      </c>
      <c r="N1339" s="66">
        <v>0.07271430000000001</v>
      </c>
      <c r="O1339" s="10">
        <f t="shared" si="329"/>
        <v>0.0727143</v>
      </c>
      <c r="Q1339" s="67">
        <v>2.4034387</v>
      </c>
      <c r="S1339" s="68">
        <v>0.0013180726</v>
      </c>
      <c r="T1339" s="68">
        <v>0.001248187</v>
      </c>
      <c r="U1339" s="68">
        <v>5.7514271E-5</v>
      </c>
      <c r="V1339" s="68">
        <v>1.2371277E-5</v>
      </c>
      <c r="X1339" s="69">
        <v>4.6033781E-6</v>
      </c>
    </row>
    <row r="1340" ht="12.75" customHeight="1">
      <c r="A1340" s="1" t="s">
        <v>2008</v>
      </c>
      <c r="B1340" s="2" t="s">
        <v>1981</v>
      </c>
      <c r="C1340" s="60" t="str">
        <f t="shared" si="330"/>
        <v>B.042.01.128</v>
      </c>
      <c r="D1340" s="51" t="s">
        <v>1979</v>
      </c>
      <c r="E1340" s="62" t="s">
        <v>896</v>
      </c>
      <c r="F1340" s="63" t="str">
        <f t="shared" si="331"/>
        <v>Electricity Spain production</v>
      </c>
      <c r="G1340" s="64">
        <v>0.01396916889</v>
      </c>
      <c r="H1340" s="10">
        <f t="shared" si="328"/>
        <v>0.01396916889</v>
      </c>
      <c r="I1340" s="65">
        <v>5.2511012E-4</v>
      </c>
      <c r="J1340" s="65">
        <v>0.0011404973199999999</v>
      </c>
      <c r="K1340" s="65">
        <v>0.00544618315</v>
      </c>
      <c r="L1340" s="65">
        <v>0.0068573783</v>
      </c>
      <c r="N1340" s="66">
        <v>0.04571585533333333</v>
      </c>
      <c r="O1340" s="10">
        <f t="shared" si="329"/>
        <v>0.04571585533</v>
      </c>
      <c r="Q1340" s="67">
        <v>2.0032378</v>
      </c>
      <c r="S1340" s="68">
        <v>0.001000884</v>
      </c>
      <c r="T1340" s="68">
        <v>9.2852686E-4</v>
      </c>
      <c r="U1340" s="68">
        <v>3.9136037E-5</v>
      </c>
      <c r="V1340" s="68">
        <v>3.3221067E-5</v>
      </c>
      <c r="X1340" s="69">
        <v>3.2312552E-6</v>
      </c>
    </row>
    <row r="1341" ht="12.75" customHeight="1">
      <c r="A1341" s="1" t="s">
        <v>2009</v>
      </c>
      <c r="B1341" s="2" t="s">
        <v>1981</v>
      </c>
      <c r="C1341" s="60" t="str">
        <f t="shared" si="330"/>
        <v>B.042.01.129</v>
      </c>
      <c r="D1341" s="51" t="s">
        <v>1979</v>
      </c>
      <c r="E1341" s="62" t="s">
        <v>896</v>
      </c>
      <c r="F1341" s="63" t="str">
        <f t="shared" si="331"/>
        <v>Electricity Sweden production</v>
      </c>
      <c r="G1341" s="64">
        <v>0.010377848062000001</v>
      </c>
      <c r="H1341" s="10">
        <f t="shared" si="328"/>
        <v>0.01037784806</v>
      </c>
      <c r="I1341" s="65">
        <v>2.9794965200000004E-4</v>
      </c>
      <c r="J1341" s="65">
        <v>6.5114074E-4</v>
      </c>
      <c r="K1341" s="65">
        <v>0.00778880777</v>
      </c>
      <c r="L1341" s="65">
        <v>0.0016399499</v>
      </c>
      <c r="N1341" s="66">
        <v>0.010932999333333334</v>
      </c>
      <c r="O1341" s="10">
        <f t="shared" si="329"/>
        <v>0.01093299933</v>
      </c>
      <c r="Q1341" s="67">
        <v>1.9829879</v>
      </c>
      <c r="S1341" s="68">
        <v>3.332381E-4</v>
      </c>
      <c r="T1341" s="68">
        <v>3.1956111E-4</v>
      </c>
      <c r="U1341" s="68">
        <v>1.0978173E-5</v>
      </c>
      <c r="V1341" s="68">
        <v>2.6988122E-6</v>
      </c>
      <c r="X1341" s="69">
        <v>1.9408943E-6</v>
      </c>
    </row>
    <row r="1342" ht="12.75" customHeight="1">
      <c r="A1342" s="1" t="s">
        <v>2010</v>
      </c>
      <c r="B1342" s="2" t="s">
        <v>1981</v>
      </c>
      <c r="C1342" s="60" t="str">
        <f t="shared" si="330"/>
        <v>B.042.01.131</v>
      </c>
      <c r="D1342" s="51" t="s">
        <v>1979</v>
      </c>
      <c r="E1342" s="62" t="s">
        <v>896</v>
      </c>
      <c r="F1342" s="63" t="str">
        <f t="shared" si="331"/>
        <v>Electricity Switzerland production</v>
      </c>
      <c r="G1342" s="64">
        <v>0.009798522121999999</v>
      </c>
      <c r="H1342" s="10">
        <f t="shared" si="328"/>
        <v>0.009798522122</v>
      </c>
      <c r="I1342" s="65">
        <v>1.58476112E-4</v>
      </c>
      <c r="J1342" s="65">
        <v>4.4492580000000004E-4</v>
      </c>
      <c r="K1342" s="65">
        <v>0.00810632731</v>
      </c>
      <c r="L1342" s="65">
        <v>0.0010887929</v>
      </c>
      <c r="N1342" s="66">
        <v>0.007258619333333333</v>
      </c>
      <c r="O1342" s="10">
        <f t="shared" si="329"/>
        <v>0.007258619333</v>
      </c>
      <c r="Q1342" s="67">
        <v>1.9109067</v>
      </c>
      <c r="S1342" s="68">
        <v>2.3598111E-4</v>
      </c>
      <c r="T1342" s="68">
        <v>2.240756E-4</v>
      </c>
      <c r="U1342" s="68">
        <v>7.5117137E-6</v>
      </c>
      <c r="V1342" s="68">
        <v>4.3938007E-6</v>
      </c>
      <c r="X1342" s="69">
        <v>1.8471507E-6</v>
      </c>
    </row>
    <row r="1343" ht="12.75" customHeight="1">
      <c r="A1343" s="1" t="s">
        <v>2011</v>
      </c>
      <c r="B1343" s="2" t="s">
        <v>1981</v>
      </c>
      <c r="C1343" s="60" t="str">
        <f t="shared" si="330"/>
        <v>B.042.01.132</v>
      </c>
      <c r="D1343" s="51" t="s">
        <v>1979</v>
      </c>
      <c r="E1343" s="62" t="s">
        <v>896</v>
      </c>
      <c r="F1343" s="63" t="str">
        <f t="shared" si="331"/>
        <v>Electricity United Kingdom production</v>
      </c>
      <c r="G1343" s="64">
        <v>0.018409994120000002</v>
      </c>
      <c r="H1343" s="10">
        <f t="shared" si="328"/>
        <v>0.01840999412</v>
      </c>
      <c r="I1343" s="65">
        <v>0.00118461641</v>
      </c>
      <c r="J1343" s="65">
        <v>0.00207840681</v>
      </c>
      <c r="K1343" s="65">
        <v>0.0040496919</v>
      </c>
      <c r="L1343" s="65">
        <v>0.011097279</v>
      </c>
      <c r="N1343" s="66">
        <v>0.07398186</v>
      </c>
      <c r="O1343" s="10">
        <f t="shared" si="329"/>
        <v>0.07398186</v>
      </c>
      <c r="Q1343" s="67">
        <v>2.3220632</v>
      </c>
      <c r="S1343" s="68">
        <v>0.0016588933</v>
      </c>
      <c r="T1343" s="68">
        <v>0.0015472971</v>
      </c>
      <c r="U1343" s="68">
        <v>6.3719709E-5</v>
      </c>
      <c r="V1343" s="68">
        <v>4.7876562E-5</v>
      </c>
      <c r="X1343" s="69">
        <v>4.4640427E-6</v>
      </c>
    </row>
    <row r="1344" ht="12.75" customHeight="1">
      <c r="B1344" s="2"/>
      <c r="C1344" s="60"/>
      <c r="D1344" s="75" t="s">
        <v>2012</v>
      </c>
      <c r="E1344" s="62"/>
      <c r="G1344" s="10"/>
      <c r="H1344" s="10" t="str">
        <f t="shared" si="328"/>
        <v/>
      </c>
      <c r="I1344" s="10"/>
      <c r="J1344" s="10"/>
      <c r="K1344" s="10"/>
      <c r="L1344" s="10"/>
      <c r="N1344" s="10"/>
      <c r="O1344" s="10" t="str">
        <f t="shared" si="329"/>
        <v/>
      </c>
      <c r="Q1344" s="67"/>
    </row>
    <row r="1345" ht="12.75" customHeight="1">
      <c r="A1345" s="1" t="s">
        <v>2013</v>
      </c>
      <c r="B1345" s="2" t="s">
        <v>1981</v>
      </c>
      <c r="C1345" s="60" t="str">
        <f t="shared" ref="C1345:C1373" si="332">MID(A1345,1,12)</f>
        <v>B.042.02.101</v>
      </c>
      <c r="D1345" s="51" t="s">
        <v>2012</v>
      </c>
      <c r="E1345" s="62" t="s">
        <v>896</v>
      </c>
      <c r="F1345" s="63" t="str">
        <f t="shared" ref="F1345:F1373" si="333">MID(A1345, 21,85)</f>
        <v>Electricity .EU-27 consumption</v>
      </c>
      <c r="G1345" s="64">
        <v>0.01800545432</v>
      </c>
      <c r="H1345" s="10">
        <f t="shared" si="328"/>
        <v>0.01800545432</v>
      </c>
      <c r="I1345" s="65">
        <v>6.6762352E-4</v>
      </c>
      <c r="J1345" s="65">
        <v>0.00136061331</v>
      </c>
      <c r="K1345" s="65">
        <v>0.00610328109</v>
      </c>
      <c r="L1345" s="65">
        <v>0.0098739364</v>
      </c>
      <c r="N1345" s="66">
        <v>0.06582624266666667</v>
      </c>
      <c r="O1345" s="10">
        <f t="shared" si="329"/>
        <v>0.06582624267</v>
      </c>
      <c r="Q1345" s="67">
        <v>2.2950534</v>
      </c>
      <c r="S1345" s="68">
        <v>0.0013761811</v>
      </c>
      <c r="T1345" s="68">
        <v>0.0012876602</v>
      </c>
      <c r="U1345" s="68">
        <v>5.5146065E-5</v>
      </c>
      <c r="V1345" s="68">
        <v>3.3374766E-5</v>
      </c>
      <c r="X1345" s="69">
        <v>4.3259023E-6</v>
      </c>
    </row>
    <row r="1346" ht="12.75" customHeight="1">
      <c r="A1346" s="1" t="s">
        <v>2014</v>
      </c>
      <c r="B1346" s="2" t="s">
        <v>1981</v>
      </c>
      <c r="C1346" s="60" t="str">
        <f t="shared" si="332"/>
        <v>B.042.02.102</v>
      </c>
      <c r="D1346" s="51" t="s">
        <v>2012</v>
      </c>
      <c r="E1346" s="62" t="s">
        <v>896</v>
      </c>
      <c r="F1346" s="63" t="str">
        <f t="shared" si="333"/>
        <v>Electricity Austria consumption</v>
      </c>
      <c r="G1346" s="64">
        <v>0.00885171363</v>
      </c>
      <c r="H1346" s="10">
        <f t="shared" si="328"/>
        <v>0.00885171363</v>
      </c>
      <c r="I1346" s="65">
        <v>5.2744267E-4</v>
      </c>
      <c r="J1346" s="65">
        <v>0.00105927434</v>
      </c>
      <c r="K1346" s="65">
        <v>0.00142289582</v>
      </c>
      <c r="L1346" s="65">
        <v>0.0058421008</v>
      </c>
      <c r="N1346" s="66">
        <v>0.038947338666666664</v>
      </c>
      <c r="O1346" s="10">
        <f t="shared" si="329"/>
        <v>0.03894733867</v>
      </c>
      <c r="Q1346" s="67">
        <v>1.6374857</v>
      </c>
      <c r="S1346" s="68">
        <v>8.7731743E-4</v>
      </c>
      <c r="T1346" s="68">
        <v>8.2181249E-4</v>
      </c>
      <c r="U1346" s="68">
        <v>3.3648241E-5</v>
      </c>
      <c r="V1346" s="68">
        <v>2.1856708E-5</v>
      </c>
      <c r="X1346" s="69">
        <v>2.2528852E-6</v>
      </c>
    </row>
    <row r="1347" ht="12.75" customHeight="1">
      <c r="A1347" s="1" t="s">
        <v>2015</v>
      </c>
      <c r="B1347" s="2" t="s">
        <v>1981</v>
      </c>
      <c r="C1347" s="60" t="str">
        <f t="shared" si="332"/>
        <v>B.042.02.103</v>
      </c>
      <c r="D1347" s="51" t="s">
        <v>2012</v>
      </c>
      <c r="E1347" s="62" t="s">
        <v>896</v>
      </c>
      <c r="F1347" s="63" t="str">
        <f t="shared" si="333"/>
        <v>Electricity Belgium consumption</v>
      </c>
      <c r="G1347" s="64">
        <v>0.019955765435</v>
      </c>
      <c r="H1347" s="10">
        <f t="shared" si="328"/>
        <v>0.01995576544</v>
      </c>
      <c r="I1347" s="65">
        <v>6.1224379E-4</v>
      </c>
      <c r="J1347" s="65">
        <v>0.00132342007</v>
      </c>
      <c r="K1347" s="65">
        <v>0.010291896675</v>
      </c>
      <c r="L1347" s="65">
        <v>0.0077282049</v>
      </c>
      <c r="N1347" s="66">
        <v>0.051521366</v>
      </c>
      <c r="O1347" s="10">
        <f t="shared" si="329"/>
        <v>0.051521366</v>
      </c>
      <c r="Q1347" s="67">
        <v>2.4803314</v>
      </c>
      <c r="S1347" s="68">
        <v>0.0011382783</v>
      </c>
      <c r="T1347" s="68">
        <v>0.0010622812</v>
      </c>
      <c r="U1347" s="68">
        <v>4.4287159E-5</v>
      </c>
      <c r="V1347" s="68">
        <v>3.1709966E-5</v>
      </c>
      <c r="X1347" s="69">
        <v>4.3099701E-6</v>
      </c>
    </row>
    <row r="1348" ht="12.75" customHeight="1">
      <c r="A1348" s="1" t="s">
        <v>2016</v>
      </c>
      <c r="B1348" s="2" t="s">
        <v>1981</v>
      </c>
      <c r="C1348" s="60" t="str">
        <f t="shared" si="332"/>
        <v>B.042.02.104</v>
      </c>
      <c r="D1348" s="51" t="s">
        <v>2012</v>
      </c>
      <c r="E1348" s="62" t="s">
        <v>896</v>
      </c>
      <c r="F1348" s="63" t="str">
        <f t="shared" si="333"/>
        <v>Electricity Bulgaria consumption</v>
      </c>
      <c r="G1348" s="64">
        <v>0.026867739659000002</v>
      </c>
      <c r="H1348" s="10">
        <f t="shared" si="328"/>
        <v>0.02686773966</v>
      </c>
      <c r="I1348" s="65">
        <v>4.60298537E-4</v>
      </c>
      <c r="J1348" s="65">
        <v>9.610625699999999E-4</v>
      </c>
      <c r="K1348" s="65">
        <v>0.010228310552</v>
      </c>
      <c r="L1348" s="65">
        <v>0.015218068</v>
      </c>
      <c r="N1348" s="66">
        <v>0.10145378666666667</v>
      </c>
      <c r="O1348" s="10">
        <f t="shared" si="329"/>
        <v>0.1014537867</v>
      </c>
      <c r="Q1348" s="67">
        <v>2.6578918</v>
      </c>
      <c r="S1348" s="68">
        <v>0.001862156</v>
      </c>
      <c r="T1348" s="68">
        <v>0.0017638777</v>
      </c>
      <c r="U1348" s="68">
        <v>8.0584744E-5</v>
      </c>
      <c r="V1348" s="68">
        <v>1.7693536E-5</v>
      </c>
      <c r="X1348" s="69">
        <v>5.8870555E-6</v>
      </c>
    </row>
    <row r="1349" ht="12.75" customHeight="1">
      <c r="A1349" s="1" t="s">
        <v>2017</v>
      </c>
      <c r="B1349" s="2" t="s">
        <v>1981</v>
      </c>
      <c r="C1349" s="60" t="str">
        <f t="shared" si="332"/>
        <v>B.042.02.105</v>
      </c>
      <c r="D1349" s="51" t="s">
        <v>2012</v>
      </c>
      <c r="E1349" s="62" t="s">
        <v>896</v>
      </c>
      <c r="F1349" s="63" t="str">
        <f t="shared" si="333"/>
        <v>Electricity Croatia consumption</v>
      </c>
      <c r="G1349" s="64">
        <v>0.0167228364</v>
      </c>
      <c r="H1349" s="10">
        <f t="shared" si="328"/>
        <v>0.0167228364</v>
      </c>
      <c r="I1349" s="65">
        <v>9.8763929E-4</v>
      </c>
      <c r="J1349" s="65">
        <v>0.00153463352</v>
      </c>
      <c r="K1349" s="65">
        <v>0.00212414259</v>
      </c>
      <c r="L1349" s="65">
        <v>0.012076421</v>
      </c>
      <c r="N1349" s="66">
        <v>0.08050947333333335</v>
      </c>
      <c r="O1349" s="10">
        <f t="shared" si="329"/>
        <v>0.08050947333</v>
      </c>
      <c r="Q1349" s="67">
        <v>1.9923927</v>
      </c>
      <c r="S1349" s="68">
        <v>0.0016482701</v>
      </c>
      <c r="T1349" s="68">
        <v>0.0015522821</v>
      </c>
      <c r="U1349" s="68">
        <v>6.6442118E-5</v>
      </c>
      <c r="V1349" s="68">
        <v>2.9545875E-5</v>
      </c>
      <c r="X1349" s="69">
        <v>4.2989358E-6</v>
      </c>
    </row>
    <row r="1350" ht="12.75" customHeight="1">
      <c r="A1350" s="1" t="s">
        <v>2018</v>
      </c>
      <c r="B1350" s="2" t="s">
        <v>1981</v>
      </c>
      <c r="C1350" s="60" t="str">
        <f t="shared" si="332"/>
        <v>B.042.02.106</v>
      </c>
      <c r="D1350" s="51" t="s">
        <v>2012</v>
      </c>
      <c r="E1350" s="62" t="s">
        <v>896</v>
      </c>
      <c r="F1350" s="63" t="str">
        <f t="shared" si="333"/>
        <v>Electricity Cyprus consumption</v>
      </c>
      <c r="G1350" s="64">
        <v>0.031665652476</v>
      </c>
      <c r="H1350" s="10">
        <f t="shared" si="328"/>
        <v>0.03166565248</v>
      </c>
      <c r="I1350" s="65">
        <v>0.0013107390999999998</v>
      </c>
      <c r="J1350" s="65">
        <v>0.006436961200000001</v>
      </c>
      <c r="K1350" s="65">
        <v>6.3300176E-5</v>
      </c>
      <c r="L1350" s="65">
        <v>0.023854652</v>
      </c>
      <c r="N1350" s="66">
        <v>0.15903101333333333</v>
      </c>
      <c r="O1350" s="10">
        <f t="shared" si="329"/>
        <v>0.1590310133</v>
      </c>
      <c r="Q1350" s="67">
        <v>2.2873681</v>
      </c>
      <c r="S1350" s="68">
        <v>0.0043136096</v>
      </c>
      <c r="T1350" s="68">
        <v>0.0040180894</v>
      </c>
      <c r="U1350" s="68">
        <v>1.5115615E-4</v>
      </c>
      <c r="V1350" s="68">
        <v>1.4436404E-4</v>
      </c>
      <c r="X1350" s="69">
        <v>8.5994331E-6</v>
      </c>
    </row>
    <row r="1351" ht="12.75" customHeight="1">
      <c r="A1351" s="1" t="s">
        <v>2019</v>
      </c>
      <c r="B1351" s="2" t="s">
        <v>1981</v>
      </c>
      <c r="C1351" s="60" t="str">
        <f t="shared" si="332"/>
        <v>B.042.02.107</v>
      </c>
      <c r="D1351" s="51" t="s">
        <v>2012</v>
      </c>
      <c r="E1351" s="62" t="s">
        <v>896</v>
      </c>
      <c r="F1351" s="63" t="str">
        <f t="shared" si="333"/>
        <v>Electricity Czechia consumption</v>
      </c>
      <c r="G1351" s="64">
        <v>0.029235215935000003</v>
      </c>
      <c r="H1351" s="10">
        <f t="shared" si="328"/>
        <v>0.02923521594</v>
      </c>
      <c r="I1351" s="65">
        <v>6.0852863E-4</v>
      </c>
      <c r="J1351" s="65">
        <v>0.00123136043</v>
      </c>
      <c r="K1351" s="65">
        <v>0.009073839875000001</v>
      </c>
      <c r="L1351" s="65">
        <v>0.018321487</v>
      </c>
      <c r="N1351" s="66">
        <v>0.12214324666666668</v>
      </c>
      <c r="O1351" s="10">
        <f t="shared" si="329"/>
        <v>0.1221432467</v>
      </c>
      <c r="Q1351" s="67">
        <v>2.877052</v>
      </c>
      <c r="S1351" s="68">
        <v>0.0022562336</v>
      </c>
      <c r="T1351" s="68">
        <v>0.0021349701</v>
      </c>
      <c r="U1351" s="68">
        <v>9.7231898E-5</v>
      </c>
      <c r="V1351" s="68">
        <v>2.4031659E-5</v>
      </c>
      <c r="X1351" s="69">
        <v>6.8784358E-6</v>
      </c>
    </row>
    <row r="1352" ht="12.75" customHeight="1">
      <c r="A1352" s="1" t="s">
        <v>2020</v>
      </c>
      <c r="B1352" s="2" t="s">
        <v>1981</v>
      </c>
      <c r="C1352" s="60" t="str">
        <f t="shared" si="332"/>
        <v>B.042.02.108</v>
      </c>
      <c r="D1352" s="51" t="s">
        <v>2012</v>
      </c>
      <c r="E1352" s="62" t="s">
        <v>896</v>
      </c>
      <c r="F1352" s="63" t="str">
        <f t="shared" si="333"/>
        <v>Electricity Denmark consumption</v>
      </c>
      <c r="G1352" s="64">
        <v>0.00826422838</v>
      </c>
      <c r="H1352" s="10">
        <f t="shared" si="328"/>
        <v>0.00826422838</v>
      </c>
      <c r="I1352" s="65">
        <v>6.8179223E-4</v>
      </c>
      <c r="J1352" s="65">
        <v>0.00119853415</v>
      </c>
      <c r="K1352" s="65">
        <v>0.001586238</v>
      </c>
      <c r="L1352" s="65">
        <v>0.004797664</v>
      </c>
      <c r="N1352" s="66">
        <v>0.03198442666666667</v>
      </c>
      <c r="O1352" s="10">
        <f t="shared" si="329"/>
        <v>0.03198442667</v>
      </c>
      <c r="Q1352" s="67">
        <v>1.7292945</v>
      </c>
      <c r="S1352" s="68">
        <v>7.9242588E-4</v>
      </c>
      <c r="T1352" s="68">
        <v>7.5218747E-4</v>
      </c>
      <c r="U1352" s="68">
        <v>2.8769798E-5</v>
      </c>
      <c r="V1352" s="68">
        <v>1.1468613E-5</v>
      </c>
      <c r="X1352" s="69">
        <v>1.9869905E-6</v>
      </c>
    </row>
    <row r="1353" ht="12.75" customHeight="1">
      <c r="A1353" s="1" t="s">
        <v>2021</v>
      </c>
      <c r="B1353" s="2" t="s">
        <v>1981</v>
      </c>
      <c r="C1353" s="60" t="str">
        <f t="shared" si="332"/>
        <v>B.042.02.109</v>
      </c>
      <c r="D1353" s="51" t="s">
        <v>2012</v>
      </c>
      <c r="E1353" s="62" t="s">
        <v>896</v>
      </c>
      <c r="F1353" s="63" t="str">
        <f t="shared" si="333"/>
        <v>Electricity Estonia consumption</v>
      </c>
      <c r="G1353" s="64">
        <v>0.01814565285</v>
      </c>
      <c r="H1353" s="10">
        <f t="shared" si="328"/>
        <v>0.01814565285</v>
      </c>
      <c r="I1353" s="65">
        <v>0.00110514325</v>
      </c>
      <c r="J1353" s="65">
        <v>0.00306167171</v>
      </c>
      <c r="K1353" s="65">
        <v>0.00591128999</v>
      </c>
      <c r="L1353" s="65">
        <v>0.0080675479</v>
      </c>
      <c r="N1353" s="66">
        <v>0.05378365266666667</v>
      </c>
      <c r="O1353" s="10">
        <f t="shared" si="329"/>
        <v>0.05378365267</v>
      </c>
      <c r="Q1353" s="67">
        <v>2.4387287</v>
      </c>
      <c r="S1353" s="68">
        <v>0.0016425745</v>
      </c>
      <c r="T1353" s="68">
        <v>0.0015475494</v>
      </c>
      <c r="U1353" s="68">
        <v>5.4106699E-5</v>
      </c>
      <c r="V1353" s="68">
        <v>4.0918347E-5</v>
      </c>
      <c r="X1353" s="69">
        <v>4.2380222E-6</v>
      </c>
    </row>
    <row r="1354" ht="12.75" customHeight="1">
      <c r="A1354" s="1" t="s">
        <v>2022</v>
      </c>
      <c r="B1354" s="2" t="s">
        <v>1981</v>
      </c>
      <c r="C1354" s="60" t="str">
        <f t="shared" si="332"/>
        <v>B.042.02.110</v>
      </c>
      <c r="D1354" s="51" t="s">
        <v>2012</v>
      </c>
      <c r="E1354" s="62" t="s">
        <v>896</v>
      </c>
      <c r="F1354" s="63" t="str">
        <f t="shared" si="333"/>
        <v>Electricity Finland consumption</v>
      </c>
      <c r="G1354" s="64">
        <v>0.01417562638</v>
      </c>
      <c r="H1354" s="10">
        <f t="shared" si="328"/>
        <v>0.01417562638</v>
      </c>
      <c r="I1354" s="65">
        <v>5.6523919E-4</v>
      </c>
      <c r="J1354" s="65">
        <v>0.00121941544</v>
      </c>
      <c r="K1354" s="65">
        <v>0.00978544925</v>
      </c>
      <c r="L1354" s="65">
        <v>0.0026055225</v>
      </c>
      <c r="N1354" s="66">
        <v>0.01737015</v>
      </c>
      <c r="O1354" s="10">
        <f t="shared" si="329"/>
        <v>0.01737015</v>
      </c>
      <c r="Q1354" s="67">
        <v>2.3526956</v>
      </c>
      <c r="S1354" s="68">
        <v>5.7405349E-4</v>
      </c>
      <c r="T1354" s="68">
        <v>5.4763323E-4</v>
      </c>
      <c r="U1354" s="68">
        <v>1.816781E-5</v>
      </c>
      <c r="V1354" s="68">
        <v>8.2524465E-6</v>
      </c>
      <c r="X1354" s="69">
        <v>2.805464E-6</v>
      </c>
    </row>
    <row r="1355" ht="12.75" customHeight="1">
      <c r="A1355" s="1" t="s">
        <v>2023</v>
      </c>
      <c r="B1355" s="2" t="s">
        <v>1981</v>
      </c>
      <c r="C1355" s="60" t="str">
        <f t="shared" si="332"/>
        <v>B.042.02.111</v>
      </c>
      <c r="D1355" s="51" t="s">
        <v>2012</v>
      </c>
      <c r="E1355" s="62" t="s">
        <v>896</v>
      </c>
      <c r="F1355" s="63" t="str">
        <f t="shared" si="333"/>
        <v>Electricity France consumption</v>
      </c>
      <c r="G1355" s="64">
        <v>0.020359115828999998</v>
      </c>
      <c r="H1355" s="10">
        <f t="shared" si="328"/>
        <v>0.02035911583</v>
      </c>
      <c r="I1355" s="65">
        <v>2.55500398E-4</v>
      </c>
      <c r="J1355" s="65">
        <v>8.0977381E-4</v>
      </c>
      <c r="K1355" s="65">
        <v>0.017468615120999998</v>
      </c>
      <c r="L1355" s="65">
        <v>0.0018252265</v>
      </c>
      <c r="N1355" s="66">
        <v>0.012168176666666667</v>
      </c>
      <c r="O1355" s="10">
        <f t="shared" si="329"/>
        <v>0.01216817667</v>
      </c>
      <c r="Q1355" s="67">
        <v>2.9257933</v>
      </c>
      <c r="S1355" s="68">
        <v>3.9474386E-4</v>
      </c>
      <c r="T1355" s="68">
        <v>3.719092E-4</v>
      </c>
      <c r="U1355" s="68">
        <v>1.2820588E-5</v>
      </c>
      <c r="V1355" s="68">
        <v>1.0014071E-5</v>
      </c>
      <c r="X1355" s="69">
        <v>3.8612139E-6</v>
      </c>
    </row>
    <row r="1356" ht="12.75" customHeight="1">
      <c r="A1356" s="1" t="s">
        <v>2024</v>
      </c>
      <c r="B1356" s="2" t="s">
        <v>1981</v>
      </c>
      <c r="C1356" s="60" t="str">
        <f t="shared" si="332"/>
        <v>B.042.02.112</v>
      </c>
      <c r="D1356" s="51" t="s">
        <v>2012</v>
      </c>
      <c r="E1356" s="62" t="s">
        <v>896</v>
      </c>
      <c r="F1356" s="63" t="str">
        <f t="shared" si="333"/>
        <v>Electricity Germany consumption</v>
      </c>
      <c r="G1356" s="64">
        <v>0.0175847183</v>
      </c>
      <c r="H1356" s="10">
        <f t="shared" si="328"/>
        <v>0.0175847183</v>
      </c>
      <c r="I1356" s="65">
        <v>8.118172E-4</v>
      </c>
      <c r="J1356" s="65">
        <v>0.00154941533</v>
      </c>
      <c r="K1356" s="65">
        <v>0.00102590777</v>
      </c>
      <c r="L1356" s="65">
        <v>0.014197578</v>
      </c>
      <c r="N1356" s="66">
        <v>0.09465052</v>
      </c>
      <c r="O1356" s="10">
        <f t="shared" si="329"/>
        <v>0.09465052</v>
      </c>
      <c r="Q1356" s="67">
        <v>2.0304167</v>
      </c>
      <c r="S1356" s="68">
        <v>0.0018830333</v>
      </c>
      <c r="T1356" s="68">
        <v>0.0017686482</v>
      </c>
      <c r="U1356" s="68">
        <v>7.7559154E-5</v>
      </c>
      <c r="V1356" s="68">
        <v>3.682592E-5</v>
      </c>
      <c r="X1356" s="69">
        <v>4.6084261E-6</v>
      </c>
    </row>
    <row r="1357" ht="12.75" customHeight="1">
      <c r="A1357" s="1" t="s">
        <v>2025</v>
      </c>
      <c r="B1357" s="2" t="s">
        <v>1981</v>
      </c>
      <c r="C1357" s="60" t="str">
        <f t="shared" si="332"/>
        <v>B.042.02.113</v>
      </c>
      <c r="D1357" s="51" t="s">
        <v>2012</v>
      </c>
      <c r="E1357" s="62" t="s">
        <v>896</v>
      </c>
      <c r="F1357" s="63" t="str">
        <f t="shared" si="333"/>
        <v>Electricity Greece consumption</v>
      </c>
      <c r="G1357" s="64">
        <v>0.01953830122</v>
      </c>
      <c r="H1357" s="10">
        <f t="shared" si="328"/>
        <v>0.01953830122</v>
      </c>
      <c r="I1357" s="65">
        <v>9.808408E-4</v>
      </c>
      <c r="J1357" s="65">
        <v>0.00194216631</v>
      </c>
      <c r="K1357" s="65">
        <v>5.7357011E-4</v>
      </c>
      <c r="L1357" s="65">
        <v>0.016041724</v>
      </c>
      <c r="N1357" s="66">
        <v>0.10694482666666667</v>
      </c>
      <c r="O1357" s="10">
        <f t="shared" si="329"/>
        <v>0.1069448267</v>
      </c>
      <c r="Q1357" s="67">
        <v>1.9596246</v>
      </c>
      <c r="S1357" s="68">
        <v>0.0021727898</v>
      </c>
      <c r="T1357" s="68">
        <v>0.0020198207</v>
      </c>
      <c r="U1357" s="68">
        <v>8.8422137E-5</v>
      </c>
      <c r="V1357" s="68">
        <v>6.4547024E-5</v>
      </c>
      <c r="X1357" s="69">
        <v>5.1905612E-6</v>
      </c>
    </row>
    <row r="1358" ht="12.75" customHeight="1">
      <c r="A1358" s="1" t="s">
        <v>2026</v>
      </c>
      <c r="B1358" s="2" t="s">
        <v>1981</v>
      </c>
      <c r="C1358" s="60" t="str">
        <f t="shared" si="332"/>
        <v>B.042.02.114</v>
      </c>
      <c r="D1358" s="51" t="s">
        <v>2012</v>
      </c>
      <c r="E1358" s="62" t="s">
        <v>896</v>
      </c>
      <c r="F1358" s="63" t="str">
        <f t="shared" si="333"/>
        <v>Electricity Hungary consumption</v>
      </c>
      <c r="G1358" s="64">
        <v>0.021532087382999998</v>
      </c>
      <c r="H1358" s="10">
        <f t="shared" si="328"/>
        <v>0.02153208738</v>
      </c>
      <c r="I1358" s="65">
        <v>6.2624227E-4</v>
      </c>
      <c r="J1358" s="65">
        <v>0.00125059471</v>
      </c>
      <c r="K1358" s="65">
        <v>0.011337422203</v>
      </c>
      <c r="L1358" s="65">
        <v>0.0083178282</v>
      </c>
      <c r="N1358" s="66">
        <v>0.055452188000000006</v>
      </c>
      <c r="O1358" s="10">
        <f t="shared" si="329"/>
        <v>0.055452188</v>
      </c>
      <c r="Q1358" s="67">
        <v>2.6379326</v>
      </c>
      <c r="S1358" s="68">
        <v>0.0011828819</v>
      </c>
      <c r="T1358" s="68">
        <v>0.001109822</v>
      </c>
      <c r="U1358" s="68">
        <v>4.6862303E-5</v>
      </c>
      <c r="V1358" s="68">
        <v>2.619763E-5</v>
      </c>
      <c r="X1358" s="69">
        <v>4.6586367E-6</v>
      </c>
    </row>
    <row r="1359" ht="12.75" customHeight="1">
      <c r="A1359" s="1" t="s">
        <v>2027</v>
      </c>
      <c r="B1359" s="2" t="s">
        <v>1981</v>
      </c>
      <c r="C1359" s="60" t="str">
        <f t="shared" si="332"/>
        <v>B.042.02.115</v>
      </c>
      <c r="D1359" s="51" t="s">
        <v>2012</v>
      </c>
      <c r="E1359" s="62" t="s">
        <v>896</v>
      </c>
      <c r="F1359" s="63" t="str">
        <f t="shared" si="333"/>
        <v>Electricity Ireland consumption</v>
      </c>
      <c r="G1359" s="64">
        <v>0.01885567253</v>
      </c>
      <c r="H1359" s="10">
        <f t="shared" si="328"/>
        <v>0.01885567253</v>
      </c>
      <c r="I1359" s="65">
        <v>0.00105494468</v>
      </c>
      <c r="J1359" s="65">
        <v>0.0018304405200000001</v>
      </c>
      <c r="K1359" s="65">
        <v>5.505123299999999E-4</v>
      </c>
      <c r="L1359" s="65">
        <v>0.015419775</v>
      </c>
      <c r="N1359" s="66">
        <v>0.1027985</v>
      </c>
      <c r="O1359" s="10">
        <f t="shared" si="329"/>
        <v>0.1027985</v>
      </c>
      <c r="Q1359" s="67">
        <v>1.9498854</v>
      </c>
      <c r="S1359" s="68">
        <v>0.0020543583</v>
      </c>
      <c r="T1359" s="68">
        <v>0.0019000213</v>
      </c>
      <c r="U1359" s="68">
        <v>8.4395696E-5</v>
      </c>
      <c r="V1359" s="68">
        <v>6.9941255E-5</v>
      </c>
      <c r="X1359" s="69">
        <v>4.9916973E-6</v>
      </c>
    </row>
    <row r="1360" ht="12.75" customHeight="1">
      <c r="A1360" s="1" t="s">
        <v>2028</v>
      </c>
      <c r="B1360" s="2" t="s">
        <v>1981</v>
      </c>
      <c r="C1360" s="60" t="str">
        <f t="shared" si="332"/>
        <v>B.042.02.116</v>
      </c>
      <c r="D1360" s="51" t="s">
        <v>2012</v>
      </c>
      <c r="E1360" s="62" t="s">
        <v>896</v>
      </c>
      <c r="F1360" s="63" t="str">
        <f t="shared" si="333"/>
        <v>Electricity Italy consumption</v>
      </c>
      <c r="G1360" s="64">
        <v>0.01691565145</v>
      </c>
      <c r="H1360" s="10">
        <f t="shared" si="328"/>
        <v>0.01691565145</v>
      </c>
      <c r="I1360" s="65">
        <v>9.6725322E-4</v>
      </c>
      <c r="J1360" s="65">
        <v>0.0017878376200000001</v>
      </c>
      <c r="K1360" s="65">
        <v>0.0019511726099999999</v>
      </c>
      <c r="L1360" s="65">
        <v>0.012209388</v>
      </c>
      <c r="N1360" s="66">
        <v>0.08139592</v>
      </c>
      <c r="O1360" s="10">
        <f t="shared" si="329"/>
        <v>0.08139592</v>
      </c>
      <c r="Q1360" s="67">
        <v>1.9856313</v>
      </c>
      <c r="S1360" s="68">
        <v>0.0017135482</v>
      </c>
      <c r="T1360" s="68">
        <v>0.0015865348</v>
      </c>
      <c r="U1360" s="68">
        <v>6.8291197E-5</v>
      </c>
      <c r="V1360" s="68">
        <v>5.8722235E-5</v>
      </c>
      <c r="X1360" s="69">
        <v>4.3994333E-6</v>
      </c>
    </row>
    <row r="1361" ht="12.75" customHeight="1">
      <c r="A1361" s="1" t="s">
        <v>2029</v>
      </c>
      <c r="B1361" s="2" t="s">
        <v>1981</v>
      </c>
      <c r="C1361" s="60" t="str">
        <f t="shared" si="332"/>
        <v>B.042.02.117</v>
      </c>
      <c r="D1361" s="51" t="s">
        <v>2012</v>
      </c>
      <c r="E1361" s="62" t="s">
        <v>896</v>
      </c>
      <c r="F1361" s="63" t="str">
        <f t="shared" si="333"/>
        <v>Electricity Latvia consumption</v>
      </c>
      <c r="G1361" s="64">
        <v>0.01475035041</v>
      </c>
      <c r="H1361" s="10">
        <f t="shared" si="328"/>
        <v>0.01475035041</v>
      </c>
      <c r="I1361" s="65">
        <v>0.00124163837</v>
      </c>
      <c r="J1361" s="65">
        <v>0.0026328866000000003</v>
      </c>
      <c r="K1361" s="65">
        <v>4.2382844E-4</v>
      </c>
      <c r="L1361" s="65">
        <v>0.010451997</v>
      </c>
      <c r="N1361" s="66">
        <v>0.06967998</v>
      </c>
      <c r="O1361" s="10">
        <f t="shared" si="329"/>
        <v>0.06967998</v>
      </c>
      <c r="Q1361" s="67">
        <v>1.9700614</v>
      </c>
      <c r="S1361" s="68">
        <v>0.0017580855</v>
      </c>
      <c r="T1361" s="68">
        <v>0.0016449467</v>
      </c>
      <c r="U1361" s="68">
        <v>6.3382094E-5</v>
      </c>
      <c r="V1361" s="68">
        <v>4.9756723E-5</v>
      </c>
      <c r="X1361" s="69">
        <v>3.8674485E-6</v>
      </c>
    </row>
    <row r="1362" ht="12.75" customHeight="1">
      <c r="A1362" s="1" t="s">
        <v>2030</v>
      </c>
      <c r="B1362" s="2" t="s">
        <v>1981</v>
      </c>
      <c r="C1362" s="60" t="str">
        <f t="shared" si="332"/>
        <v>B.042.02.118</v>
      </c>
      <c r="D1362" s="51" t="s">
        <v>2012</v>
      </c>
      <c r="E1362" s="62" t="s">
        <v>896</v>
      </c>
      <c r="F1362" s="63" t="str">
        <f t="shared" si="333"/>
        <v>Electricity Lithuania consumption</v>
      </c>
      <c r="G1362" s="64">
        <v>0.014568884939999999</v>
      </c>
      <c r="H1362" s="10">
        <f t="shared" si="328"/>
        <v>0.01456888494</v>
      </c>
      <c r="I1362" s="65">
        <v>9.4889914E-4</v>
      </c>
      <c r="J1362" s="65">
        <v>0.0017350834999999998</v>
      </c>
      <c r="K1362" s="65">
        <v>0.0033298458</v>
      </c>
      <c r="L1362" s="65">
        <v>0.0085550565</v>
      </c>
      <c r="N1362" s="66">
        <v>0.05703371</v>
      </c>
      <c r="O1362" s="10">
        <f t="shared" si="329"/>
        <v>0.05703371</v>
      </c>
      <c r="Q1362" s="67">
        <v>1.9773117</v>
      </c>
      <c r="S1362" s="68">
        <v>0.0013258238</v>
      </c>
      <c r="T1362" s="68">
        <v>0.0012442423</v>
      </c>
      <c r="U1362" s="68">
        <v>4.9843431E-5</v>
      </c>
      <c r="V1362" s="68">
        <v>3.173811E-5</v>
      </c>
      <c r="X1362" s="69">
        <v>3.5294291E-6</v>
      </c>
    </row>
    <row r="1363" ht="12.75" customHeight="1">
      <c r="A1363" s="1" t="s">
        <v>2031</v>
      </c>
      <c r="B1363" s="2" t="s">
        <v>1981</v>
      </c>
      <c r="C1363" s="60" t="str">
        <f t="shared" si="332"/>
        <v>B.042.02.119</v>
      </c>
      <c r="D1363" s="51" t="s">
        <v>2012</v>
      </c>
      <c r="E1363" s="62" t="s">
        <v>896</v>
      </c>
      <c r="F1363" s="63" t="str">
        <f t="shared" si="333"/>
        <v>Electricity Luxembourg consumption</v>
      </c>
      <c r="G1363" s="64">
        <v>0.01487052019</v>
      </c>
      <c r="H1363" s="10">
        <f t="shared" si="328"/>
        <v>0.01487052019</v>
      </c>
      <c r="I1363" s="65">
        <v>9.6049853E-4</v>
      </c>
      <c r="J1363" s="65">
        <v>0.00177739081</v>
      </c>
      <c r="K1363" s="65">
        <v>0.00303224885</v>
      </c>
      <c r="L1363" s="65">
        <v>0.009100382</v>
      </c>
      <c r="N1363" s="66">
        <v>0.06066921333333334</v>
      </c>
      <c r="O1363" s="10">
        <f t="shared" si="329"/>
        <v>0.06066921333</v>
      </c>
      <c r="Q1363" s="67">
        <v>2.16521</v>
      </c>
      <c r="S1363" s="68">
        <v>0.0013883461</v>
      </c>
      <c r="T1363" s="68">
        <v>0.0013052075</v>
      </c>
      <c r="U1363" s="68">
        <v>5.2726245E-5</v>
      </c>
      <c r="V1363" s="68">
        <v>3.0412336E-5</v>
      </c>
      <c r="X1363" s="69">
        <v>3.7219526E-6</v>
      </c>
    </row>
    <row r="1364" ht="12.75" customHeight="1">
      <c r="A1364" s="1" t="s">
        <v>2032</v>
      </c>
      <c r="B1364" s="2" t="s">
        <v>1981</v>
      </c>
      <c r="C1364" s="60" t="str">
        <f t="shared" si="332"/>
        <v>B.042.02.120</v>
      </c>
      <c r="D1364" s="51" t="s">
        <v>2012</v>
      </c>
      <c r="E1364" s="62" t="s">
        <v>896</v>
      </c>
      <c r="F1364" s="63" t="str">
        <f t="shared" si="333"/>
        <v>Electricity Malta consumption</v>
      </c>
      <c r="G1364" s="64">
        <v>0.024080292801</v>
      </c>
      <c r="H1364" s="10">
        <f t="shared" si="328"/>
        <v>0.0240802928</v>
      </c>
      <c r="I1364" s="65">
        <v>0.00139294455</v>
      </c>
      <c r="J1364" s="65">
        <v>0.00226166455</v>
      </c>
      <c r="K1364" s="65">
        <v>5.9665701E-5</v>
      </c>
      <c r="L1364" s="65">
        <v>0.020366018</v>
      </c>
      <c r="N1364" s="66">
        <v>0.13577345333333335</v>
      </c>
      <c r="O1364" s="10">
        <f t="shared" si="329"/>
        <v>0.1357734533</v>
      </c>
      <c r="Q1364" s="67">
        <v>2.1298865</v>
      </c>
      <c r="S1364" s="68">
        <v>0.0026608248</v>
      </c>
      <c r="T1364" s="68">
        <v>0.0024474337</v>
      </c>
      <c r="U1364" s="68">
        <v>1.1053293E-4</v>
      </c>
      <c r="V1364" s="68">
        <v>1.0285822E-4</v>
      </c>
      <c r="X1364" s="69">
        <v>6.5551889E-6</v>
      </c>
    </row>
    <row r="1365" ht="12.75" customHeight="1">
      <c r="A1365" s="1" t="s">
        <v>2033</v>
      </c>
      <c r="B1365" s="2" t="s">
        <v>1981</v>
      </c>
      <c r="C1365" s="60" t="str">
        <f t="shared" si="332"/>
        <v>B.042.02.121</v>
      </c>
      <c r="D1365" s="51" t="s">
        <v>2012</v>
      </c>
      <c r="E1365" s="62" t="s">
        <v>896</v>
      </c>
      <c r="F1365" s="63" t="str">
        <f t="shared" si="333"/>
        <v>Electricity Netherlands consumption</v>
      </c>
      <c r="G1365" s="64">
        <v>0.0174085787</v>
      </c>
      <c r="H1365" s="10">
        <f t="shared" si="328"/>
        <v>0.0174085787</v>
      </c>
      <c r="I1365" s="65">
        <v>9.057598E-4</v>
      </c>
      <c r="J1365" s="65">
        <v>0.00165048609</v>
      </c>
      <c r="K1365" s="65">
        <v>0.0011700848099999999</v>
      </c>
      <c r="L1365" s="65">
        <v>0.013682248</v>
      </c>
      <c r="N1365" s="66">
        <v>0.09121498666666666</v>
      </c>
      <c r="O1365" s="10">
        <f t="shared" si="329"/>
        <v>0.09121498667</v>
      </c>
      <c r="Q1365" s="67">
        <v>1.9075373</v>
      </c>
      <c r="S1365" s="68">
        <v>0.0018393644</v>
      </c>
      <c r="T1365" s="68">
        <v>0.0017121568</v>
      </c>
      <c r="U1365" s="68">
        <v>7.5168988E-5</v>
      </c>
      <c r="V1365" s="68">
        <v>5.2038603E-5</v>
      </c>
      <c r="X1365" s="69">
        <v>4.4882495E-6</v>
      </c>
    </row>
    <row r="1366" ht="12.75" customHeight="1">
      <c r="A1366" s="1" t="s">
        <v>2034</v>
      </c>
      <c r="B1366" s="2" t="s">
        <v>1981</v>
      </c>
      <c r="C1366" s="60" t="str">
        <f t="shared" si="332"/>
        <v>B.042.02.123</v>
      </c>
      <c r="D1366" s="51" t="s">
        <v>2012</v>
      </c>
      <c r="E1366" s="62" t="s">
        <v>896</v>
      </c>
      <c r="F1366" s="63" t="str">
        <f t="shared" si="333"/>
        <v>Electricity Poland consumption</v>
      </c>
      <c r="G1366" s="64">
        <v>0.029164687128</v>
      </c>
      <c r="H1366" s="10">
        <f t="shared" si="328"/>
        <v>0.02916468713</v>
      </c>
      <c r="I1366" s="65">
        <v>7.4155746E-4</v>
      </c>
      <c r="J1366" s="65">
        <v>0.00155348464</v>
      </c>
      <c r="K1366" s="65">
        <v>3.58631028E-4</v>
      </c>
      <c r="L1366" s="65">
        <v>0.026511014</v>
      </c>
      <c r="N1366" s="66">
        <v>0.17674009333333335</v>
      </c>
      <c r="O1366" s="10">
        <f t="shared" si="329"/>
        <v>0.1767400933</v>
      </c>
      <c r="Q1366" s="67">
        <v>2.4135406</v>
      </c>
      <c r="S1366" s="68">
        <v>0.0032160424</v>
      </c>
      <c r="T1366" s="68">
        <v>0.0030324535</v>
      </c>
      <c r="U1366" s="68">
        <v>1.3981584E-4</v>
      </c>
      <c r="V1366" s="68">
        <v>4.3773063E-5</v>
      </c>
      <c r="X1366" s="69">
        <v>7.7218686E-6</v>
      </c>
    </row>
    <row r="1367" ht="12.75" customHeight="1">
      <c r="A1367" s="1" t="s">
        <v>2035</v>
      </c>
      <c r="B1367" s="2" t="s">
        <v>1981</v>
      </c>
      <c r="C1367" s="60" t="str">
        <f t="shared" si="332"/>
        <v>B.042.02.124</v>
      </c>
      <c r="D1367" s="51" t="s">
        <v>2012</v>
      </c>
      <c r="E1367" s="62" t="s">
        <v>896</v>
      </c>
      <c r="F1367" s="63" t="str">
        <f t="shared" si="333"/>
        <v>Electricity Portugal consumption</v>
      </c>
      <c r="G1367" s="64">
        <v>0.00801202223</v>
      </c>
      <c r="H1367" s="10">
        <f t="shared" si="328"/>
        <v>0.00801202223</v>
      </c>
      <c r="I1367" s="65">
        <v>6.1418342E-4</v>
      </c>
      <c r="J1367" s="65">
        <v>0.00116488127</v>
      </c>
      <c r="K1367" s="65">
        <v>0.00136089914</v>
      </c>
      <c r="L1367" s="65">
        <v>0.0048720584</v>
      </c>
      <c r="N1367" s="66">
        <v>0.03248038933333334</v>
      </c>
      <c r="O1367" s="10">
        <f t="shared" si="329"/>
        <v>0.03248038933</v>
      </c>
      <c r="Q1367" s="67">
        <v>1.6580399</v>
      </c>
      <c r="S1367" s="68">
        <v>7.9161707E-4</v>
      </c>
      <c r="T1367" s="68">
        <v>7.3748993E-4</v>
      </c>
      <c r="U1367" s="68">
        <v>2.9071449E-5</v>
      </c>
      <c r="V1367" s="68">
        <v>2.5055693E-5</v>
      </c>
      <c r="X1367" s="69">
        <v>2.0067398E-6</v>
      </c>
    </row>
    <row r="1368" ht="12.75" customHeight="1">
      <c r="A1368" s="1" t="s">
        <v>2036</v>
      </c>
      <c r="B1368" s="2" t="s">
        <v>1981</v>
      </c>
      <c r="C1368" s="60" t="str">
        <f t="shared" si="332"/>
        <v>B.042.02.125</v>
      </c>
      <c r="D1368" s="51" t="s">
        <v>2012</v>
      </c>
      <c r="E1368" s="62" t="s">
        <v>896</v>
      </c>
      <c r="F1368" s="63" t="str">
        <f t="shared" si="333"/>
        <v>Electricity Romania consumption</v>
      </c>
      <c r="G1368" s="64">
        <v>0.02109703473</v>
      </c>
      <c r="H1368" s="10">
        <f t="shared" si="328"/>
        <v>0.02109703473</v>
      </c>
      <c r="I1368" s="65">
        <v>5.887300099999999E-4</v>
      </c>
      <c r="J1368" s="65">
        <v>0.00106234693</v>
      </c>
      <c r="K1368" s="65">
        <v>0.00606501479</v>
      </c>
      <c r="L1368" s="65">
        <v>0.013380943</v>
      </c>
      <c r="N1368" s="66">
        <v>0.08920628666666666</v>
      </c>
      <c r="O1368" s="10">
        <f t="shared" si="329"/>
        <v>0.08920628667</v>
      </c>
      <c r="Q1368" s="67">
        <v>2.26332</v>
      </c>
      <c r="S1368" s="68">
        <v>0.0016781802</v>
      </c>
      <c r="T1368" s="68">
        <v>0.0015758169</v>
      </c>
      <c r="U1368" s="68">
        <v>7.1463834E-5</v>
      </c>
      <c r="V1368" s="68">
        <v>3.0899432E-5</v>
      </c>
      <c r="X1368" s="69">
        <v>4.9545161E-6</v>
      </c>
    </row>
    <row r="1369" ht="12.75" customHeight="1">
      <c r="A1369" s="1" t="s">
        <v>2037</v>
      </c>
      <c r="B1369" s="2" t="s">
        <v>1981</v>
      </c>
      <c r="C1369" s="60" t="str">
        <f t="shared" si="332"/>
        <v>B.042.02.126</v>
      </c>
      <c r="D1369" s="51" t="s">
        <v>2012</v>
      </c>
      <c r="E1369" s="62" t="s">
        <v>896</v>
      </c>
      <c r="F1369" s="63" t="str">
        <f t="shared" si="333"/>
        <v>Electricity Slovakia consumption</v>
      </c>
      <c r="G1369" s="64">
        <v>0.024463459769</v>
      </c>
      <c r="H1369" s="10">
        <f t="shared" si="328"/>
        <v>0.02446345977</v>
      </c>
      <c r="I1369" s="65">
        <v>5.2360533E-4</v>
      </c>
      <c r="J1369" s="65">
        <v>0.00121099914</v>
      </c>
      <c r="K1369" s="65">
        <v>0.013648924799</v>
      </c>
      <c r="L1369" s="65">
        <v>0.0090799305</v>
      </c>
      <c r="N1369" s="66">
        <v>0.06053287</v>
      </c>
      <c r="O1369" s="10">
        <f t="shared" si="329"/>
        <v>0.06053287</v>
      </c>
      <c r="Q1369" s="67">
        <v>2.9102657</v>
      </c>
      <c r="S1369" s="68">
        <v>0.0012640086</v>
      </c>
      <c r="T1369" s="68">
        <v>0.0011915363</v>
      </c>
      <c r="U1369" s="68">
        <v>5.078318E-5</v>
      </c>
      <c r="V1369" s="68">
        <v>2.1689052E-5</v>
      </c>
      <c r="X1369" s="69">
        <v>5.2504947E-6</v>
      </c>
    </row>
    <row r="1370" ht="12.75" customHeight="1">
      <c r="A1370" s="1" t="s">
        <v>2038</v>
      </c>
      <c r="B1370" s="2" t="s">
        <v>1981</v>
      </c>
      <c r="C1370" s="60" t="str">
        <f t="shared" si="332"/>
        <v>B.042.02.127</v>
      </c>
      <c r="D1370" s="51" t="s">
        <v>2012</v>
      </c>
      <c r="E1370" s="62" t="s">
        <v>896</v>
      </c>
      <c r="F1370" s="63" t="str">
        <f t="shared" si="333"/>
        <v>Electricity Slovenia consumption</v>
      </c>
      <c r="G1370" s="64">
        <v>0.016891257582</v>
      </c>
      <c r="H1370" s="10">
        <f t="shared" si="328"/>
        <v>0.01689125758</v>
      </c>
      <c r="I1370" s="65">
        <v>4.06521632E-4</v>
      </c>
      <c r="J1370" s="65">
        <v>7.953512099999999E-4</v>
      </c>
      <c r="K1370" s="65">
        <v>0.0063299184399999995</v>
      </c>
      <c r="L1370" s="65">
        <v>0.0093594663</v>
      </c>
      <c r="N1370" s="66">
        <v>0.06239644200000001</v>
      </c>
      <c r="O1370" s="10">
        <f t="shared" si="329"/>
        <v>0.062396442</v>
      </c>
      <c r="Q1370" s="67">
        <v>2.160933</v>
      </c>
      <c r="S1370" s="68">
        <v>0.0011878048</v>
      </c>
      <c r="T1370" s="68">
        <v>0.0011193779</v>
      </c>
      <c r="U1370" s="68">
        <v>5.0278521E-5</v>
      </c>
      <c r="V1370" s="68">
        <v>1.8148296E-5</v>
      </c>
      <c r="X1370" s="69">
        <v>3.8620467E-6</v>
      </c>
    </row>
    <row r="1371" ht="12.75" customHeight="1">
      <c r="A1371" s="1" t="s">
        <v>2039</v>
      </c>
      <c r="B1371" s="2" t="s">
        <v>1981</v>
      </c>
      <c r="C1371" s="60" t="str">
        <f t="shared" si="332"/>
        <v>B.042.02.128</v>
      </c>
      <c r="D1371" s="51" t="s">
        <v>2012</v>
      </c>
      <c r="E1371" s="62" t="s">
        <v>896</v>
      </c>
      <c r="F1371" s="63" t="str">
        <f t="shared" si="333"/>
        <v>Electricity Spain consumption</v>
      </c>
      <c r="G1371" s="64">
        <v>0.014094624249000001</v>
      </c>
      <c r="H1371" s="10">
        <f t="shared" si="328"/>
        <v>0.01409462425</v>
      </c>
      <c r="I1371" s="65">
        <v>5.23423979E-4</v>
      </c>
      <c r="J1371" s="65">
        <v>0.00113781604</v>
      </c>
      <c r="K1371" s="65">
        <v>0.00570051273</v>
      </c>
      <c r="L1371" s="65">
        <v>0.0067328715</v>
      </c>
      <c r="N1371" s="66">
        <v>0.044885810000000005</v>
      </c>
      <c r="O1371" s="10">
        <f t="shared" si="329"/>
        <v>0.04488581</v>
      </c>
      <c r="Q1371" s="67">
        <v>2.0232361</v>
      </c>
      <c r="S1371" s="68">
        <v>9.8726024E-4</v>
      </c>
      <c r="T1371" s="68">
        <v>9.1627457E-4</v>
      </c>
      <c r="U1371" s="68">
        <v>3.8503449E-5</v>
      </c>
      <c r="V1371" s="68">
        <v>3.2482222E-5</v>
      </c>
      <c r="X1371" s="69">
        <v>3.241688E-6</v>
      </c>
    </row>
    <row r="1372" ht="12.75" customHeight="1">
      <c r="A1372" s="1" t="s">
        <v>2040</v>
      </c>
      <c r="B1372" s="2" t="s">
        <v>1981</v>
      </c>
      <c r="C1372" s="60" t="str">
        <f t="shared" si="332"/>
        <v>B.042.02.129</v>
      </c>
      <c r="D1372" s="51" t="s">
        <v>2012</v>
      </c>
      <c r="E1372" s="62" t="s">
        <v>896</v>
      </c>
      <c r="F1372" s="63" t="str">
        <f t="shared" si="333"/>
        <v>Electricity Sweden consumption</v>
      </c>
      <c r="G1372" s="64">
        <v>0.010184854852</v>
      </c>
      <c r="H1372" s="10">
        <f t="shared" si="328"/>
        <v>0.01018485485</v>
      </c>
      <c r="I1372" s="65">
        <v>2.99833442E-4</v>
      </c>
      <c r="J1372" s="65">
        <v>6.5087166E-4</v>
      </c>
      <c r="K1372" s="65">
        <v>0.00751361335</v>
      </c>
      <c r="L1372" s="65">
        <v>0.0017205364</v>
      </c>
      <c r="N1372" s="66">
        <v>0.011470242666666668</v>
      </c>
      <c r="O1372" s="10">
        <f t="shared" si="329"/>
        <v>0.01147024267</v>
      </c>
      <c r="Q1372" s="67">
        <v>1.960674</v>
      </c>
      <c r="S1372" s="68">
        <v>3.4169167E-4</v>
      </c>
      <c r="T1372" s="68">
        <v>3.2737892E-4</v>
      </c>
      <c r="U1372" s="68">
        <v>1.1376864E-5</v>
      </c>
      <c r="V1372" s="68">
        <v>2.9358921E-6</v>
      </c>
      <c r="X1372" s="69">
        <v>1.9169678E-6</v>
      </c>
    </row>
    <row r="1373" ht="12.75" customHeight="1">
      <c r="A1373" s="1" t="s">
        <v>2041</v>
      </c>
      <c r="B1373" s="2" t="s">
        <v>1981</v>
      </c>
      <c r="C1373" s="60" t="str">
        <f t="shared" si="332"/>
        <v>B.042.02.131</v>
      </c>
      <c r="D1373" s="51" t="s">
        <v>2012</v>
      </c>
      <c r="E1373" s="62" t="s">
        <v>896</v>
      </c>
      <c r="F1373" s="63" t="str">
        <f t="shared" si="333"/>
        <v>Electricity Switzerland consumption</v>
      </c>
      <c r="G1373" s="64">
        <v>0.012021602603</v>
      </c>
      <c r="H1373" s="10">
        <f t="shared" si="328"/>
        <v>0.0120216026</v>
      </c>
      <c r="I1373" s="65">
        <v>2.2880460300000002E-4</v>
      </c>
      <c r="J1373" s="65">
        <v>5.9980658E-4</v>
      </c>
      <c r="K1373" s="65">
        <v>0.009100951119999999</v>
      </c>
      <c r="L1373" s="65">
        <v>0.0020920403</v>
      </c>
      <c r="N1373" s="66">
        <v>0.013946935333333334</v>
      </c>
      <c r="O1373" s="10">
        <f t="shared" si="329"/>
        <v>0.01394693533</v>
      </c>
      <c r="Q1373" s="67">
        <v>2.0895196</v>
      </c>
      <c r="S1373" s="68">
        <v>3.7741613E-4</v>
      </c>
      <c r="T1373" s="68">
        <v>3.5602465E-4</v>
      </c>
      <c r="U1373" s="68">
        <v>1.3175587E-5</v>
      </c>
      <c r="V1373" s="68">
        <v>8.2158932E-6</v>
      </c>
      <c r="X1373" s="69">
        <v>2.3683722E-6</v>
      </c>
    </row>
    <row r="1374" ht="12.75" customHeight="1">
      <c r="B1374" s="2"/>
      <c r="C1374" s="60"/>
      <c r="D1374" s="75" t="s">
        <v>2042</v>
      </c>
      <c r="E1374" s="62"/>
      <c r="G1374" s="10"/>
      <c r="H1374" s="10" t="str">
        <f t="shared" si="328"/>
        <v/>
      </c>
      <c r="I1374" s="10"/>
      <c r="J1374" s="10"/>
      <c r="K1374" s="10"/>
      <c r="L1374" s="10"/>
      <c r="N1374" s="10"/>
      <c r="O1374" s="10" t="str">
        <f t="shared" si="329"/>
        <v/>
      </c>
      <c r="Q1374" s="67"/>
    </row>
    <row r="1375" ht="12.75" customHeight="1">
      <c r="A1375" s="1" t="s">
        <v>2043</v>
      </c>
      <c r="B1375" s="2" t="s">
        <v>2044</v>
      </c>
      <c r="C1375" s="60" t="str">
        <f t="shared" ref="C1375:C1566" si="334">MID(A1375,1,12)</f>
        <v>B.044.01.101</v>
      </c>
      <c r="D1375" s="51" t="s">
        <v>2042</v>
      </c>
      <c r="E1375" s="62" t="s">
        <v>896</v>
      </c>
      <c r="F1375" s="63" t="str">
        <f t="shared" ref="F1375:F1566" si="335">MID(A1375, 21,85)</f>
        <v>Electricity .Middle Africa production</v>
      </c>
      <c r="G1375" s="64">
        <v>6.0080555182E-4</v>
      </c>
      <c r="H1375" s="10">
        <f t="shared" si="328"/>
        <v>0.0006008055518</v>
      </c>
      <c r="I1375" s="65">
        <v>7.719474520000001E-6</v>
      </c>
      <c r="J1375" s="65">
        <v>9.323473E-7</v>
      </c>
      <c r="K1375" s="65">
        <v>2.3099944E-4</v>
      </c>
      <c r="L1375" s="65">
        <v>3.6115429E-4</v>
      </c>
      <c r="N1375" s="66">
        <v>0.0024076952666666667</v>
      </c>
      <c r="O1375" s="10">
        <f t="shared" si="329"/>
        <v>0.002407695267</v>
      </c>
      <c r="Q1375" s="67">
        <v>1.1966108</v>
      </c>
      <c r="S1375" s="68">
        <v>4.1244961E-5</v>
      </c>
      <c r="T1375" s="68">
        <v>3.935529E-5</v>
      </c>
      <c r="U1375" s="68">
        <v>1.8264457E-6</v>
      </c>
      <c r="V1375" s="68">
        <v>6.3224548E-8</v>
      </c>
      <c r="X1375" s="69">
        <v>7.3946815E-8</v>
      </c>
    </row>
    <row r="1376" ht="12.75" customHeight="1">
      <c r="A1376" s="1" t="s">
        <v>2045</v>
      </c>
      <c r="B1376" s="2" t="s">
        <v>2044</v>
      </c>
      <c r="C1376" s="60" t="str">
        <f t="shared" si="334"/>
        <v>B.044.01.102</v>
      </c>
      <c r="D1376" s="51" t="s">
        <v>2042</v>
      </c>
      <c r="E1376" s="62" t="s">
        <v>896</v>
      </c>
      <c r="F1376" s="63" t="str">
        <f t="shared" si="335"/>
        <v>Electricity .Middle East production</v>
      </c>
      <c r="G1376" s="64">
        <v>0.039760525192999996</v>
      </c>
      <c r="H1376" s="10">
        <f t="shared" si="328"/>
        <v>0.03976052519</v>
      </c>
      <c r="I1376" s="65">
        <v>0.0037073777000000002</v>
      </c>
      <c r="J1376" s="65">
        <v>0.0063000179</v>
      </c>
      <c r="K1376" s="65">
        <v>8.02647593E-4</v>
      </c>
      <c r="L1376" s="65">
        <v>0.028950482</v>
      </c>
      <c r="N1376" s="66">
        <v>0.19300321333333334</v>
      </c>
      <c r="O1376" s="10">
        <f t="shared" si="329"/>
        <v>0.1930032133</v>
      </c>
      <c r="Q1376" s="67">
        <v>2.4406276</v>
      </c>
      <c r="S1376" s="68">
        <v>0.0046872776</v>
      </c>
      <c r="T1376" s="68">
        <v>0.0043811262</v>
      </c>
      <c r="U1376" s="68">
        <v>1.7046278E-4</v>
      </c>
      <c r="V1376" s="68">
        <v>1.3568856E-4</v>
      </c>
      <c r="X1376" s="69">
        <v>1.0736978E-5</v>
      </c>
    </row>
    <row r="1377" ht="12.75" customHeight="1">
      <c r="A1377" s="1" t="s">
        <v>2046</v>
      </c>
      <c r="B1377" s="2" t="s">
        <v>2044</v>
      </c>
      <c r="C1377" s="60" t="str">
        <f t="shared" si="334"/>
        <v>B.044.01.103</v>
      </c>
      <c r="D1377" s="51" t="s">
        <v>2042</v>
      </c>
      <c r="E1377" s="62" t="s">
        <v>896</v>
      </c>
      <c r="F1377" s="63" t="str">
        <f t="shared" si="335"/>
        <v>Electricity .North America production</v>
      </c>
      <c r="G1377" s="64">
        <v>0.029089244667</v>
      </c>
      <c r="H1377" s="10">
        <f t="shared" si="328"/>
        <v>0.02908924467</v>
      </c>
      <c r="I1377" s="65">
        <v>0.00238389988</v>
      </c>
      <c r="J1377" s="65">
        <v>0.0036051169999999997</v>
      </c>
      <c r="K1377" s="65">
        <v>0.004273018787</v>
      </c>
      <c r="L1377" s="65">
        <v>0.018827209</v>
      </c>
      <c r="N1377" s="66">
        <v>0.1255147266666667</v>
      </c>
      <c r="O1377" s="10">
        <f t="shared" si="329"/>
        <v>0.1255147267</v>
      </c>
      <c r="Q1377" s="67">
        <v>2.3245923</v>
      </c>
      <c r="S1377" s="68">
        <v>0.0028695615</v>
      </c>
      <c r="T1377" s="68">
        <v>0.0026990756</v>
      </c>
      <c r="U1377" s="68">
        <v>1.0805278E-4</v>
      </c>
      <c r="V1377" s="68">
        <v>6.2433121E-5</v>
      </c>
      <c r="X1377" s="69">
        <v>7.4132971E-6</v>
      </c>
    </row>
    <row r="1378" ht="12.75" customHeight="1">
      <c r="A1378" s="1" t="s">
        <v>2047</v>
      </c>
      <c r="B1378" s="2" t="s">
        <v>2044</v>
      </c>
      <c r="C1378" s="60" t="str">
        <f t="shared" si="334"/>
        <v>B.044.01.104</v>
      </c>
      <c r="D1378" s="51" t="s">
        <v>2042</v>
      </c>
      <c r="E1378" s="62" t="s">
        <v>896</v>
      </c>
      <c r="F1378" s="63" t="str">
        <f t="shared" si="335"/>
        <v>Electricity .South America production</v>
      </c>
      <c r="G1378" s="64">
        <v>0.01196503417</v>
      </c>
      <c r="H1378" s="10">
        <f t="shared" si="328"/>
        <v>0.01196503417</v>
      </c>
      <c r="I1378" s="65">
        <v>0.00120771608</v>
      </c>
      <c r="J1378" s="65">
        <v>0.00193143959</v>
      </c>
      <c r="K1378" s="65">
        <v>6.917405999999999E-4</v>
      </c>
      <c r="L1378" s="65">
        <v>0.0081341379</v>
      </c>
      <c r="N1378" s="66">
        <v>0.054227586</v>
      </c>
      <c r="O1378" s="10">
        <f t="shared" si="329"/>
        <v>0.054227586</v>
      </c>
      <c r="Q1378" s="67">
        <v>1.7096217</v>
      </c>
      <c r="S1378" s="68">
        <v>0.0013427628</v>
      </c>
      <c r="T1378" s="68">
        <v>0.0012634063</v>
      </c>
      <c r="U1378" s="68">
        <v>4.8298867E-5</v>
      </c>
      <c r="V1378" s="68">
        <v>3.1057622E-5</v>
      </c>
      <c r="X1378" s="69">
        <v>3.1278271E-6</v>
      </c>
    </row>
    <row r="1379" ht="12.75" customHeight="1">
      <c r="A1379" s="1" t="s">
        <v>2048</v>
      </c>
      <c r="B1379" s="2" t="s">
        <v>2044</v>
      </c>
      <c r="C1379" s="60" t="str">
        <f t="shared" si="334"/>
        <v>B.044.01.105</v>
      </c>
      <c r="D1379" s="51" t="s">
        <v>2042</v>
      </c>
      <c r="E1379" s="62" t="s">
        <v>896</v>
      </c>
      <c r="F1379" s="63" t="str">
        <f t="shared" si="335"/>
        <v>Electricity Afghanistan production</v>
      </c>
      <c r="G1379" s="64">
        <v>0.00747143177</v>
      </c>
      <c r="H1379" s="10">
        <f t="shared" si="328"/>
        <v>0.00747143177</v>
      </c>
      <c r="I1379" s="65">
        <v>4.7232451999999997E-4</v>
      </c>
      <c r="J1379" s="65">
        <v>0.00120585923</v>
      </c>
      <c r="K1379" s="65">
        <v>2.0379462E-4</v>
      </c>
      <c r="L1379" s="65">
        <v>0.0055894534</v>
      </c>
      <c r="N1379" s="66">
        <v>0.037263022666666666</v>
      </c>
      <c r="O1379" s="10">
        <f t="shared" si="329"/>
        <v>0.03726302267</v>
      </c>
      <c r="Q1379" s="67">
        <v>1.4435816</v>
      </c>
      <c r="S1379" s="68">
        <v>9.6097341E-4</v>
      </c>
      <c r="T1379" s="68">
        <v>9.0287976E-4</v>
      </c>
      <c r="U1379" s="68">
        <v>3.376988E-5</v>
      </c>
      <c r="V1379" s="68">
        <v>2.4323773E-5</v>
      </c>
      <c r="X1379" s="69">
        <v>2.0373264E-6</v>
      </c>
    </row>
    <row r="1380" ht="12.75" customHeight="1">
      <c r="A1380" s="1" t="s">
        <v>2049</v>
      </c>
      <c r="B1380" s="2" t="s">
        <v>2044</v>
      </c>
      <c r="C1380" s="60" t="str">
        <f t="shared" si="334"/>
        <v>B.044.01.106</v>
      </c>
      <c r="D1380" s="51" t="s">
        <v>2042</v>
      </c>
      <c r="E1380" s="62" t="s">
        <v>896</v>
      </c>
      <c r="F1380" s="63" t="str">
        <f t="shared" si="335"/>
        <v>Electricity Africa production</v>
      </c>
      <c r="G1380" s="64">
        <v>0.042900163423</v>
      </c>
      <c r="H1380" s="10">
        <f t="shared" si="328"/>
        <v>0.04290016342</v>
      </c>
      <c r="I1380" s="65">
        <v>0.003833708</v>
      </c>
      <c r="J1380" s="65">
        <v>0.0059023771</v>
      </c>
      <c r="K1380" s="65">
        <v>3.80058323E-4</v>
      </c>
      <c r="L1380" s="65">
        <v>0.03278402</v>
      </c>
      <c r="N1380" s="66">
        <v>0.21856013333333332</v>
      </c>
      <c r="O1380" s="10">
        <f t="shared" si="329"/>
        <v>0.2185601333</v>
      </c>
      <c r="Q1380" s="67">
        <v>2.8368241</v>
      </c>
      <c r="S1380" s="68">
        <v>0.0049474719</v>
      </c>
      <c r="T1380" s="68">
        <v>0.0046584858</v>
      </c>
      <c r="U1380" s="68">
        <v>1.8718173E-4</v>
      </c>
      <c r="V1380" s="68">
        <v>1.0180431E-4</v>
      </c>
      <c r="X1380" s="69">
        <v>1.1570526E-5</v>
      </c>
    </row>
    <row r="1381" ht="12.75" customHeight="1">
      <c r="A1381" s="1" t="s">
        <v>2050</v>
      </c>
      <c r="B1381" s="2" t="s">
        <v>2044</v>
      </c>
      <c r="C1381" s="60" t="str">
        <f t="shared" si="334"/>
        <v>B.044.01.107</v>
      </c>
      <c r="D1381" s="51" t="s">
        <v>2042</v>
      </c>
      <c r="E1381" s="62" t="s">
        <v>896</v>
      </c>
      <c r="F1381" s="63" t="str">
        <f t="shared" si="335"/>
        <v>Electricity Albania production</v>
      </c>
      <c r="G1381" s="64">
        <v>5.918920357E-4</v>
      </c>
      <c r="H1381" s="10">
        <f t="shared" si="328"/>
        <v>0.0005918920357</v>
      </c>
      <c r="I1381" s="65">
        <v>8.2617997E-6</v>
      </c>
      <c r="J1381" s="65">
        <v>3.1056959999999996E-6</v>
      </c>
      <c r="K1381" s="65">
        <v>2.2563992E-4</v>
      </c>
      <c r="L1381" s="65">
        <v>3.5488462E-4</v>
      </c>
      <c r="N1381" s="66">
        <v>0.0023658974666666667</v>
      </c>
      <c r="O1381" s="10">
        <f t="shared" si="329"/>
        <v>0.002365897467</v>
      </c>
      <c r="Q1381" s="67">
        <v>1.1585043</v>
      </c>
      <c r="S1381" s="68">
        <v>4.0863547E-5</v>
      </c>
      <c r="T1381" s="68">
        <v>3.8998969E-5</v>
      </c>
      <c r="U1381" s="68">
        <v>1.8028199E-6</v>
      </c>
      <c r="V1381" s="68">
        <v>6.1757645E-8</v>
      </c>
      <c r="X1381" s="69">
        <v>7.3034435E-8</v>
      </c>
    </row>
    <row r="1382" ht="12.75" customHeight="1">
      <c r="A1382" s="1" t="s">
        <v>2051</v>
      </c>
      <c r="B1382" s="2" t="s">
        <v>2044</v>
      </c>
      <c r="C1382" s="60" t="str">
        <f t="shared" si="334"/>
        <v>B.044.01.108</v>
      </c>
      <c r="D1382" s="51" t="s">
        <v>2042</v>
      </c>
      <c r="E1382" s="62" t="s">
        <v>896</v>
      </c>
      <c r="F1382" s="63" t="str">
        <f t="shared" si="335"/>
        <v>Electricity Algeria production</v>
      </c>
      <c r="G1382" s="64">
        <v>0.0432338395556</v>
      </c>
      <c r="H1382" s="10">
        <f t="shared" si="328"/>
        <v>0.04323383956</v>
      </c>
      <c r="I1382" s="65">
        <v>0.0045452224999999995</v>
      </c>
      <c r="J1382" s="65">
        <v>0.0065603892</v>
      </c>
      <c r="K1382" s="65">
        <v>2.7618556E-6</v>
      </c>
      <c r="L1382" s="65">
        <v>0.032125466</v>
      </c>
      <c r="N1382" s="66">
        <v>0.21416977333333334</v>
      </c>
      <c r="O1382" s="10">
        <f t="shared" si="329"/>
        <v>0.2141697733</v>
      </c>
      <c r="Q1382" s="67">
        <v>2.4948453</v>
      </c>
      <c r="S1382" s="68">
        <v>0.0049412222</v>
      </c>
      <c r="T1382" s="68">
        <v>0.0046163569</v>
      </c>
      <c r="U1382" s="68">
        <v>1.8501323E-4</v>
      </c>
      <c r="V1382" s="68">
        <v>1.3985208E-4</v>
      </c>
      <c r="X1382" s="69">
        <v>1.1543989E-5</v>
      </c>
    </row>
    <row r="1383" ht="12.75" customHeight="1">
      <c r="A1383" s="1" t="s">
        <v>2052</v>
      </c>
      <c r="B1383" s="2" t="s">
        <v>2044</v>
      </c>
      <c r="C1383" s="60" t="str">
        <f t="shared" si="334"/>
        <v>B.044.01.109</v>
      </c>
      <c r="D1383" s="51" t="s">
        <v>2042</v>
      </c>
      <c r="E1383" s="62" t="s">
        <v>896</v>
      </c>
      <c r="F1383" s="63" t="str">
        <f t="shared" si="335"/>
        <v>Electricity American Samoa production</v>
      </c>
      <c r="G1383" s="64">
        <v>0.0441432921</v>
      </c>
      <c r="H1383" s="10">
        <f t="shared" si="328"/>
        <v>0.0441432921</v>
      </c>
      <c r="I1383" s="65">
        <v>0.0028382318</v>
      </c>
      <c r="J1383" s="65">
        <v>0.0086423283</v>
      </c>
      <c r="K1383" s="65">
        <v>0.0</v>
      </c>
      <c r="L1383" s="65">
        <v>0.032662732</v>
      </c>
      <c r="N1383" s="66">
        <v>0.21775154666666668</v>
      </c>
      <c r="O1383" s="10">
        <f t="shared" si="329"/>
        <v>0.2177515467</v>
      </c>
      <c r="Q1383" s="67">
        <v>2.7575237</v>
      </c>
      <c r="S1383" s="68">
        <v>0.0061767009</v>
      </c>
      <c r="T1383" s="68">
        <v>0.005773406</v>
      </c>
      <c r="U1383" s="68">
        <v>2.0640769E-4</v>
      </c>
      <c r="V1383" s="68">
        <v>1.9688719E-4</v>
      </c>
      <c r="X1383" s="69">
        <v>1.2732474E-5</v>
      </c>
    </row>
    <row r="1384" ht="12.75" customHeight="1">
      <c r="A1384" s="1" t="s">
        <v>2053</v>
      </c>
      <c r="B1384" s="2" t="s">
        <v>2044</v>
      </c>
      <c r="C1384" s="60" t="str">
        <f t="shared" si="334"/>
        <v>B.044.01.110</v>
      </c>
      <c r="D1384" s="51" t="s">
        <v>2042</v>
      </c>
      <c r="E1384" s="62" t="s">
        <v>896</v>
      </c>
      <c r="F1384" s="63" t="str">
        <f t="shared" si="335"/>
        <v>Electricity Angola production</v>
      </c>
      <c r="G1384" s="64">
        <v>0.01142381345</v>
      </c>
      <c r="H1384" s="10">
        <f t="shared" si="328"/>
        <v>0.01142381345</v>
      </c>
      <c r="I1384" s="65">
        <v>8.918041300000001E-4</v>
      </c>
      <c r="J1384" s="65">
        <v>0.00198124999</v>
      </c>
      <c r="K1384" s="65">
        <v>1.6685033E-4</v>
      </c>
      <c r="L1384" s="65">
        <v>0.008383909</v>
      </c>
      <c r="N1384" s="66">
        <v>0.05589272666666667</v>
      </c>
      <c r="O1384" s="10">
        <f t="shared" si="329"/>
        <v>0.05589272667</v>
      </c>
      <c r="Q1384" s="67">
        <v>1.5325122</v>
      </c>
      <c r="S1384" s="68">
        <v>0.0014607681</v>
      </c>
      <c r="T1384" s="68">
        <v>0.0013659495</v>
      </c>
      <c r="U1384" s="68">
        <v>5.0984267E-5</v>
      </c>
      <c r="V1384" s="68">
        <v>4.3834314E-5</v>
      </c>
      <c r="X1384" s="69">
        <v>3.1334493E-6</v>
      </c>
    </row>
    <row r="1385" ht="12.75" customHeight="1">
      <c r="A1385" s="1" t="s">
        <v>2054</v>
      </c>
      <c r="B1385" s="2" t="s">
        <v>2044</v>
      </c>
      <c r="C1385" s="60" t="str">
        <f t="shared" si="334"/>
        <v>B.044.01.111</v>
      </c>
      <c r="D1385" s="51" t="s">
        <v>2042</v>
      </c>
      <c r="E1385" s="62" t="s">
        <v>896</v>
      </c>
      <c r="F1385" s="63" t="str">
        <f t="shared" si="335"/>
        <v>Electricity Antigua and Barbuda production</v>
      </c>
      <c r="G1385" s="64">
        <v>0.042825097487</v>
      </c>
      <c r="H1385" s="10">
        <f t="shared" si="328"/>
        <v>0.04282509749</v>
      </c>
      <c r="I1385" s="65">
        <v>0.0027522258</v>
      </c>
      <c r="J1385" s="65">
        <v>0.0083789173</v>
      </c>
      <c r="K1385" s="65">
        <v>1.5733387E-5</v>
      </c>
      <c r="L1385" s="65">
        <v>0.031678221</v>
      </c>
      <c r="N1385" s="66">
        <v>0.21118814</v>
      </c>
      <c r="O1385" s="10">
        <f t="shared" si="329"/>
        <v>0.21118814</v>
      </c>
      <c r="Q1385" s="67">
        <v>2.7312638</v>
      </c>
      <c r="S1385" s="68">
        <v>0.0059890685</v>
      </c>
      <c r="T1385" s="68">
        <v>0.0055981198</v>
      </c>
      <c r="U1385" s="68">
        <v>2.0016692E-4</v>
      </c>
      <c r="V1385" s="68">
        <v>1.9078175E-4</v>
      </c>
      <c r="X1385" s="69">
        <v>1.2344114E-5</v>
      </c>
    </row>
    <row r="1386" ht="12.75" customHeight="1">
      <c r="A1386" s="1" t="s">
        <v>2055</v>
      </c>
      <c r="B1386" s="2" t="s">
        <v>2044</v>
      </c>
      <c r="C1386" s="60" t="str">
        <f t="shared" si="334"/>
        <v>B.044.01.112</v>
      </c>
      <c r="D1386" s="51" t="s">
        <v>2042</v>
      </c>
      <c r="E1386" s="62" t="s">
        <v>896</v>
      </c>
      <c r="F1386" s="63" t="str">
        <f t="shared" si="335"/>
        <v>Electricity Argentina production</v>
      </c>
      <c r="G1386" s="64">
        <v>0.033367841415</v>
      </c>
      <c r="H1386" s="10">
        <f t="shared" si="328"/>
        <v>0.03336784142</v>
      </c>
      <c r="I1386" s="65">
        <v>0.0031651794</v>
      </c>
      <c r="J1386" s="65">
        <v>0.0049422025</v>
      </c>
      <c r="K1386" s="65">
        <v>0.002288999515</v>
      </c>
      <c r="L1386" s="65">
        <v>0.02297146</v>
      </c>
      <c r="N1386" s="66">
        <v>0.15314306666666666</v>
      </c>
      <c r="O1386" s="10">
        <f t="shared" si="329"/>
        <v>0.1531430667</v>
      </c>
      <c r="Q1386" s="67">
        <v>2.5302736</v>
      </c>
      <c r="S1386" s="68">
        <v>0.0036432971</v>
      </c>
      <c r="T1386" s="68">
        <v>0.0034073675</v>
      </c>
      <c r="U1386" s="68">
        <v>1.3409558E-4</v>
      </c>
      <c r="V1386" s="68">
        <v>1.0183403E-4</v>
      </c>
      <c r="X1386" s="69">
        <v>8.7436704E-6</v>
      </c>
    </row>
    <row r="1387" ht="12.75" customHeight="1">
      <c r="A1387" s="1" t="s">
        <v>2056</v>
      </c>
      <c r="B1387" s="2" t="s">
        <v>2044</v>
      </c>
      <c r="C1387" s="60" t="str">
        <f t="shared" si="334"/>
        <v>B.044.01.113</v>
      </c>
      <c r="D1387" s="51" t="s">
        <v>2042</v>
      </c>
      <c r="E1387" s="62" t="s">
        <v>896</v>
      </c>
      <c r="F1387" s="63" t="str">
        <f t="shared" si="335"/>
        <v>Electricity Armenia production</v>
      </c>
      <c r="G1387" s="64">
        <v>0.025232160672</v>
      </c>
      <c r="H1387" s="10">
        <f t="shared" si="328"/>
        <v>0.02523216067</v>
      </c>
      <c r="I1387" s="65">
        <v>0.00180448254</v>
      </c>
      <c r="J1387" s="65">
        <v>0.0027318754</v>
      </c>
      <c r="K1387" s="65">
        <v>0.007974143732</v>
      </c>
      <c r="L1387" s="65">
        <v>0.012721659</v>
      </c>
      <c r="N1387" s="66">
        <v>0.08481106000000001</v>
      </c>
      <c r="O1387" s="10">
        <f t="shared" si="329"/>
        <v>0.08481106</v>
      </c>
      <c r="Q1387" s="67">
        <v>2.3839981</v>
      </c>
      <c r="S1387" s="68">
        <v>0.0019904299</v>
      </c>
      <c r="T1387" s="68">
        <v>0.0018620818</v>
      </c>
      <c r="U1387" s="68">
        <v>7.3962687E-5</v>
      </c>
      <c r="V1387" s="68">
        <v>5.4385464E-5</v>
      </c>
      <c r="X1387" s="69">
        <v>5.9801853E-6</v>
      </c>
    </row>
    <row r="1388" ht="12.75" customHeight="1">
      <c r="A1388" s="1" t="s">
        <v>2057</v>
      </c>
      <c r="B1388" s="2" t="s">
        <v>2044</v>
      </c>
      <c r="C1388" s="60" t="str">
        <f t="shared" si="334"/>
        <v>B.044.01.114</v>
      </c>
      <c r="D1388" s="51" t="s">
        <v>2042</v>
      </c>
      <c r="E1388" s="62" t="s">
        <v>896</v>
      </c>
      <c r="F1388" s="63" t="str">
        <f t="shared" si="335"/>
        <v>Electricity Aruba production</v>
      </c>
      <c r="G1388" s="64">
        <v>0.040779351836</v>
      </c>
      <c r="H1388" s="10">
        <f t="shared" si="328"/>
        <v>0.04077935184</v>
      </c>
      <c r="I1388" s="65">
        <v>0.0026178695</v>
      </c>
      <c r="J1388" s="65">
        <v>0.0079705778</v>
      </c>
      <c r="K1388" s="65">
        <v>5.5645536E-5</v>
      </c>
      <c r="L1388" s="65">
        <v>0.030135259</v>
      </c>
      <c r="N1388" s="66">
        <v>0.20090172666666667</v>
      </c>
      <c r="O1388" s="10">
        <f t="shared" si="329"/>
        <v>0.2009017267</v>
      </c>
      <c r="Q1388" s="67">
        <v>2.7326684</v>
      </c>
      <c r="S1388" s="68">
        <v>0.0056961365</v>
      </c>
      <c r="T1388" s="68">
        <v>0.0053245915</v>
      </c>
      <c r="U1388" s="68">
        <v>1.904156E-4</v>
      </c>
      <c r="V1388" s="68">
        <v>1.8112939E-4</v>
      </c>
      <c r="X1388" s="69">
        <v>1.1734694E-5</v>
      </c>
    </row>
    <row r="1389" ht="12.75" customHeight="1">
      <c r="A1389" s="1" t="s">
        <v>2058</v>
      </c>
      <c r="B1389" s="2" t="s">
        <v>2044</v>
      </c>
      <c r="C1389" s="60" t="str">
        <f t="shared" si="334"/>
        <v>B.044.01.115</v>
      </c>
      <c r="D1389" s="51" t="s">
        <v>2042</v>
      </c>
      <c r="E1389" s="62" t="s">
        <v>896</v>
      </c>
      <c r="F1389" s="63" t="str">
        <f t="shared" si="335"/>
        <v>Electricity Asia Pacific production</v>
      </c>
      <c r="G1389" s="64">
        <v>0.034686225552</v>
      </c>
      <c r="H1389" s="10">
        <f t="shared" si="328"/>
        <v>0.03468622555</v>
      </c>
      <c r="I1389" s="65">
        <v>0.00259515179</v>
      </c>
      <c r="J1389" s="65">
        <v>0.0037896737999999998</v>
      </c>
      <c r="K1389" s="65">
        <v>0.001407264962</v>
      </c>
      <c r="L1389" s="65">
        <v>0.026894135</v>
      </c>
      <c r="N1389" s="66">
        <v>0.17929423333333333</v>
      </c>
      <c r="O1389" s="10">
        <f t="shared" si="329"/>
        <v>0.1792942333</v>
      </c>
      <c r="Q1389" s="67">
        <v>2.4068897</v>
      </c>
      <c r="S1389" s="68">
        <v>0.003804205</v>
      </c>
      <c r="T1389" s="68">
        <v>0.0036187296</v>
      </c>
      <c r="U1389" s="68">
        <v>1.494249E-4</v>
      </c>
      <c r="V1389" s="68">
        <v>3.6050462E-5</v>
      </c>
      <c r="X1389" s="69">
        <v>9.2833542E-6</v>
      </c>
    </row>
    <row r="1390" ht="12.75" customHeight="1">
      <c r="A1390" s="1" t="s">
        <v>2059</v>
      </c>
      <c r="B1390" s="2" t="s">
        <v>2044</v>
      </c>
      <c r="C1390" s="60" t="str">
        <f t="shared" si="334"/>
        <v>B.044.01.116</v>
      </c>
      <c r="D1390" s="51" t="s">
        <v>2042</v>
      </c>
      <c r="E1390" s="62" t="s">
        <v>896</v>
      </c>
      <c r="F1390" s="63" t="str">
        <f t="shared" si="335"/>
        <v>Electricity Australia production</v>
      </c>
      <c r="G1390" s="64">
        <v>0.028711590573</v>
      </c>
      <c r="H1390" s="10">
        <f t="shared" si="328"/>
        <v>0.02871159057</v>
      </c>
      <c r="I1390" s="65">
        <v>0.0017253823899999999</v>
      </c>
      <c r="J1390" s="65">
        <v>0.00239286543</v>
      </c>
      <c r="K1390" s="65">
        <v>9.4501753E-5</v>
      </c>
      <c r="L1390" s="65">
        <v>0.024498841</v>
      </c>
      <c r="N1390" s="66">
        <v>0.16332560666666668</v>
      </c>
      <c r="O1390" s="10">
        <f t="shared" si="329"/>
        <v>0.1633256067</v>
      </c>
      <c r="Q1390" s="67">
        <v>2.1771711</v>
      </c>
      <c r="S1390" s="68">
        <v>0.0030080086</v>
      </c>
      <c r="T1390" s="68">
        <v>0.0028346793</v>
      </c>
      <c r="U1390" s="68">
        <v>1.3033087E-4</v>
      </c>
      <c r="V1390" s="68">
        <v>4.2998456E-5</v>
      </c>
      <c r="X1390" s="69">
        <v>7.4268955E-6</v>
      </c>
    </row>
    <row r="1391" ht="12.75" customHeight="1">
      <c r="A1391" s="1" t="s">
        <v>2060</v>
      </c>
      <c r="B1391" s="2" t="s">
        <v>2044</v>
      </c>
      <c r="C1391" s="60" t="str">
        <f t="shared" si="334"/>
        <v>B.044.01.117</v>
      </c>
      <c r="D1391" s="51" t="s">
        <v>2042</v>
      </c>
      <c r="E1391" s="62" t="s">
        <v>896</v>
      </c>
      <c r="F1391" s="63" t="str">
        <f t="shared" si="335"/>
        <v>Electricity Azerbaijan production</v>
      </c>
      <c r="G1391" s="64">
        <v>0.037656134582</v>
      </c>
      <c r="H1391" s="10">
        <f t="shared" si="328"/>
        <v>0.03765613458</v>
      </c>
      <c r="I1391" s="65">
        <v>0.0039640874</v>
      </c>
      <c r="J1391" s="65">
        <v>0.005721928100000001</v>
      </c>
      <c r="K1391" s="65">
        <v>2.5495082E-5</v>
      </c>
      <c r="L1391" s="65">
        <v>0.027944624</v>
      </c>
      <c r="N1391" s="66">
        <v>0.18629749333333334</v>
      </c>
      <c r="O1391" s="10">
        <f t="shared" si="329"/>
        <v>0.1862974933</v>
      </c>
      <c r="Q1391" s="67">
        <v>2.297214</v>
      </c>
      <c r="S1391" s="68">
        <v>0.0043018575</v>
      </c>
      <c r="T1391" s="68">
        <v>0.004019358</v>
      </c>
      <c r="U1391" s="68">
        <v>1.6099227E-4</v>
      </c>
      <c r="V1391" s="68">
        <v>1.2150729E-4</v>
      </c>
      <c r="X1391" s="69">
        <v>1.0046103E-5</v>
      </c>
    </row>
    <row r="1392" ht="12.75" customHeight="1">
      <c r="A1392" s="1" t="s">
        <v>2061</v>
      </c>
      <c r="B1392" s="2" t="s">
        <v>2044</v>
      </c>
      <c r="C1392" s="60" t="str">
        <f t="shared" si="334"/>
        <v>B.044.01.118</v>
      </c>
      <c r="D1392" s="51" t="s">
        <v>2042</v>
      </c>
      <c r="E1392" s="62" t="s">
        <v>896</v>
      </c>
      <c r="F1392" s="63" t="str">
        <f t="shared" si="335"/>
        <v>Electricity Bahamas production</v>
      </c>
      <c r="G1392" s="64">
        <v>0.0448567561364</v>
      </c>
      <c r="H1392" s="10">
        <f t="shared" si="328"/>
        <v>0.04485675614</v>
      </c>
      <c r="I1392" s="65">
        <v>0.0028838848</v>
      </c>
      <c r="J1392" s="65">
        <v>0.0087810724</v>
      </c>
      <c r="K1392" s="65">
        <v>2.7629364E-6</v>
      </c>
      <c r="L1392" s="65">
        <v>0.033189036</v>
      </c>
      <c r="N1392" s="66">
        <v>0.22126024</v>
      </c>
      <c r="O1392" s="10">
        <f t="shared" si="329"/>
        <v>0.22126024</v>
      </c>
      <c r="Q1392" s="67">
        <v>2.811941</v>
      </c>
      <c r="S1392" s="68">
        <v>0.0062759721</v>
      </c>
      <c r="T1392" s="68">
        <v>0.0058662122</v>
      </c>
      <c r="U1392" s="68">
        <v>2.0973021E-4</v>
      </c>
      <c r="V1392" s="68">
        <v>2.0002967E-4</v>
      </c>
      <c r="X1392" s="69">
        <v>1.2936831E-5</v>
      </c>
    </row>
    <row r="1393" ht="12.75" customHeight="1">
      <c r="A1393" s="1" t="s">
        <v>2062</v>
      </c>
      <c r="B1393" s="2" t="s">
        <v>2044</v>
      </c>
      <c r="C1393" s="60" t="str">
        <f t="shared" si="334"/>
        <v>B.044.01.119</v>
      </c>
      <c r="D1393" s="51" t="s">
        <v>2042</v>
      </c>
      <c r="E1393" s="62" t="s">
        <v>896</v>
      </c>
      <c r="F1393" s="63" t="str">
        <f t="shared" si="335"/>
        <v>Electricity Bahrain production</v>
      </c>
      <c r="G1393" s="64">
        <v>0.04055879324143</v>
      </c>
      <c r="H1393" s="10">
        <f t="shared" si="328"/>
        <v>0.04055879324</v>
      </c>
      <c r="I1393" s="65">
        <v>0.0042717177</v>
      </c>
      <c r="J1393" s="65">
        <v>0.0061469589</v>
      </c>
      <c r="K1393" s="65">
        <v>6.8064143E-7</v>
      </c>
      <c r="L1393" s="65">
        <v>0.030139436</v>
      </c>
      <c r="N1393" s="66">
        <v>0.20092957333333333</v>
      </c>
      <c r="O1393" s="10">
        <f t="shared" si="329"/>
        <v>0.2009295733</v>
      </c>
      <c r="Q1393" s="67">
        <v>2.3327009</v>
      </c>
      <c r="S1393" s="68">
        <v>0.0046311235</v>
      </c>
      <c r="T1393" s="68">
        <v>0.0043266228</v>
      </c>
      <c r="U1393" s="68">
        <v>1.735016E-4</v>
      </c>
      <c r="V1393" s="68">
        <v>1.3099912E-4</v>
      </c>
      <c r="X1393" s="69">
        <v>1.0826735E-5</v>
      </c>
    </row>
    <row r="1394" ht="12.75" customHeight="1">
      <c r="A1394" s="1" t="s">
        <v>2063</v>
      </c>
      <c r="B1394" s="2" t="s">
        <v>2044</v>
      </c>
      <c r="C1394" s="60" t="str">
        <f t="shared" si="334"/>
        <v>B.044.01.120</v>
      </c>
      <c r="D1394" s="51" t="s">
        <v>2042</v>
      </c>
      <c r="E1394" s="62" t="s">
        <v>896</v>
      </c>
      <c r="F1394" s="63" t="str">
        <f t="shared" si="335"/>
        <v>Electricity Bangladesh production</v>
      </c>
      <c r="G1394" s="64">
        <v>0.044525617624300004</v>
      </c>
      <c r="H1394" s="10">
        <f t="shared" si="328"/>
        <v>0.04452561762</v>
      </c>
      <c r="I1394" s="65">
        <v>0.004048813300000001</v>
      </c>
      <c r="J1394" s="65">
        <v>0.0065996129</v>
      </c>
      <c r="K1394" s="65">
        <v>5.2184243E-6</v>
      </c>
      <c r="L1394" s="65">
        <v>0.033871973</v>
      </c>
      <c r="N1394" s="66">
        <v>0.22581315333333335</v>
      </c>
      <c r="O1394" s="10">
        <f t="shared" si="329"/>
        <v>0.2258131533</v>
      </c>
      <c r="Q1394" s="67">
        <v>2.6278825</v>
      </c>
      <c r="S1394" s="68">
        <v>0.0052739803</v>
      </c>
      <c r="T1394" s="68">
        <v>0.0049515638</v>
      </c>
      <c r="U1394" s="68">
        <v>1.9600652E-4</v>
      </c>
      <c r="V1394" s="68">
        <v>1.2640995E-4</v>
      </c>
      <c r="X1394" s="69">
        <v>1.2108113E-5</v>
      </c>
    </row>
    <row r="1395" ht="12.75" customHeight="1">
      <c r="A1395" s="1" t="s">
        <v>2064</v>
      </c>
      <c r="B1395" s="2" t="s">
        <v>2044</v>
      </c>
      <c r="C1395" s="60" t="str">
        <f t="shared" si="334"/>
        <v>B.044.01.121</v>
      </c>
      <c r="D1395" s="51" t="s">
        <v>2042</v>
      </c>
      <c r="E1395" s="62" t="s">
        <v>896</v>
      </c>
      <c r="F1395" s="63" t="str">
        <f t="shared" si="335"/>
        <v>Electricity Barbados production</v>
      </c>
      <c r="G1395" s="64">
        <v>0.041572920787</v>
      </c>
      <c r="H1395" s="10">
        <f t="shared" si="328"/>
        <v>0.04157292079</v>
      </c>
      <c r="I1395" s="65">
        <v>0.0027182262</v>
      </c>
      <c r="J1395" s="65">
        <v>0.0080804816</v>
      </c>
      <c r="K1395" s="65">
        <v>2.3170987E-5</v>
      </c>
      <c r="L1395" s="65">
        <v>0.030751042</v>
      </c>
      <c r="N1395" s="66">
        <v>0.20500694666666666</v>
      </c>
      <c r="O1395" s="10">
        <f t="shared" si="329"/>
        <v>0.2050069467</v>
      </c>
      <c r="Q1395" s="67">
        <v>2.6738006</v>
      </c>
      <c r="S1395" s="68">
        <v>0.0057828051</v>
      </c>
      <c r="T1395" s="68">
        <v>0.0054053088</v>
      </c>
      <c r="U1395" s="68">
        <v>1.9381856E-4</v>
      </c>
      <c r="V1395" s="68">
        <v>1.8367774E-4</v>
      </c>
      <c r="X1395" s="69">
        <v>1.1954423E-5</v>
      </c>
    </row>
    <row r="1396" ht="12.75" customHeight="1">
      <c r="A1396" s="1" t="s">
        <v>2065</v>
      </c>
      <c r="B1396" s="2" t="s">
        <v>2044</v>
      </c>
      <c r="C1396" s="60" t="str">
        <f t="shared" si="334"/>
        <v>B.044.01.122</v>
      </c>
      <c r="D1396" s="51" t="s">
        <v>2042</v>
      </c>
      <c r="E1396" s="62" t="s">
        <v>896</v>
      </c>
      <c r="F1396" s="63" t="str">
        <f t="shared" si="335"/>
        <v>Electricity Belarus production</v>
      </c>
      <c r="G1396" s="64">
        <v>0.0357588526849</v>
      </c>
      <c r="H1396" s="10">
        <f t="shared" si="328"/>
        <v>0.03575885268</v>
      </c>
      <c r="I1396" s="65">
        <v>0.00276376763</v>
      </c>
      <c r="J1396" s="65">
        <v>0.0041800416</v>
      </c>
      <c r="K1396" s="65">
        <v>0.0096537194549</v>
      </c>
      <c r="L1396" s="65">
        <v>0.019161324</v>
      </c>
      <c r="N1396" s="66">
        <v>0.12774216000000002</v>
      </c>
      <c r="O1396" s="10">
        <f t="shared" si="329"/>
        <v>0.12774216</v>
      </c>
      <c r="Q1396" s="67">
        <v>2.8739471</v>
      </c>
      <c r="S1396" s="68">
        <v>0.0030171045</v>
      </c>
      <c r="T1396" s="68">
        <v>0.0028223432</v>
      </c>
      <c r="U1396" s="68">
        <v>1.1165749E-4</v>
      </c>
      <c r="V1396" s="68">
        <v>8.3103793E-5</v>
      </c>
      <c r="X1396" s="69">
        <v>8.6644078E-6</v>
      </c>
    </row>
    <row r="1397" ht="12.75" customHeight="1">
      <c r="A1397" s="1" t="s">
        <v>2066</v>
      </c>
      <c r="B1397" s="2" t="s">
        <v>2044</v>
      </c>
      <c r="C1397" s="60" t="str">
        <f t="shared" si="334"/>
        <v>B.044.01.123</v>
      </c>
      <c r="D1397" s="51" t="s">
        <v>2042</v>
      </c>
      <c r="E1397" s="62" t="s">
        <v>896</v>
      </c>
      <c r="F1397" s="63" t="str">
        <f t="shared" si="335"/>
        <v>Electricity Belize production</v>
      </c>
      <c r="G1397" s="64">
        <v>0.00855467586</v>
      </c>
      <c r="H1397" s="10">
        <f t="shared" si="328"/>
        <v>0.00855467586</v>
      </c>
      <c r="I1397" s="65">
        <v>0.00163123656</v>
      </c>
      <c r="J1397" s="65">
        <v>0.0028832686</v>
      </c>
      <c r="K1397" s="65">
        <v>1.174918E-4</v>
      </c>
      <c r="L1397" s="65">
        <v>0.0039226789</v>
      </c>
      <c r="N1397" s="66">
        <v>0.026151192666666667</v>
      </c>
      <c r="O1397" s="10">
        <f t="shared" si="329"/>
        <v>0.02615119267</v>
      </c>
      <c r="Q1397" s="67">
        <v>2.1072292</v>
      </c>
      <c r="S1397" s="68">
        <v>0.0011496152</v>
      </c>
      <c r="T1397" s="68">
        <v>0.0010958896</v>
      </c>
      <c r="U1397" s="68">
        <v>3.124904E-5</v>
      </c>
      <c r="V1397" s="68">
        <v>2.2476564E-5</v>
      </c>
      <c r="X1397" s="69">
        <v>2.3535746E-6</v>
      </c>
    </row>
    <row r="1398" ht="12.75" customHeight="1">
      <c r="A1398" s="1" t="s">
        <v>2067</v>
      </c>
      <c r="B1398" s="2" t="s">
        <v>2044</v>
      </c>
      <c r="C1398" s="60" t="str">
        <f t="shared" si="334"/>
        <v>B.044.01.124</v>
      </c>
      <c r="D1398" s="51" t="s">
        <v>2042</v>
      </c>
      <c r="E1398" s="62" t="s">
        <v>896</v>
      </c>
      <c r="F1398" s="63" t="str">
        <f t="shared" si="335"/>
        <v>Electricity Benin production</v>
      </c>
      <c r="G1398" s="64">
        <v>0.06335873651400001</v>
      </c>
      <c r="H1398" s="10">
        <f t="shared" si="328"/>
        <v>0.06335873651</v>
      </c>
      <c r="I1398" s="65">
        <v>0.0059916885</v>
      </c>
      <c r="J1398" s="65">
        <v>0.0103317261</v>
      </c>
      <c r="K1398" s="65">
        <v>1.2931914E-5</v>
      </c>
      <c r="L1398" s="65">
        <v>0.04702239</v>
      </c>
      <c r="N1398" s="66">
        <v>0.3134826</v>
      </c>
      <c r="O1398" s="10">
        <f t="shared" si="329"/>
        <v>0.3134826</v>
      </c>
      <c r="Q1398" s="67">
        <v>3.7694694</v>
      </c>
      <c r="S1398" s="68">
        <v>0.0076589286</v>
      </c>
      <c r="T1398" s="68">
        <v>0.0071564821</v>
      </c>
      <c r="U1398" s="68">
        <v>2.7757711E-4</v>
      </c>
      <c r="V1398" s="68">
        <v>2.2486946E-4</v>
      </c>
      <c r="X1398" s="69">
        <v>1.7263143E-5</v>
      </c>
    </row>
    <row r="1399" ht="12.75" customHeight="1">
      <c r="A1399" s="1" t="s">
        <v>2068</v>
      </c>
      <c r="B1399" s="2" t="s">
        <v>2044</v>
      </c>
      <c r="C1399" s="60" t="str">
        <f t="shared" si="334"/>
        <v>B.044.01.125</v>
      </c>
      <c r="D1399" s="51" t="s">
        <v>2042</v>
      </c>
      <c r="E1399" s="62" t="s">
        <v>896</v>
      </c>
      <c r="F1399" s="63" t="str">
        <f t="shared" si="335"/>
        <v>Electricity Bermuda production</v>
      </c>
      <c r="G1399" s="64">
        <v>0.04832246832836</v>
      </c>
      <c r="H1399" s="10">
        <f t="shared" si="328"/>
        <v>0.04832246833</v>
      </c>
      <c r="I1399" s="65">
        <v>0.0031624556</v>
      </c>
      <c r="J1399" s="65">
        <v>0.0095246365</v>
      </c>
      <c r="K1399" s="65">
        <v>8.522836E-8</v>
      </c>
      <c r="L1399" s="65">
        <v>0.035635291</v>
      </c>
      <c r="N1399" s="66">
        <v>0.23756860666666668</v>
      </c>
      <c r="O1399" s="10">
        <f t="shared" si="329"/>
        <v>0.2375686067</v>
      </c>
      <c r="Q1399" s="67">
        <v>3.0691601</v>
      </c>
      <c r="S1399" s="68">
        <v>0.0067601591</v>
      </c>
      <c r="T1399" s="68">
        <v>0.0063198279</v>
      </c>
      <c r="U1399" s="68">
        <v>2.2553088E-4</v>
      </c>
      <c r="V1399" s="68">
        <v>2.1480032E-4</v>
      </c>
      <c r="X1399" s="69">
        <v>1.3934671E-5</v>
      </c>
    </row>
    <row r="1400" ht="12.75" customHeight="1">
      <c r="A1400" s="1" t="s">
        <v>2069</v>
      </c>
      <c r="B1400" s="2" t="s">
        <v>2044</v>
      </c>
      <c r="C1400" s="60" t="str">
        <f t="shared" si="334"/>
        <v>B.044.01.126</v>
      </c>
      <c r="D1400" s="51" t="s">
        <v>2042</v>
      </c>
      <c r="E1400" s="62" t="s">
        <v>896</v>
      </c>
      <c r="F1400" s="63" t="str">
        <f t="shared" si="335"/>
        <v>Electricity Bhutan production</v>
      </c>
      <c r="G1400" s="64">
        <v>5.861376376E-4</v>
      </c>
      <c r="H1400" s="10">
        <f t="shared" si="328"/>
        <v>0.0005861376376</v>
      </c>
      <c r="I1400" s="65">
        <v>7.2608276E-6</v>
      </c>
      <c r="J1400" s="65">
        <v>0.0</v>
      </c>
      <c r="K1400" s="65">
        <v>2.261469E-4</v>
      </c>
      <c r="L1400" s="65">
        <v>3.5272991E-4</v>
      </c>
      <c r="N1400" s="66">
        <v>0.0023515327333333337</v>
      </c>
      <c r="O1400" s="10">
        <f t="shared" si="329"/>
        <v>0.002351532733</v>
      </c>
      <c r="Q1400" s="67">
        <v>1.1757664</v>
      </c>
      <c r="S1400" s="68">
        <v>4.0141521E-5</v>
      </c>
      <c r="T1400" s="68">
        <v>3.8299184E-5</v>
      </c>
      <c r="U1400" s="68">
        <v>1.7804411E-6</v>
      </c>
      <c r="V1400" s="68">
        <v>6.1896407E-8</v>
      </c>
      <c r="X1400" s="69">
        <v>7.2066281E-8</v>
      </c>
    </row>
    <row r="1401" ht="12.75" customHeight="1">
      <c r="A1401" s="1" t="s">
        <v>2070</v>
      </c>
      <c r="B1401" s="2" t="s">
        <v>2044</v>
      </c>
      <c r="C1401" s="60" t="str">
        <f t="shared" si="334"/>
        <v>B.044.01.127</v>
      </c>
      <c r="D1401" s="51" t="s">
        <v>2042</v>
      </c>
      <c r="E1401" s="62" t="s">
        <v>896</v>
      </c>
      <c r="F1401" s="63" t="str">
        <f t="shared" si="335"/>
        <v>Electricity Bolivia production</v>
      </c>
      <c r="G1401" s="64">
        <v>0.027484324624</v>
      </c>
      <c r="H1401" s="10">
        <f t="shared" si="328"/>
        <v>0.02748432462</v>
      </c>
      <c r="I1401" s="65">
        <v>0.00294277564</v>
      </c>
      <c r="J1401" s="65">
        <v>0.004319015</v>
      </c>
      <c r="K1401" s="65">
        <v>7.9390984E-5</v>
      </c>
      <c r="L1401" s="65">
        <v>0.020143143</v>
      </c>
      <c r="N1401" s="66">
        <v>0.13428762</v>
      </c>
      <c r="O1401" s="10">
        <f t="shared" si="329"/>
        <v>0.13428762</v>
      </c>
      <c r="Q1401" s="67">
        <v>2.0556672</v>
      </c>
      <c r="S1401" s="68">
        <v>0.0031554512</v>
      </c>
      <c r="T1401" s="68">
        <v>0.0029505297</v>
      </c>
      <c r="U1401" s="68">
        <v>1.1691336E-4</v>
      </c>
      <c r="V1401" s="68">
        <v>8.8008199E-5</v>
      </c>
      <c r="X1401" s="69">
        <v>7.3237243E-6</v>
      </c>
    </row>
    <row r="1402" ht="12.75" customHeight="1">
      <c r="A1402" s="1" t="s">
        <v>2071</v>
      </c>
      <c r="B1402" s="2" t="s">
        <v>2044</v>
      </c>
      <c r="C1402" s="60" t="str">
        <f t="shared" si="334"/>
        <v>B.044.01.128</v>
      </c>
      <c r="D1402" s="51" t="s">
        <v>2042</v>
      </c>
      <c r="E1402" s="62" t="s">
        <v>896</v>
      </c>
      <c r="F1402" s="63" t="str">
        <f t="shared" si="335"/>
        <v>Electricity Bosnia and Herzegovina production</v>
      </c>
      <c r="G1402" s="64">
        <v>0.033836095877</v>
      </c>
      <c r="H1402" s="10">
        <f t="shared" si="328"/>
        <v>0.03383609588</v>
      </c>
      <c r="I1402" s="65">
        <v>0.0025046856099999997</v>
      </c>
      <c r="J1402" s="65">
        <v>0.0036626552</v>
      </c>
      <c r="K1402" s="65">
        <v>7.9152067E-5</v>
      </c>
      <c r="L1402" s="65">
        <v>0.027589603</v>
      </c>
      <c r="N1402" s="66">
        <v>0.18393068666666668</v>
      </c>
      <c r="O1402" s="10">
        <f t="shared" si="329"/>
        <v>0.1839306867</v>
      </c>
      <c r="Q1402" s="67">
        <v>2.37004</v>
      </c>
      <c r="S1402" s="68">
        <v>0.0038626293</v>
      </c>
      <c r="T1402" s="68">
        <v>0.0036826629</v>
      </c>
      <c r="U1402" s="68">
        <v>1.5258319E-4</v>
      </c>
      <c r="V1402" s="68">
        <v>2.7383198E-5</v>
      </c>
      <c r="X1402" s="69">
        <v>9.2101533E-6</v>
      </c>
    </row>
    <row r="1403" ht="12.75" customHeight="1">
      <c r="A1403" s="1" t="s">
        <v>2072</v>
      </c>
      <c r="B1403" s="2" t="s">
        <v>2044</v>
      </c>
      <c r="C1403" s="60" t="str">
        <f t="shared" si="334"/>
        <v>B.044.01.129</v>
      </c>
      <c r="D1403" s="51" t="s">
        <v>2042</v>
      </c>
      <c r="E1403" s="62" t="s">
        <v>896</v>
      </c>
      <c r="F1403" s="63" t="str">
        <f t="shared" si="335"/>
        <v>Electricity Botswana production</v>
      </c>
      <c r="G1403" s="64">
        <v>0.0640521633674</v>
      </c>
      <c r="H1403" s="10">
        <f t="shared" si="328"/>
        <v>0.06405216337</v>
      </c>
      <c r="I1403" s="65">
        <v>0.0047355691</v>
      </c>
      <c r="J1403" s="65">
        <v>0.0070377168</v>
      </c>
      <c r="K1403" s="65">
        <v>1.3514674E-6</v>
      </c>
      <c r="L1403" s="65">
        <v>0.052277526</v>
      </c>
      <c r="N1403" s="66">
        <v>0.34851684</v>
      </c>
      <c r="O1403" s="10">
        <f t="shared" si="329"/>
        <v>0.34851684</v>
      </c>
      <c r="Q1403" s="67">
        <v>3.7598091</v>
      </c>
      <c r="S1403" s="68">
        <v>0.0073561032</v>
      </c>
      <c r="T1403" s="68">
        <v>0.007010417</v>
      </c>
      <c r="U1403" s="68">
        <v>2.8972082E-4</v>
      </c>
      <c r="V1403" s="68">
        <v>5.5965422E-5</v>
      </c>
      <c r="X1403" s="69">
        <v>1.7511175E-5</v>
      </c>
    </row>
    <row r="1404" ht="12.75" customHeight="1">
      <c r="A1404" s="1" t="s">
        <v>2073</v>
      </c>
      <c r="B1404" s="2" t="s">
        <v>2044</v>
      </c>
      <c r="C1404" s="60" t="str">
        <f t="shared" si="334"/>
        <v>B.044.01.130</v>
      </c>
      <c r="D1404" s="51" t="s">
        <v>2042</v>
      </c>
      <c r="E1404" s="62" t="s">
        <v>896</v>
      </c>
      <c r="F1404" s="63" t="str">
        <f t="shared" si="335"/>
        <v>Electricity Brazil production</v>
      </c>
      <c r="G1404" s="64">
        <v>0.00704084899</v>
      </c>
      <c r="H1404" s="10">
        <f t="shared" si="328"/>
        <v>0.00704084899</v>
      </c>
      <c r="I1404" s="65">
        <v>8.0001019E-4</v>
      </c>
      <c r="J1404" s="65">
        <v>0.0012599435499999999</v>
      </c>
      <c r="K1404" s="65">
        <v>8.1970995E-4</v>
      </c>
      <c r="L1404" s="65">
        <v>0.0041611853</v>
      </c>
      <c r="N1404" s="66">
        <v>0.027741235333333336</v>
      </c>
      <c r="O1404" s="10">
        <f t="shared" si="329"/>
        <v>0.02774123533</v>
      </c>
      <c r="Q1404" s="67">
        <v>1.6233706</v>
      </c>
      <c r="S1404" s="68">
        <v>7.4764582E-4</v>
      </c>
      <c r="T1404" s="68">
        <v>7.0767905E-4</v>
      </c>
      <c r="U1404" s="68">
        <v>2.5688094E-5</v>
      </c>
      <c r="V1404" s="68">
        <v>1.4278676E-5</v>
      </c>
      <c r="X1404" s="69">
        <v>1.7676286E-6</v>
      </c>
    </row>
    <row r="1405" ht="12.75" customHeight="1">
      <c r="A1405" s="1" t="s">
        <v>2074</v>
      </c>
      <c r="B1405" s="2" t="s">
        <v>2044</v>
      </c>
      <c r="C1405" s="60" t="str">
        <f t="shared" si="334"/>
        <v>B.044.01.131</v>
      </c>
      <c r="D1405" s="51" t="s">
        <v>2042</v>
      </c>
      <c r="E1405" s="62" t="s">
        <v>896</v>
      </c>
      <c r="F1405" s="63" t="str">
        <f t="shared" si="335"/>
        <v>Electricity Brunei production</v>
      </c>
      <c r="G1405" s="64">
        <v>0.0456188129</v>
      </c>
      <c r="H1405" s="10">
        <f t="shared" si="328"/>
        <v>0.0456188129</v>
      </c>
      <c r="I1405" s="65">
        <v>0.0044259933</v>
      </c>
      <c r="J1405" s="65">
        <v>0.0064119336</v>
      </c>
      <c r="K1405" s="65">
        <v>0.0</v>
      </c>
      <c r="L1405" s="65">
        <v>0.034780886</v>
      </c>
      <c r="N1405" s="66">
        <v>0.23187257333333333</v>
      </c>
      <c r="O1405" s="10">
        <f t="shared" si="329"/>
        <v>0.2318725733</v>
      </c>
      <c r="Q1405" s="67">
        <v>2.6351332</v>
      </c>
      <c r="S1405" s="68">
        <v>0.005217235</v>
      </c>
      <c r="T1405" s="68">
        <v>0.0049001638</v>
      </c>
      <c r="U1405" s="68">
        <v>1.9811295E-4</v>
      </c>
      <c r="V1405" s="68">
        <v>1.189583E-4</v>
      </c>
      <c r="X1405" s="69">
        <v>1.2255795E-5</v>
      </c>
    </row>
    <row r="1406" ht="12.75" customHeight="1">
      <c r="A1406" s="1" t="s">
        <v>2075</v>
      </c>
      <c r="B1406" s="2" t="s">
        <v>2044</v>
      </c>
      <c r="C1406" s="60" t="str">
        <f t="shared" si="334"/>
        <v>B.044.01.132</v>
      </c>
      <c r="D1406" s="51" t="s">
        <v>2042</v>
      </c>
      <c r="E1406" s="62" t="s">
        <v>896</v>
      </c>
      <c r="F1406" s="63" t="str">
        <f t="shared" si="335"/>
        <v>Electricity Burkina Faso production</v>
      </c>
      <c r="G1406" s="64">
        <v>0.040686487076</v>
      </c>
      <c r="H1406" s="10">
        <f t="shared" si="328"/>
        <v>0.04068648708</v>
      </c>
      <c r="I1406" s="65">
        <v>0.0027957749</v>
      </c>
      <c r="J1406" s="65">
        <v>0.0081639253</v>
      </c>
      <c r="K1406" s="65">
        <v>3.1286876E-5</v>
      </c>
      <c r="L1406" s="65">
        <v>0.0296955</v>
      </c>
      <c r="N1406" s="66">
        <v>0.19797</v>
      </c>
      <c r="O1406" s="10">
        <f t="shared" si="329"/>
        <v>0.19797</v>
      </c>
      <c r="Q1406" s="67">
        <v>2.8413462</v>
      </c>
      <c r="S1406" s="68">
        <v>0.0056826828</v>
      </c>
      <c r="T1406" s="68">
        <v>0.0053152855</v>
      </c>
      <c r="U1406" s="68">
        <v>1.8872354E-4</v>
      </c>
      <c r="V1406" s="68">
        <v>1.7867383E-4</v>
      </c>
      <c r="X1406" s="69">
        <v>1.1710079E-5</v>
      </c>
    </row>
    <row r="1407" ht="12.75" customHeight="1">
      <c r="A1407" s="1" t="s">
        <v>2076</v>
      </c>
      <c r="B1407" s="2" t="s">
        <v>2044</v>
      </c>
      <c r="C1407" s="60" t="str">
        <f t="shared" si="334"/>
        <v>B.044.01.133</v>
      </c>
      <c r="D1407" s="51" t="s">
        <v>2042</v>
      </c>
      <c r="E1407" s="62" t="s">
        <v>896</v>
      </c>
      <c r="F1407" s="63" t="str">
        <f t="shared" si="335"/>
        <v>Electricity Burundi production</v>
      </c>
      <c r="G1407" s="64">
        <v>0.0179550048</v>
      </c>
      <c r="H1407" s="10">
        <f t="shared" si="328"/>
        <v>0.0179550048</v>
      </c>
      <c r="I1407" s="65">
        <v>0.00123585397</v>
      </c>
      <c r="J1407" s="65">
        <v>0.00354971047</v>
      </c>
      <c r="K1407" s="65">
        <v>1.6923436E-4</v>
      </c>
      <c r="L1407" s="65">
        <v>0.013000206</v>
      </c>
      <c r="N1407" s="66">
        <v>0.08666804</v>
      </c>
      <c r="O1407" s="10">
        <f t="shared" si="329"/>
        <v>0.08666804</v>
      </c>
      <c r="Q1407" s="67">
        <v>2.0681578</v>
      </c>
      <c r="S1407" s="68">
        <v>0.0024785737</v>
      </c>
      <c r="T1407" s="68">
        <v>0.0023193101</v>
      </c>
      <c r="U1407" s="68">
        <v>8.245278E-5</v>
      </c>
      <c r="V1407" s="68">
        <v>7.6810816E-5</v>
      </c>
      <c r="X1407" s="69">
        <v>5.1002872E-6</v>
      </c>
    </row>
    <row r="1408" ht="12.75" customHeight="1">
      <c r="A1408" s="1" t="s">
        <v>2077</v>
      </c>
      <c r="B1408" s="2" t="s">
        <v>2044</v>
      </c>
      <c r="C1408" s="60" t="str">
        <f t="shared" si="334"/>
        <v>B.044.01.134</v>
      </c>
      <c r="D1408" s="51" t="s">
        <v>2042</v>
      </c>
      <c r="E1408" s="62" t="s">
        <v>896</v>
      </c>
      <c r="F1408" s="63" t="str">
        <f t="shared" si="335"/>
        <v>Electricity Cambodia production</v>
      </c>
      <c r="G1408" s="64">
        <v>0.033673077828</v>
      </c>
      <c r="H1408" s="10">
        <f t="shared" si="328"/>
        <v>0.03367307783</v>
      </c>
      <c r="I1408" s="65">
        <v>0.00247759371</v>
      </c>
      <c r="J1408" s="65">
        <v>0.0037256153</v>
      </c>
      <c r="K1408" s="65">
        <v>9.6022818E-5</v>
      </c>
      <c r="L1408" s="65">
        <v>0.027373846</v>
      </c>
      <c r="N1408" s="66">
        <v>0.1824923066666667</v>
      </c>
      <c r="O1408" s="10">
        <f t="shared" si="329"/>
        <v>0.1824923067</v>
      </c>
      <c r="Q1408" s="67">
        <v>2.4359095</v>
      </c>
      <c r="S1408" s="68">
        <v>0.0038674039</v>
      </c>
      <c r="T1408" s="68">
        <v>0.0036846308</v>
      </c>
      <c r="U1408" s="68">
        <v>1.5195267E-4</v>
      </c>
      <c r="V1408" s="68">
        <v>3.0820376E-5</v>
      </c>
      <c r="X1408" s="69">
        <v>9.1738005E-6</v>
      </c>
    </row>
    <row r="1409" ht="12.75" customHeight="1">
      <c r="A1409" s="1" t="s">
        <v>2078</v>
      </c>
      <c r="B1409" s="2" t="s">
        <v>2044</v>
      </c>
      <c r="C1409" s="60" t="str">
        <f t="shared" si="334"/>
        <v>B.044.01.135</v>
      </c>
      <c r="D1409" s="51" t="s">
        <v>2042</v>
      </c>
      <c r="E1409" s="62" t="s">
        <v>896</v>
      </c>
      <c r="F1409" s="63" t="str">
        <f t="shared" si="335"/>
        <v>Electricity Cameroon production</v>
      </c>
      <c r="G1409" s="64">
        <v>0.01920323511</v>
      </c>
      <c r="H1409" s="10">
        <f t="shared" si="328"/>
        <v>0.01920323511</v>
      </c>
      <c r="I1409" s="65">
        <v>0.0017204359</v>
      </c>
      <c r="J1409" s="65">
        <v>0.0031765158</v>
      </c>
      <c r="K1409" s="65">
        <v>1.5648941E-4</v>
      </c>
      <c r="L1409" s="65">
        <v>0.014149794</v>
      </c>
      <c r="N1409" s="66">
        <v>0.09433196</v>
      </c>
      <c r="O1409" s="10">
        <f t="shared" si="329"/>
        <v>0.09433196</v>
      </c>
      <c r="Q1409" s="67">
        <v>1.9441671</v>
      </c>
      <c r="S1409" s="68">
        <v>0.0023515536</v>
      </c>
      <c r="T1409" s="68">
        <v>0.0021982934</v>
      </c>
      <c r="U1409" s="68">
        <v>8.4251964E-5</v>
      </c>
      <c r="V1409" s="68">
        <v>6.9008259E-5</v>
      </c>
      <c r="X1409" s="69">
        <v>5.2151345E-6</v>
      </c>
    </row>
    <row r="1410" ht="12.75" customHeight="1">
      <c r="A1410" s="1" t="s">
        <v>2079</v>
      </c>
      <c r="B1410" s="2" t="s">
        <v>2044</v>
      </c>
      <c r="C1410" s="60" t="str">
        <f t="shared" si="334"/>
        <v>B.044.01.136</v>
      </c>
      <c r="D1410" s="51" t="s">
        <v>2042</v>
      </c>
      <c r="E1410" s="62" t="s">
        <v>896</v>
      </c>
      <c r="F1410" s="63" t="str">
        <f t="shared" si="335"/>
        <v>Electricity Canada production</v>
      </c>
      <c r="G1410" s="64">
        <v>0.013301072819999999</v>
      </c>
      <c r="H1410" s="10">
        <f t="shared" si="328"/>
        <v>0.01330107282</v>
      </c>
      <c r="I1410" s="65">
        <v>9.5863732E-4</v>
      </c>
      <c r="J1410" s="65">
        <v>0.00148014554</v>
      </c>
      <c r="K1410" s="65">
        <v>0.0037029227600000004</v>
      </c>
      <c r="L1410" s="65">
        <v>0.0071593672</v>
      </c>
      <c r="N1410" s="66">
        <v>0.04772911466666667</v>
      </c>
      <c r="O1410" s="10">
        <f t="shared" si="329"/>
        <v>0.04772911467</v>
      </c>
      <c r="Q1410" s="67">
        <v>1.7522387</v>
      </c>
      <c r="S1410" s="68">
        <v>0.001117335</v>
      </c>
      <c r="T1410" s="68">
        <v>0.0010513316</v>
      </c>
      <c r="U1410" s="68">
        <v>4.1539917E-5</v>
      </c>
      <c r="V1410" s="68">
        <v>2.4463433E-5</v>
      </c>
      <c r="X1410" s="69">
        <v>3.191192E-6</v>
      </c>
    </row>
    <row r="1411" ht="12.75" customHeight="1">
      <c r="A1411" s="1" t="s">
        <v>2080</v>
      </c>
      <c r="B1411" s="2" t="s">
        <v>2044</v>
      </c>
      <c r="C1411" s="60" t="str">
        <f t="shared" si="334"/>
        <v>B.044.01.137</v>
      </c>
      <c r="D1411" s="51" t="s">
        <v>2042</v>
      </c>
      <c r="E1411" s="62" t="s">
        <v>896</v>
      </c>
      <c r="F1411" s="63" t="str">
        <f t="shared" si="335"/>
        <v>Electricity Cape Verde production</v>
      </c>
      <c r="G1411" s="64">
        <v>0.03684267379</v>
      </c>
      <c r="H1411" s="10">
        <f t="shared" si="328"/>
        <v>0.03684267379</v>
      </c>
      <c r="I1411" s="65">
        <v>0.0023618269</v>
      </c>
      <c r="J1411" s="65">
        <v>0.0071875223000000005</v>
      </c>
      <c r="K1411" s="65">
        <v>9.265359E-5</v>
      </c>
      <c r="L1411" s="65">
        <v>0.027200671</v>
      </c>
      <c r="N1411" s="66">
        <v>0.18133780666666666</v>
      </c>
      <c r="O1411" s="10">
        <f t="shared" si="329"/>
        <v>0.1813378067</v>
      </c>
      <c r="Q1411" s="67">
        <v>2.6181844</v>
      </c>
      <c r="S1411" s="68">
        <v>0.0051378612</v>
      </c>
      <c r="T1411" s="68">
        <v>0.0048029928</v>
      </c>
      <c r="U1411" s="68">
        <v>1.7182732E-4</v>
      </c>
      <c r="V1411" s="68">
        <v>1.6304108E-4</v>
      </c>
      <c r="X1411" s="69">
        <v>1.0580106E-5</v>
      </c>
    </row>
    <row r="1412" ht="12.75" customHeight="1">
      <c r="A1412" s="1" t="s">
        <v>2081</v>
      </c>
      <c r="B1412" s="2" t="s">
        <v>2044</v>
      </c>
      <c r="C1412" s="60" t="str">
        <f t="shared" si="334"/>
        <v>B.044.01.138</v>
      </c>
      <c r="D1412" s="51" t="s">
        <v>2042</v>
      </c>
      <c r="E1412" s="62" t="s">
        <v>896</v>
      </c>
      <c r="F1412" s="63" t="str">
        <f t="shared" si="335"/>
        <v>Electricity Cayman Islands production</v>
      </c>
      <c r="G1412" s="64">
        <v>0.0475548209841</v>
      </c>
      <c r="H1412" s="10">
        <f t="shared" si="328"/>
        <v>0.04755482098</v>
      </c>
      <c r="I1412" s="65">
        <v>0.0030568838</v>
      </c>
      <c r="J1412" s="65">
        <v>0.0093072694</v>
      </c>
      <c r="K1412" s="65">
        <v>8.7407841E-6</v>
      </c>
      <c r="L1412" s="65">
        <v>0.035181927</v>
      </c>
      <c r="N1412" s="66">
        <v>0.23454618000000002</v>
      </c>
      <c r="O1412" s="10">
        <f t="shared" si="329"/>
        <v>0.23454618</v>
      </c>
      <c r="Q1412" s="67">
        <v>3.0017917</v>
      </c>
      <c r="S1412" s="68">
        <v>0.0066522856</v>
      </c>
      <c r="T1412" s="68">
        <v>0.0062179913</v>
      </c>
      <c r="U1412" s="68">
        <v>2.2231668E-4</v>
      </c>
      <c r="V1412" s="68">
        <v>2.1197765E-4</v>
      </c>
      <c r="X1412" s="69">
        <v>1.3711953E-5</v>
      </c>
    </row>
    <row r="1413" ht="12.75" customHeight="1">
      <c r="A1413" s="1" t="s">
        <v>2082</v>
      </c>
      <c r="B1413" s="2" t="s">
        <v>2044</v>
      </c>
      <c r="C1413" s="60" t="str">
        <f t="shared" si="334"/>
        <v>B.044.01.139</v>
      </c>
      <c r="D1413" s="51" t="s">
        <v>2042</v>
      </c>
      <c r="E1413" s="62" t="s">
        <v>896</v>
      </c>
      <c r="F1413" s="63" t="str">
        <f t="shared" si="335"/>
        <v>Electricity Central African Republic production</v>
      </c>
      <c r="G1413" s="64">
        <v>5.965289102E-4</v>
      </c>
      <c r="H1413" s="10">
        <f t="shared" si="328"/>
        <v>0.0005965289102</v>
      </c>
      <c r="I1413" s="65">
        <v>7.3895502E-6</v>
      </c>
      <c r="J1413" s="65">
        <v>0.0</v>
      </c>
      <c r="K1413" s="65">
        <v>2.3015612E-4</v>
      </c>
      <c r="L1413" s="65">
        <v>3.5898324E-4</v>
      </c>
      <c r="N1413" s="66">
        <v>0.0023932216000000003</v>
      </c>
      <c r="O1413" s="10">
        <f t="shared" si="329"/>
        <v>0.0023932216</v>
      </c>
      <c r="Q1413" s="67">
        <v>1.1966108</v>
      </c>
      <c r="S1413" s="68">
        <v>4.0853165E-5</v>
      </c>
      <c r="T1413" s="68">
        <v>3.8978166E-5</v>
      </c>
      <c r="U1413" s="68">
        <v>1.8120054E-6</v>
      </c>
      <c r="V1413" s="68">
        <v>6.299373E-8</v>
      </c>
      <c r="X1413" s="69">
        <v>7.3343899E-8</v>
      </c>
    </row>
    <row r="1414" ht="12.75" customHeight="1">
      <c r="A1414" s="1" t="s">
        <v>2083</v>
      </c>
      <c r="B1414" s="2" t="s">
        <v>2044</v>
      </c>
      <c r="C1414" s="60" t="str">
        <f t="shared" si="334"/>
        <v>B.044.01.140</v>
      </c>
      <c r="D1414" s="51" t="s">
        <v>2042</v>
      </c>
      <c r="E1414" s="62" t="s">
        <v>896</v>
      </c>
      <c r="F1414" s="63" t="str">
        <f t="shared" si="335"/>
        <v>Electricity Central America production</v>
      </c>
      <c r="G1414" s="64">
        <v>6.703981002E-4</v>
      </c>
      <c r="H1414" s="10">
        <f t="shared" si="328"/>
        <v>0.0006703981002</v>
      </c>
      <c r="I1414" s="65">
        <v>1.41934619E-5</v>
      </c>
      <c r="J1414" s="65">
        <v>2.2724488299999998E-5</v>
      </c>
      <c r="K1414" s="65">
        <v>2.4379837E-4</v>
      </c>
      <c r="L1414" s="65">
        <v>3.8968178E-4</v>
      </c>
      <c r="N1414" s="66">
        <v>0.0025978785333333333</v>
      </c>
      <c r="O1414" s="10">
        <f t="shared" si="329"/>
        <v>0.002597878533</v>
      </c>
      <c r="Q1414" s="67">
        <v>1.1631966</v>
      </c>
      <c r="S1414" s="68">
        <v>4.8507521E-5</v>
      </c>
      <c r="T1414" s="68">
        <v>4.6377579E-5</v>
      </c>
      <c r="U1414" s="68">
        <v>2.063214E-6</v>
      </c>
      <c r="V1414" s="68">
        <v>6.6727614E-8</v>
      </c>
      <c r="X1414" s="69">
        <v>8.3844698E-8</v>
      </c>
    </row>
    <row r="1415" ht="12.75" customHeight="1">
      <c r="A1415" s="1" t="s">
        <v>2084</v>
      </c>
      <c r="B1415" s="2" t="s">
        <v>2044</v>
      </c>
      <c r="C1415" s="60" t="str">
        <f t="shared" si="334"/>
        <v>B.044.01.141</v>
      </c>
      <c r="D1415" s="51" t="s">
        <v>2042</v>
      </c>
      <c r="E1415" s="62" t="s">
        <v>896</v>
      </c>
      <c r="F1415" s="63" t="str">
        <f t="shared" si="335"/>
        <v>Electricity Chad production</v>
      </c>
      <c r="G1415" s="64">
        <v>0.057035119424000004</v>
      </c>
      <c r="H1415" s="10">
        <f t="shared" si="328"/>
        <v>0.05703511942</v>
      </c>
      <c r="I1415" s="65">
        <v>0.0037776281</v>
      </c>
      <c r="J1415" s="65">
        <v>0.0112925024</v>
      </c>
      <c r="K1415" s="65">
        <v>1.0562924E-5</v>
      </c>
      <c r="L1415" s="65">
        <v>0.041954426</v>
      </c>
      <c r="N1415" s="66">
        <v>0.27969617333333335</v>
      </c>
      <c r="O1415" s="10">
        <f t="shared" si="329"/>
        <v>0.2796961733</v>
      </c>
      <c r="Q1415" s="67">
        <v>3.6983057</v>
      </c>
      <c r="S1415" s="68">
        <v>0.0079761623</v>
      </c>
      <c r="T1415" s="68">
        <v>0.007457569</v>
      </c>
      <c r="U1415" s="68">
        <v>2.6580163E-4</v>
      </c>
      <c r="V1415" s="68">
        <v>2.5279167E-4</v>
      </c>
      <c r="X1415" s="69">
        <v>1.6439381E-5</v>
      </c>
    </row>
    <row r="1416" ht="12.75" customHeight="1">
      <c r="A1416" s="1" t="s">
        <v>2085</v>
      </c>
      <c r="B1416" s="2" t="s">
        <v>2044</v>
      </c>
      <c r="C1416" s="60" t="str">
        <f t="shared" si="334"/>
        <v>B.044.01.142</v>
      </c>
      <c r="D1416" s="51" t="s">
        <v>2042</v>
      </c>
      <c r="E1416" s="62" t="s">
        <v>896</v>
      </c>
      <c r="F1416" s="63" t="str">
        <f t="shared" si="335"/>
        <v>Electricity Chile production</v>
      </c>
      <c r="G1416" s="64">
        <v>0.013285060999999999</v>
      </c>
      <c r="H1416" s="10">
        <f t="shared" si="328"/>
        <v>0.013285061</v>
      </c>
      <c r="I1416" s="65">
        <v>7.7777405E-4</v>
      </c>
      <c r="J1416" s="65">
        <v>0.00151228255</v>
      </c>
      <c r="K1416" s="65">
        <v>1.584094E-4</v>
      </c>
      <c r="L1416" s="65">
        <v>0.010836595</v>
      </c>
      <c r="N1416" s="66">
        <v>0.07224396666666666</v>
      </c>
      <c r="O1416" s="10">
        <f t="shared" si="329"/>
        <v>0.07224396667</v>
      </c>
      <c r="Q1416" s="67">
        <v>1.666267</v>
      </c>
      <c r="S1416" s="68">
        <v>0.0014934641</v>
      </c>
      <c r="T1416" s="68">
        <v>0.0014073925</v>
      </c>
      <c r="U1416" s="68">
        <v>6.0375356E-5</v>
      </c>
      <c r="V1416" s="68">
        <v>2.5696261E-5</v>
      </c>
      <c r="X1416" s="69">
        <v>3.4367789E-6</v>
      </c>
    </row>
    <row r="1417" ht="12.75" customHeight="1">
      <c r="A1417" s="1" t="s">
        <v>2086</v>
      </c>
      <c r="B1417" s="2" t="s">
        <v>2044</v>
      </c>
      <c r="C1417" s="60" t="str">
        <f t="shared" si="334"/>
        <v>B.044.01.143</v>
      </c>
      <c r="D1417" s="51" t="s">
        <v>2042</v>
      </c>
      <c r="E1417" s="62" t="s">
        <v>896</v>
      </c>
      <c r="F1417" s="63" t="str">
        <f t="shared" si="335"/>
        <v>Electricity China production</v>
      </c>
      <c r="G1417" s="64">
        <v>0.02634828915</v>
      </c>
      <c r="H1417" s="10">
        <f t="shared" si="328"/>
        <v>0.02634828915</v>
      </c>
      <c r="I1417" s="65">
        <v>2.62117231E-4</v>
      </c>
      <c r="J1417" s="65">
        <v>4.641749E-4</v>
      </c>
      <c r="K1417" s="65">
        <v>0.001206145019</v>
      </c>
      <c r="L1417" s="65">
        <v>0.024415852</v>
      </c>
      <c r="N1417" s="66">
        <v>0.16277234666666665</v>
      </c>
      <c r="O1417" s="10">
        <f t="shared" si="329"/>
        <v>0.1627723467</v>
      </c>
      <c r="Q1417" s="67">
        <v>2.2969753</v>
      </c>
      <c r="S1417" s="68">
        <v>0.0027639701</v>
      </c>
      <c r="T1417" s="68">
        <v>0.0026125214</v>
      </c>
      <c r="U1417" s="68">
        <v>1.2502262E-4</v>
      </c>
      <c r="V1417" s="68">
        <v>2.6426042E-5</v>
      </c>
      <c r="X1417" s="69">
        <v>7.0014113E-6</v>
      </c>
    </row>
    <row r="1418" ht="12.75" customHeight="1">
      <c r="A1418" s="1" t="s">
        <v>2087</v>
      </c>
      <c r="B1418" s="2" t="s">
        <v>2044</v>
      </c>
      <c r="C1418" s="60" t="str">
        <f t="shared" si="334"/>
        <v>B.044.01.144</v>
      </c>
      <c r="D1418" s="51" t="s">
        <v>2042</v>
      </c>
      <c r="E1418" s="62" t="s">
        <v>896</v>
      </c>
      <c r="F1418" s="63" t="str">
        <f t="shared" si="335"/>
        <v>Electricity CIS production</v>
      </c>
      <c r="G1418" s="64">
        <v>0.035121484285000004</v>
      </c>
      <c r="H1418" s="10">
        <f t="shared" si="328"/>
        <v>0.03512148429</v>
      </c>
      <c r="I1418" s="65">
        <v>0.00293178491</v>
      </c>
      <c r="J1418" s="65">
        <v>0.0043334741</v>
      </c>
      <c r="K1418" s="65">
        <v>0.004102285275</v>
      </c>
      <c r="L1418" s="65">
        <v>0.02375394</v>
      </c>
      <c r="N1418" s="66">
        <v>0.15835960000000002</v>
      </c>
      <c r="O1418" s="10">
        <f t="shared" si="329"/>
        <v>0.1583596</v>
      </c>
      <c r="Q1418" s="67">
        <v>2.5487456</v>
      </c>
      <c r="S1418" s="68">
        <v>0.0035617111</v>
      </c>
      <c r="T1418" s="68">
        <v>0.0033510053</v>
      </c>
      <c r="U1418" s="68">
        <v>1.3534432E-4</v>
      </c>
      <c r="V1418" s="68">
        <v>7.5361491E-5</v>
      </c>
      <c r="X1418" s="69">
        <v>9.0551825E-6</v>
      </c>
    </row>
    <row r="1419" ht="12.75" customHeight="1">
      <c r="A1419" s="1" t="s">
        <v>2088</v>
      </c>
      <c r="B1419" s="2" t="s">
        <v>2044</v>
      </c>
      <c r="C1419" s="60" t="str">
        <f t="shared" si="334"/>
        <v>B.044.01.145</v>
      </c>
      <c r="D1419" s="51" t="s">
        <v>2042</v>
      </c>
      <c r="E1419" s="62" t="s">
        <v>896</v>
      </c>
      <c r="F1419" s="63" t="str">
        <f t="shared" si="335"/>
        <v>Electricity Colombia production</v>
      </c>
      <c r="G1419" s="64">
        <v>0.01749772047</v>
      </c>
      <c r="H1419" s="10">
        <f t="shared" si="328"/>
        <v>0.01749772047</v>
      </c>
      <c r="I1419" s="65">
        <v>0.0015693006999999998</v>
      </c>
      <c r="J1419" s="65">
        <v>0.00242881</v>
      </c>
      <c r="K1419" s="65">
        <v>1.3161277E-4</v>
      </c>
      <c r="L1419" s="65">
        <v>0.013367997</v>
      </c>
      <c r="N1419" s="66">
        <v>0.08911998</v>
      </c>
      <c r="O1419" s="10">
        <f t="shared" si="329"/>
        <v>0.08911998</v>
      </c>
      <c r="Q1419" s="67">
        <v>1.7506516</v>
      </c>
      <c r="S1419" s="68">
        <v>0.0020284132</v>
      </c>
      <c r="T1419" s="68">
        <v>0.0019151994</v>
      </c>
      <c r="U1419" s="68">
        <v>7.6472821E-5</v>
      </c>
      <c r="V1419" s="68">
        <v>3.6740994E-5</v>
      </c>
      <c r="X1419" s="69">
        <v>4.7052389E-6</v>
      </c>
    </row>
    <row r="1420" ht="12.75" customHeight="1">
      <c r="A1420" s="1" t="s">
        <v>2089</v>
      </c>
      <c r="B1420" s="2" t="s">
        <v>2044</v>
      </c>
      <c r="C1420" s="60" t="str">
        <f t="shared" si="334"/>
        <v>B.044.01.146</v>
      </c>
      <c r="D1420" s="51" t="s">
        <v>2042</v>
      </c>
      <c r="E1420" s="62" t="s">
        <v>896</v>
      </c>
      <c r="F1420" s="63" t="str">
        <f t="shared" si="335"/>
        <v>Electricity Comoros production</v>
      </c>
      <c r="G1420" s="64">
        <v>0.055935948</v>
      </c>
      <c r="H1420" s="10">
        <f t="shared" si="328"/>
        <v>0.055935948</v>
      </c>
      <c r="I1420" s="65">
        <v>0.0035964509</v>
      </c>
      <c r="J1420" s="65">
        <v>0.0109510821</v>
      </c>
      <c r="K1420" s="65">
        <v>0.0</v>
      </c>
      <c r="L1420" s="65">
        <v>0.041388415</v>
      </c>
      <c r="N1420" s="66">
        <v>0.27592276666666665</v>
      </c>
      <c r="O1420" s="10">
        <f t="shared" si="329"/>
        <v>0.2759227667</v>
      </c>
      <c r="Q1420" s="67">
        <v>3.4941821</v>
      </c>
      <c r="S1420" s="68">
        <v>0.007826775</v>
      </c>
      <c r="T1420" s="68">
        <v>0.0073157419</v>
      </c>
      <c r="U1420" s="68">
        <v>2.6154845E-4</v>
      </c>
      <c r="V1420" s="68">
        <v>2.494846E-4</v>
      </c>
      <c r="X1420" s="69">
        <v>1.6133889E-5</v>
      </c>
    </row>
    <row r="1421" ht="12.75" customHeight="1">
      <c r="A1421" s="1" t="s">
        <v>2090</v>
      </c>
      <c r="B1421" s="2" t="s">
        <v>2044</v>
      </c>
      <c r="C1421" s="60" t="str">
        <f t="shared" si="334"/>
        <v>B.044.01.147</v>
      </c>
      <c r="D1421" s="51" t="s">
        <v>2042</v>
      </c>
      <c r="E1421" s="62" t="s">
        <v>896</v>
      </c>
      <c r="F1421" s="63" t="str">
        <f t="shared" si="335"/>
        <v>Electricity Congo production</v>
      </c>
      <c r="G1421" s="64">
        <v>0.056944579631</v>
      </c>
      <c r="H1421" s="10">
        <f t="shared" si="328"/>
        <v>0.05694457963</v>
      </c>
      <c r="I1421" s="65">
        <v>0.0058137998</v>
      </c>
      <c r="J1421" s="65">
        <v>0.0088063424</v>
      </c>
      <c r="K1421" s="65">
        <v>7.1433431E-5</v>
      </c>
      <c r="L1421" s="65">
        <v>0.042253004</v>
      </c>
      <c r="N1421" s="66">
        <v>0.28168669333333335</v>
      </c>
      <c r="O1421" s="10">
        <f t="shared" si="329"/>
        <v>0.2816866933</v>
      </c>
      <c r="Q1421" s="67">
        <v>3.6624851</v>
      </c>
      <c r="S1421" s="68">
        <v>0.0066048378</v>
      </c>
      <c r="T1421" s="68">
        <v>0.0061712945</v>
      </c>
      <c r="U1421" s="68">
        <v>2.4501058E-4</v>
      </c>
      <c r="V1421" s="68">
        <v>1.885327E-4</v>
      </c>
      <c r="X1421" s="69">
        <v>1.5266775E-5</v>
      </c>
    </row>
    <row r="1422" ht="12.75" customHeight="1">
      <c r="A1422" s="1" t="s">
        <v>2091</v>
      </c>
      <c r="B1422" s="2" t="s">
        <v>2044</v>
      </c>
      <c r="C1422" s="60" t="str">
        <f t="shared" si="334"/>
        <v>B.044.01.148</v>
      </c>
      <c r="D1422" s="51" t="s">
        <v>2042</v>
      </c>
      <c r="E1422" s="62" t="s">
        <v>896</v>
      </c>
      <c r="F1422" s="63" t="str">
        <f t="shared" si="335"/>
        <v>Electricity Cook Islands production</v>
      </c>
      <c r="G1422" s="64">
        <v>0.02252470351</v>
      </c>
      <c r="H1422" s="10">
        <f t="shared" si="328"/>
        <v>0.02252470351</v>
      </c>
      <c r="I1422" s="65">
        <v>0.00143726786</v>
      </c>
      <c r="J1422" s="65">
        <v>0.00436305397</v>
      </c>
      <c r="K1422" s="65">
        <v>1.3801668E-4</v>
      </c>
      <c r="L1422" s="65">
        <v>0.016586365</v>
      </c>
      <c r="N1422" s="66">
        <v>0.11057576666666666</v>
      </c>
      <c r="O1422" s="10">
        <f t="shared" si="329"/>
        <v>0.1105757667</v>
      </c>
      <c r="Q1422" s="67">
        <v>1.8990493</v>
      </c>
      <c r="S1422" s="68">
        <v>0.0031238012</v>
      </c>
      <c r="T1422" s="68">
        <v>0.0029206737</v>
      </c>
      <c r="U1422" s="68">
        <v>1.0464612E-4</v>
      </c>
      <c r="V1422" s="68">
        <v>9.8481371E-5</v>
      </c>
      <c r="X1422" s="69">
        <v>6.4254563E-6</v>
      </c>
    </row>
    <row r="1423" ht="12.75" customHeight="1">
      <c r="A1423" s="1" t="s">
        <v>2092</v>
      </c>
      <c r="B1423" s="2" t="s">
        <v>2044</v>
      </c>
      <c r="C1423" s="60" t="str">
        <f t="shared" si="334"/>
        <v>B.044.01.149</v>
      </c>
      <c r="D1423" s="51" t="s">
        <v>2042</v>
      </c>
      <c r="E1423" s="62" t="s">
        <v>896</v>
      </c>
      <c r="F1423" s="63" t="str">
        <f t="shared" si="335"/>
        <v>Electricity Costa Rica production</v>
      </c>
      <c r="G1423" s="64">
        <v>0.003303084496</v>
      </c>
      <c r="H1423" s="10">
        <f t="shared" si="328"/>
        <v>0.003303084496</v>
      </c>
      <c r="I1423" s="65">
        <v>2.0641648600000002E-4</v>
      </c>
      <c r="J1423" s="65">
        <v>5.832196500000001E-4</v>
      </c>
      <c r="K1423" s="65">
        <v>1.8116786E-4</v>
      </c>
      <c r="L1423" s="65">
        <v>0.0023322805</v>
      </c>
      <c r="N1423" s="66">
        <v>0.015548536666666668</v>
      </c>
      <c r="O1423" s="10">
        <f t="shared" si="329"/>
        <v>0.01554853667</v>
      </c>
      <c r="Q1423" s="67">
        <v>1.2124003</v>
      </c>
      <c r="S1423" s="68">
        <v>4.28632E-4</v>
      </c>
      <c r="T1423" s="68">
        <v>4.0169313E-4</v>
      </c>
      <c r="U1423" s="68">
        <v>1.4537451E-5</v>
      </c>
      <c r="V1423" s="68">
        <v>1.2401414E-5</v>
      </c>
      <c r="X1423" s="69">
        <v>8.719776E-7</v>
      </c>
    </row>
    <row r="1424" ht="12.75" customHeight="1">
      <c r="A1424" s="1" t="s">
        <v>2093</v>
      </c>
      <c r="B1424" s="2" t="s">
        <v>2044</v>
      </c>
      <c r="C1424" s="60" t="str">
        <f t="shared" si="334"/>
        <v>B.044.01.150</v>
      </c>
      <c r="D1424" s="51" t="s">
        <v>2042</v>
      </c>
      <c r="E1424" s="62" t="s">
        <v>896</v>
      </c>
      <c r="F1424" s="63" t="str">
        <f t="shared" si="335"/>
        <v>Electricity Cote d'Ivoire production</v>
      </c>
      <c r="G1424" s="64">
        <v>0.032221502409</v>
      </c>
      <c r="H1424" s="10">
        <f t="shared" si="328"/>
        <v>0.03222150241</v>
      </c>
      <c r="I1424" s="65">
        <v>0.0033993095</v>
      </c>
      <c r="J1424" s="65">
        <v>0.0048982382</v>
      </c>
      <c r="K1424" s="65">
        <v>6.8681709E-5</v>
      </c>
      <c r="L1424" s="65">
        <v>0.023855273</v>
      </c>
      <c r="N1424" s="66">
        <v>0.15903515333333335</v>
      </c>
      <c r="O1424" s="10">
        <f t="shared" si="329"/>
        <v>0.1590351533</v>
      </c>
      <c r="Q1424" s="67">
        <v>2.2246271</v>
      </c>
      <c r="S1424" s="68">
        <v>0.0036749111</v>
      </c>
      <c r="T1424" s="68">
        <v>0.0034340923</v>
      </c>
      <c r="U1424" s="68">
        <v>1.3746691E-4</v>
      </c>
      <c r="V1424" s="68">
        <v>1.0335192E-4</v>
      </c>
      <c r="X1424" s="69">
        <v>8.5778417E-6</v>
      </c>
    </row>
    <row r="1425" ht="12.75" customHeight="1">
      <c r="A1425" s="1" t="s">
        <v>2094</v>
      </c>
      <c r="B1425" s="2" t="s">
        <v>2044</v>
      </c>
      <c r="C1425" s="60" t="str">
        <f t="shared" si="334"/>
        <v>B.044.01.151</v>
      </c>
      <c r="D1425" s="51" t="s">
        <v>2042</v>
      </c>
      <c r="E1425" s="62" t="s">
        <v>896</v>
      </c>
      <c r="F1425" s="63" t="str">
        <f t="shared" si="335"/>
        <v>Electricity Cuba production</v>
      </c>
      <c r="G1425" s="64">
        <v>0.0515579897164</v>
      </c>
      <c r="H1425" s="10">
        <f t="shared" si="328"/>
        <v>0.05155798972</v>
      </c>
      <c r="I1425" s="65">
        <v>0.0036732329999999997</v>
      </c>
      <c r="J1425" s="65">
        <v>0.0098943784</v>
      </c>
      <c r="K1425" s="65">
        <v>8.1793164E-6</v>
      </c>
      <c r="L1425" s="65">
        <v>0.037982199</v>
      </c>
      <c r="N1425" s="66">
        <v>0.25321466000000004</v>
      </c>
      <c r="O1425" s="10">
        <f t="shared" si="329"/>
        <v>0.25321466</v>
      </c>
      <c r="Q1425" s="67">
        <v>3.2959781</v>
      </c>
      <c r="S1425" s="68">
        <v>0.0070388658</v>
      </c>
      <c r="T1425" s="68">
        <v>0.0065805982</v>
      </c>
      <c r="U1425" s="68">
        <v>2.3774227E-4</v>
      </c>
      <c r="V1425" s="68">
        <v>2.2052525E-4</v>
      </c>
      <c r="X1425" s="69">
        <v>1.471883E-5</v>
      </c>
    </row>
    <row r="1426" ht="12.75" customHeight="1">
      <c r="A1426" s="1" t="s">
        <v>2095</v>
      </c>
      <c r="B1426" s="2" t="s">
        <v>2044</v>
      </c>
      <c r="C1426" s="60" t="str">
        <f t="shared" si="334"/>
        <v>B.044.01.152</v>
      </c>
      <c r="D1426" s="51" t="s">
        <v>2042</v>
      </c>
      <c r="E1426" s="62" t="s">
        <v>896</v>
      </c>
      <c r="F1426" s="63" t="str">
        <f t="shared" si="335"/>
        <v>Electricity Democratic Republic of Congo production</v>
      </c>
      <c r="G1426" s="64">
        <v>6.224215072E-4</v>
      </c>
      <c r="H1426" s="10">
        <f t="shared" si="328"/>
        <v>0.0006224215072</v>
      </c>
      <c r="I1426" s="65">
        <v>1.87414392E-5</v>
      </c>
      <c r="J1426" s="65">
        <v>2.3300277999999998E-5</v>
      </c>
      <c r="K1426" s="65">
        <v>2.2216394E-4</v>
      </c>
      <c r="L1426" s="65">
        <v>3.5821585E-4</v>
      </c>
      <c r="N1426" s="66">
        <v>0.002388105666666667</v>
      </c>
      <c r="O1426" s="10">
        <f t="shared" si="329"/>
        <v>0.002388105667</v>
      </c>
      <c r="Q1426" s="67">
        <v>1.1043217</v>
      </c>
      <c r="S1426" s="68">
        <v>4.5109089E-5</v>
      </c>
      <c r="T1426" s="68">
        <v>4.3155697E-5</v>
      </c>
      <c r="U1426" s="68">
        <v>1.8925859E-6</v>
      </c>
      <c r="V1426" s="68">
        <v>6.0806271E-8</v>
      </c>
      <c r="X1426" s="69">
        <v>8.0288305E-8</v>
      </c>
    </row>
    <row r="1427" ht="12.75" customHeight="1">
      <c r="A1427" s="1" t="s">
        <v>2096</v>
      </c>
      <c r="B1427" s="2" t="s">
        <v>2044</v>
      </c>
      <c r="C1427" s="60" t="str">
        <f t="shared" si="334"/>
        <v>B.044.01.153</v>
      </c>
      <c r="D1427" s="51" t="s">
        <v>2042</v>
      </c>
      <c r="E1427" s="62" t="s">
        <v>896</v>
      </c>
      <c r="F1427" s="63" t="str">
        <f t="shared" si="335"/>
        <v>Electricity Djibouti production</v>
      </c>
      <c r="G1427" s="64">
        <v>0.03480078037</v>
      </c>
      <c r="H1427" s="10">
        <f t="shared" si="328"/>
        <v>0.03480078037</v>
      </c>
      <c r="I1427" s="65">
        <v>0.0022284971</v>
      </c>
      <c r="J1427" s="65">
        <v>0.0067860729</v>
      </c>
      <c r="K1427" s="65">
        <v>1.2572237E-4</v>
      </c>
      <c r="L1427" s="65">
        <v>0.025660488</v>
      </c>
      <c r="N1427" s="66">
        <v>0.17106992</v>
      </c>
      <c r="O1427" s="10">
        <f t="shared" si="329"/>
        <v>0.17106992</v>
      </c>
      <c r="Q1427" s="67">
        <v>2.5866997</v>
      </c>
      <c r="S1427" s="68">
        <v>0.0048477869</v>
      </c>
      <c r="T1427" s="68">
        <v>0.0045321182</v>
      </c>
      <c r="U1427" s="68">
        <v>1.621341E-4</v>
      </c>
      <c r="V1427" s="68">
        <v>1.535346E-4</v>
      </c>
      <c r="X1427" s="69">
        <v>9.9762145E-6</v>
      </c>
    </row>
    <row r="1428" ht="12.75" customHeight="1">
      <c r="A1428" s="1" t="s">
        <v>2097</v>
      </c>
      <c r="B1428" s="2" t="s">
        <v>2044</v>
      </c>
      <c r="C1428" s="60" t="str">
        <f t="shared" si="334"/>
        <v>B.044.01.154</v>
      </c>
      <c r="D1428" s="51" t="s">
        <v>2042</v>
      </c>
      <c r="E1428" s="62" t="s">
        <v>896</v>
      </c>
      <c r="F1428" s="63" t="str">
        <f t="shared" si="335"/>
        <v>Electricity Dominica production</v>
      </c>
      <c r="G1428" s="64">
        <v>0.039321892728999996</v>
      </c>
      <c r="H1428" s="10">
        <f t="shared" si="328"/>
        <v>0.03932189273</v>
      </c>
      <c r="I1428" s="65">
        <v>0.0025245521</v>
      </c>
      <c r="J1428" s="65">
        <v>0.007684506799999999</v>
      </c>
      <c r="K1428" s="65">
        <v>2.7378829E-5</v>
      </c>
      <c r="L1428" s="65">
        <v>0.029085455</v>
      </c>
      <c r="N1428" s="66">
        <v>0.19390303333333334</v>
      </c>
      <c r="O1428" s="10">
        <f t="shared" si="329"/>
        <v>0.1939030333</v>
      </c>
      <c r="Q1428" s="67">
        <v>2.5942558</v>
      </c>
      <c r="S1428" s="68">
        <v>0.0054970025</v>
      </c>
      <c r="T1428" s="68">
        <v>0.0051381814</v>
      </c>
      <c r="U1428" s="68">
        <v>1.8374726E-4</v>
      </c>
      <c r="V1428" s="68">
        <v>1.7507385E-4</v>
      </c>
      <c r="X1428" s="69">
        <v>1.133007E-5</v>
      </c>
    </row>
    <row r="1429" ht="12.75" customHeight="1">
      <c r="A1429" s="1" t="s">
        <v>2098</v>
      </c>
      <c r="B1429" s="2" t="s">
        <v>2044</v>
      </c>
      <c r="C1429" s="60" t="str">
        <f t="shared" si="334"/>
        <v>B.044.01.155</v>
      </c>
      <c r="D1429" s="51" t="s">
        <v>2042</v>
      </c>
      <c r="E1429" s="62" t="s">
        <v>896</v>
      </c>
      <c r="F1429" s="63" t="str">
        <f t="shared" si="335"/>
        <v>Electricity Dominican Republic production</v>
      </c>
      <c r="G1429" s="64">
        <v>0.039785960428</v>
      </c>
      <c r="H1429" s="10">
        <f t="shared" si="328"/>
        <v>0.03978596043</v>
      </c>
      <c r="I1429" s="65">
        <v>0.003309309</v>
      </c>
      <c r="J1429" s="65">
        <v>0.0057551928</v>
      </c>
      <c r="K1429" s="65">
        <v>4.7551628E-5</v>
      </c>
      <c r="L1429" s="65">
        <v>0.030673907</v>
      </c>
      <c r="N1429" s="66">
        <v>0.20449271333333335</v>
      </c>
      <c r="O1429" s="10">
        <f t="shared" si="329"/>
        <v>0.2044927133</v>
      </c>
      <c r="Q1429" s="67">
        <v>2.565363</v>
      </c>
      <c r="S1429" s="68">
        <v>0.0047821079</v>
      </c>
      <c r="T1429" s="68">
        <v>0.004505294</v>
      </c>
      <c r="U1429" s="68">
        <v>1.7755408E-4</v>
      </c>
      <c r="V1429" s="68">
        <v>9.9259821E-5</v>
      </c>
      <c r="X1429" s="69">
        <v>1.0902913E-5</v>
      </c>
    </row>
    <row r="1430" ht="12.75" customHeight="1">
      <c r="A1430" s="1" t="s">
        <v>2099</v>
      </c>
      <c r="B1430" s="2" t="s">
        <v>2044</v>
      </c>
      <c r="C1430" s="60" t="str">
        <f t="shared" si="334"/>
        <v>B.044.01.156</v>
      </c>
      <c r="D1430" s="51" t="s">
        <v>2042</v>
      </c>
      <c r="E1430" s="62" t="s">
        <v>896</v>
      </c>
      <c r="F1430" s="63" t="str">
        <f t="shared" si="335"/>
        <v>Electricity Eastern Africa production</v>
      </c>
      <c r="G1430" s="64">
        <v>6.859044058E-4</v>
      </c>
      <c r="H1430" s="10">
        <f t="shared" si="328"/>
        <v>0.0006859044058</v>
      </c>
      <c r="I1430" s="65">
        <v>1.03580867E-5</v>
      </c>
      <c r="J1430" s="65">
        <v>7.4093891000000004E-6</v>
      </c>
      <c r="K1430" s="65">
        <v>2.601222E-4</v>
      </c>
      <c r="L1430" s="65">
        <v>4.0801473E-4</v>
      </c>
      <c r="N1430" s="66">
        <v>0.0027200982000000003</v>
      </c>
      <c r="O1430" s="10">
        <f t="shared" si="329"/>
        <v>0.0027200982</v>
      </c>
      <c r="Q1430" s="67">
        <v>1.3185593</v>
      </c>
      <c r="S1430" s="68">
        <v>4.7832864E-5</v>
      </c>
      <c r="T1430" s="68">
        <v>4.5670011E-5</v>
      </c>
      <c r="U1430" s="68">
        <v>2.0916576E-6</v>
      </c>
      <c r="V1430" s="68">
        <v>7.1195447E-8</v>
      </c>
      <c r="X1430" s="69">
        <v>8.4763839E-8</v>
      </c>
    </row>
    <row r="1431" ht="12.75" customHeight="1">
      <c r="A1431" s="1" t="s">
        <v>2100</v>
      </c>
      <c r="B1431" s="2" t="s">
        <v>2044</v>
      </c>
      <c r="C1431" s="60" t="str">
        <f t="shared" si="334"/>
        <v>B.044.01.157</v>
      </c>
      <c r="D1431" s="51" t="s">
        <v>2042</v>
      </c>
      <c r="E1431" s="62" t="s">
        <v>896</v>
      </c>
      <c r="F1431" s="63" t="str">
        <f t="shared" si="335"/>
        <v>Electricity Ecuador production</v>
      </c>
      <c r="G1431" s="64">
        <v>0.0146151905</v>
      </c>
      <c r="H1431" s="10">
        <f t="shared" si="328"/>
        <v>0.0146151905</v>
      </c>
      <c r="I1431" s="65">
        <v>0.00103375941</v>
      </c>
      <c r="J1431" s="65">
        <v>0.0027841492500000004</v>
      </c>
      <c r="K1431" s="65">
        <v>1.5908884E-4</v>
      </c>
      <c r="L1431" s="65">
        <v>0.010638193</v>
      </c>
      <c r="N1431" s="66">
        <v>0.07092128666666668</v>
      </c>
      <c r="O1431" s="10">
        <f t="shared" si="329"/>
        <v>0.07092128667</v>
      </c>
      <c r="Q1431" s="67">
        <v>1.7568191</v>
      </c>
      <c r="S1431" s="68">
        <v>0.0019776852</v>
      </c>
      <c r="T1431" s="68">
        <v>0.0018501231</v>
      </c>
      <c r="U1431" s="68">
        <v>6.6667519E-5</v>
      </c>
      <c r="V1431" s="68">
        <v>6.089454E-5</v>
      </c>
      <c r="X1431" s="69">
        <v>4.1134253E-6</v>
      </c>
    </row>
    <row r="1432" ht="12.75" customHeight="1">
      <c r="A1432" s="1" t="s">
        <v>2101</v>
      </c>
      <c r="B1432" s="2" t="s">
        <v>2044</v>
      </c>
      <c r="C1432" s="60" t="str">
        <f t="shared" si="334"/>
        <v>B.044.01.158</v>
      </c>
      <c r="D1432" s="51" t="s">
        <v>2042</v>
      </c>
      <c r="E1432" s="62" t="s">
        <v>896</v>
      </c>
      <c r="F1432" s="63" t="str">
        <f t="shared" si="335"/>
        <v>Electricity Egypt production</v>
      </c>
      <c r="G1432" s="64">
        <v>0.045022125106999995</v>
      </c>
      <c r="H1432" s="10">
        <f t="shared" si="328"/>
        <v>0.04502212511</v>
      </c>
      <c r="I1432" s="65">
        <v>0.0045859592</v>
      </c>
      <c r="J1432" s="65">
        <v>0.0069784394</v>
      </c>
      <c r="K1432" s="65">
        <v>3.4335507E-5</v>
      </c>
      <c r="L1432" s="65">
        <v>0.033423391</v>
      </c>
      <c r="N1432" s="66">
        <v>0.22282260666666664</v>
      </c>
      <c r="O1432" s="10">
        <f t="shared" si="329"/>
        <v>0.2228226067</v>
      </c>
      <c r="Q1432" s="67">
        <v>2.7485733</v>
      </c>
      <c r="S1432" s="68">
        <v>0.0052310803</v>
      </c>
      <c r="T1432" s="68">
        <v>0.0048875706</v>
      </c>
      <c r="U1432" s="68">
        <v>1.9392433E-4</v>
      </c>
      <c r="V1432" s="68">
        <v>1.4958542E-4</v>
      </c>
      <c r="X1432" s="69">
        <v>1.2082973E-5</v>
      </c>
    </row>
    <row r="1433" ht="12.75" customHeight="1">
      <c r="A1433" s="1" t="s">
        <v>2102</v>
      </c>
      <c r="B1433" s="2" t="s">
        <v>2044</v>
      </c>
      <c r="C1433" s="60" t="str">
        <f t="shared" si="334"/>
        <v>B.044.01.159</v>
      </c>
      <c r="D1433" s="51" t="s">
        <v>2042</v>
      </c>
      <c r="E1433" s="62" t="s">
        <v>896</v>
      </c>
      <c r="F1433" s="63" t="str">
        <f t="shared" si="335"/>
        <v>Electricity El Salvador production</v>
      </c>
      <c r="G1433" s="64">
        <v>0.0052048163500000005</v>
      </c>
      <c r="H1433" s="10">
        <f t="shared" si="328"/>
        <v>0.00520481635</v>
      </c>
      <c r="I1433" s="65">
        <v>7.507665999999999E-4</v>
      </c>
      <c r="J1433" s="65">
        <v>0.0014591476</v>
      </c>
      <c r="K1433" s="65">
        <v>1.3314965E-4</v>
      </c>
      <c r="L1433" s="65">
        <v>0.0028617525</v>
      </c>
      <c r="N1433" s="66">
        <v>0.01907835</v>
      </c>
      <c r="O1433" s="10">
        <f t="shared" si="329"/>
        <v>0.01907835</v>
      </c>
      <c r="Q1433" s="67">
        <v>1.5888019</v>
      </c>
      <c r="S1433" s="68">
        <v>6.9275493E-4</v>
      </c>
      <c r="T1433" s="68">
        <v>6.5634791E-4</v>
      </c>
      <c r="U1433" s="68">
        <v>2.0494904E-5</v>
      </c>
      <c r="V1433" s="68">
        <v>1.5912115E-5</v>
      </c>
      <c r="X1433" s="69">
        <v>1.414592E-6</v>
      </c>
    </row>
    <row r="1434" ht="12.75" customHeight="1">
      <c r="A1434" s="1" t="s">
        <v>2103</v>
      </c>
      <c r="B1434" s="2" t="s">
        <v>2044</v>
      </c>
      <c r="C1434" s="60" t="str">
        <f t="shared" si="334"/>
        <v>B.044.01.160</v>
      </c>
      <c r="D1434" s="51" t="s">
        <v>2042</v>
      </c>
      <c r="E1434" s="62" t="s">
        <v>896</v>
      </c>
      <c r="F1434" s="63" t="str">
        <f t="shared" si="335"/>
        <v>Electricity Equatorial Guinea production</v>
      </c>
      <c r="G1434" s="64">
        <v>0.030630631462</v>
      </c>
      <c r="H1434" s="10">
        <f t="shared" si="328"/>
        <v>0.03063063146</v>
      </c>
      <c r="I1434" s="65">
        <v>0.00319751188</v>
      </c>
      <c r="J1434" s="65">
        <v>0.0046293254</v>
      </c>
      <c r="K1434" s="65">
        <v>6.7360182E-5</v>
      </c>
      <c r="L1434" s="65">
        <v>0.022736434</v>
      </c>
      <c r="N1434" s="66">
        <v>0.15157622666666667</v>
      </c>
      <c r="O1434" s="10">
        <f t="shared" si="329"/>
        <v>0.1515762267</v>
      </c>
      <c r="Q1434" s="67">
        <v>2.1015547</v>
      </c>
      <c r="S1434" s="68">
        <v>0.0034973825</v>
      </c>
      <c r="T1434" s="68">
        <v>0.00326768</v>
      </c>
      <c r="U1434" s="68">
        <v>1.309371E-4</v>
      </c>
      <c r="V1434" s="68">
        <v>9.8765377E-5</v>
      </c>
      <c r="X1434" s="69">
        <v>8.1581241E-6</v>
      </c>
    </row>
    <row r="1435" ht="12.75" customHeight="1">
      <c r="A1435" s="1" t="s">
        <v>2104</v>
      </c>
      <c r="B1435" s="2" t="s">
        <v>2044</v>
      </c>
      <c r="C1435" s="60" t="str">
        <f t="shared" si="334"/>
        <v>B.044.01.161</v>
      </c>
      <c r="D1435" s="51" t="s">
        <v>2042</v>
      </c>
      <c r="E1435" s="62" t="s">
        <v>896</v>
      </c>
      <c r="F1435" s="63" t="str">
        <f t="shared" si="335"/>
        <v>Electricity Eritrea production</v>
      </c>
      <c r="G1435" s="64">
        <v>0.043101475197</v>
      </c>
      <c r="H1435" s="10">
        <f t="shared" si="328"/>
        <v>0.0431014752</v>
      </c>
      <c r="I1435" s="65">
        <v>0.0027685061</v>
      </c>
      <c r="J1435" s="65">
        <v>0.0084266741</v>
      </c>
      <c r="K1435" s="65">
        <v>3.4462997E-5</v>
      </c>
      <c r="L1435" s="65">
        <v>0.031871832</v>
      </c>
      <c r="N1435" s="66">
        <v>0.21247888000000004</v>
      </c>
      <c r="O1435" s="10">
        <f t="shared" si="329"/>
        <v>0.21247888</v>
      </c>
      <c r="Q1435" s="67">
        <v>2.8152937</v>
      </c>
      <c r="S1435" s="68">
        <v>0.0060239484</v>
      </c>
      <c r="T1435" s="68">
        <v>0.0056308356</v>
      </c>
      <c r="U1435" s="68">
        <v>2.0136746E-4</v>
      </c>
      <c r="V1435" s="68">
        <v>1.9174535E-4</v>
      </c>
      <c r="X1435" s="69">
        <v>1.2414134E-5</v>
      </c>
    </row>
    <row r="1436" ht="12.75" customHeight="1">
      <c r="A1436" s="1" t="s">
        <v>2105</v>
      </c>
      <c r="B1436" s="2" t="s">
        <v>2044</v>
      </c>
      <c r="C1436" s="60" t="str">
        <f t="shared" si="334"/>
        <v>B.044.01.162</v>
      </c>
      <c r="D1436" s="51" t="s">
        <v>2042</v>
      </c>
      <c r="E1436" s="62" t="s">
        <v>896</v>
      </c>
      <c r="F1436" s="63" t="str">
        <f t="shared" si="335"/>
        <v>Electricity Eswatini production</v>
      </c>
      <c r="G1436" s="64">
        <v>0.00741374434</v>
      </c>
      <c r="H1436" s="10">
        <f t="shared" si="328"/>
        <v>0.00741374434</v>
      </c>
      <c r="I1436" s="65">
        <v>0.00205055408</v>
      </c>
      <c r="J1436" s="65">
        <v>0.0029760619</v>
      </c>
      <c r="K1436" s="65">
        <v>1.6178996E-4</v>
      </c>
      <c r="L1436" s="65">
        <v>0.0022253384</v>
      </c>
      <c r="N1436" s="66">
        <v>0.014835589333333335</v>
      </c>
      <c r="O1436" s="10">
        <f t="shared" si="329"/>
        <v>0.01483558933</v>
      </c>
      <c r="Q1436" s="67">
        <v>2.658653</v>
      </c>
      <c r="S1436" s="68">
        <v>9.0879807E-4</v>
      </c>
      <c r="T1436" s="68">
        <v>8.8519826E-4</v>
      </c>
      <c r="U1436" s="68">
        <v>2.1775579E-5</v>
      </c>
      <c r="V1436" s="68">
        <v>1.8242397E-6</v>
      </c>
      <c r="X1436" s="69">
        <v>1.9401153E-6</v>
      </c>
    </row>
    <row r="1437" ht="12.75" customHeight="1">
      <c r="A1437" s="1" t="s">
        <v>2106</v>
      </c>
      <c r="B1437" s="2" t="s">
        <v>2044</v>
      </c>
      <c r="C1437" s="60" t="str">
        <f t="shared" si="334"/>
        <v>B.044.01.163</v>
      </c>
      <c r="D1437" s="51" t="s">
        <v>2042</v>
      </c>
      <c r="E1437" s="62" t="s">
        <v>896</v>
      </c>
      <c r="F1437" s="63" t="str">
        <f t="shared" si="335"/>
        <v>Electricity Ethiopia production</v>
      </c>
      <c r="G1437" s="64">
        <v>6.692669271E-4</v>
      </c>
      <c r="H1437" s="10">
        <f t="shared" si="328"/>
        <v>0.0006692669271</v>
      </c>
      <c r="I1437" s="65">
        <v>1.1884654E-5</v>
      </c>
      <c r="J1437" s="65">
        <v>8.4206831E-6</v>
      </c>
      <c r="K1437" s="65">
        <v>2.5345276E-4</v>
      </c>
      <c r="L1437" s="65">
        <v>3.9550883E-4</v>
      </c>
      <c r="N1437" s="66">
        <v>0.0026367255333333336</v>
      </c>
      <c r="O1437" s="10">
        <f t="shared" si="329"/>
        <v>0.002636725533</v>
      </c>
      <c r="Q1437" s="67">
        <v>1.3013881</v>
      </c>
      <c r="S1437" s="68">
        <v>4.679973E-5</v>
      </c>
      <c r="T1437" s="68">
        <v>4.4699219E-5</v>
      </c>
      <c r="U1437" s="68">
        <v>2.0311412E-6</v>
      </c>
      <c r="V1437" s="68">
        <v>6.9370019E-8</v>
      </c>
      <c r="X1437" s="69">
        <v>8.3442994E-8</v>
      </c>
    </row>
    <row r="1438" ht="12.75" customHeight="1">
      <c r="A1438" s="1" t="s">
        <v>2107</v>
      </c>
      <c r="B1438" s="2" t="s">
        <v>2044</v>
      </c>
      <c r="C1438" s="60" t="str">
        <f t="shared" si="334"/>
        <v>B.044.01.164</v>
      </c>
      <c r="D1438" s="51" t="s">
        <v>2042</v>
      </c>
      <c r="E1438" s="62" t="s">
        <v>896</v>
      </c>
      <c r="F1438" s="63" t="str">
        <f t="shared" si="335"/>
        <v>Electricity Falkland Islands production</v>
      </c>
      <c r="G1438" s="64">
        <v>0.0489239564</v>
      </c>
      <c r="H1438" s="10">
        <f t="shared" si="328"/>
        <v>0.0489239564</v>
      </c>
      <c r="I1438" s="65">
        <v>0.0031456087</v>
      </c>
      <c r="J1438" s="65">
        <v>0.0095782817</v>
      </c>
      <c r="K1438" s="65">
        <v>0.0</v>
      </c>
      <c r="L1438" s="65">
        <v>0.036200066</v>
      </c>
      <c r="N1438" s="66">
        <v>0.24133377333333336</v>
      </c>
      <c r="O1438" s="10">
        <f t="shared" si="329"/>
        <v>0.2413337733</v>
      </c>
      <c r="Q1438" s="67">
        <v>3.0561601</v>
      </c>
      <c r="S1438" s="68">
        <v>0.0068456299</v>
      </c>
      <c r="T1438" s="68">
        <v>0.0063986587</v>
      </c>
      <c r="U1438" s="68">
        <v>2.2876138E-4</v>
      </c>
      <c r="V1438" s="68">
        <v>2.1820983E-4</v>
      </c>
      <c r="X1438" s="69">
        <v>1.4111385E-5</v>
      </c>
    </row>
    <row r="1439" ht="12.75" customHeight="1">
      <c r="A1439" s="1" t="s">
        <v>2108</v>
      </c>
      <c r="B1439" s="2" t="s">
        <v>2044</v>
      </c>
      <c r="C1439" s="60" t="str">
        <f t="shared" si="334"/>
        <v>B.044.01.165</v>
      </c>
      <c r="D1439" s="51" t="s">
        <v>2042</v>
      </c>
      <c r="E1439" s="62" t="s">
        <v>896</v>
      </c>
      <c r="F1439" s="63" t="str">
        <f t="shared" si="335"/>
        <v>Electricity Faroe Islands production</v>
      </c>
      <c r="G1439" s="64">
        <v>0.024920788109999998</v>
      </c>
      <c r="H1439" s="10">
        <f t="shared" si="328"/>
        <v>0.02492078811</v>
      </c>
      <c r="I1439" s="65">
        <v>0.00159064301</v>
      </c>
      <c r="J1439" s="65">
        <v>0.0048381761</v>
      </c>
      <c r="K1439" s="65">
        <v>1.13535E-4</v>
      </c>
      <c r="L1439" s="65">
        <v>0.018378434</v>
      </c>
      <c r="N1439" s="66">
        <v>0.12252289333333333</v>
      </c>
      <c r="O1439" s="10">
        <f t="shared" si="329"/>
        <v>0.1225228933</v>
      </c>
      <c r="Q1439" s="67">
        <v>2.0273177</v>
      </c>
      <c r="S1439" s="68">
        <v>0.003466729</v>
      </c>
      <c r="T1439" s="68">
        <v>0.0032409622</v>
      </c>
      <c r="U1439" s="68">
        <v>1.1601843E-4</v>
      </c>
      <c r="V1439" s="68">
        <v>1.0974844E-4</v>
      </c>
      <c r="X1439" s="69">
        <v>7.1358283E-6</v>
      </c>
    </row>
    <row r="1440" ht="12.75" customHeight="1">
      <c r="A1440" s="1" t="s">
        <v>2109</v>
      </c>
      <c r="B1440" s="2" t="s">
        <v>2044</v>
      </c>
      <c r="C1440" s="60" t="str">
        <f t="shared" si="334"/>
        <v>B.044.01.166</v>
      </c>
      <c r="D1440" s="51" t="s">
        <v>2042</v>
      </c>
      <c r="E1440" s="62" t="s">
        <v>896</v>
      </c>
      <c r="F1440" s="63" t="str">
        <f t="shared" si="335"/>
        <v>Electricity Fiji production</v>
      </c>
      <c r="G1440" s="64">
        <v>0.01738326261</v>
      </c>
      <c r="H1440" s="10">
        <f t="shared" si="328"/>
        <v>0.01738326261</v>
      </c>
      <c r="I1440" s="65">
        <v>0.00143799661</v>
      </c>
      <c r="J1440" s="65">
        <v>0.00373582217</v>
      </c>
      <c r="K1440" s="65">
        <v>1.0734283E-4</v>
      </c>
      <c r="L1440" s="65">
        <v>0.012102101</v>
      </c>
      <c r="N1440" s="66">
        <v>0.08068067333333334</v>
      </c>
      <c r="O1440" s="10">
        <f t="shared" si="329"/>
        <v>0.08068067333</v>
      </c>
      <c r="Q1440" s="67">
        <v>1.9252346</v>
      </c>
      <c r="S1440" s="68">
        <v>0.002404628</v>
      </c>
      <c r="T1440" s="68">
        <v>0.0022543806</v>
      </c>
      <c r="U1440" s="68">
        <v>7.8307379E-5</v>
      </c>
      <c r="V1440" s="68">
        <v>7.1939973E-5</v>
      </c>
      <c r="X1440" s="69">
        <v>4.9484832E-6</v>
      </c>
    </row>
    <row r="1441" ht="12.75" customHeight="1">
      <c r="A1441" s="1" t="s">
        <v>2110</v>
      </c>
      <c r="B1441" s="2" t="s">
        <v>2044</v>
      </c>
      <c r="C1441" s="60" t="str">
        <f t="shared" si="334"/>
        <v>B.044.01.167</v>
      </c>
      <c r="D1441" s="51" t="s">
        <v>2042</v>
      </c>
      <c r="E1441" s="62" t="s">
        <v>896</v>
      </c>
      <c r="F1441" s="63" t="str">
        <f t="shared" si="335"/>
        <v>Electricity French Guiana production</v>
      </c>
      <c r="G1441" s="64">
        <v>0.01491357981</v>
      </c>
      <c r="H1441" s="10">
        <f t="shared" si="328"/>
        <v>0.01491357981</v>
      </c>
      <c r="I1441" s="65">
        <v>0.00112065898</v>
      </c>
      <c r="J1441" s="65">
        <v>0.0030549091000000002</v>
      </c>
      <c r="K1441" s="65">
        <v>1.5169473E-4</v>
      </c>
      <c r="L1441" s="65">
        <v>0.010586317</v>
      </c>
      <c r="N1441" s="66">
        <v>0.07057544666666667</v>
      </c>
      <c r="O1441" s="10">
        <f t="shared" si="329"/>
        <v>0.07057544667</v>
      </c>
      <c r="Q1441" s="67">
        <v>1.8364867</v>
      </c>
      <c r="S1441" s="68">
        <v>0.002054188</v>
      </c>
      <c r="T1441" s="68">
        <v>0.0019240852</v>
      </c>
      <c r="U1441" s="68">
        <v>6.7715623E-5</v>
      </c>
      <c r="V1441" s="68">
        <v>6.2387183E-5</v>
      </c>
      <c r="X1441" s="69">
        <v>4.2247427E-6</v>
      </c>
    </row>
    <row r="1442" ht="12.75" customHeight="1">
      <c r="A1442" s="1" t="s">
        <v>2111</v>
      </c>
      <c r="B1442" s="2" t="s">
        <v>2044</v>
      </c>
      <c r="C1442" s="60" t="str">
        <f t="shared" si="334"/>
        <v>B.044.01.168</v>
      </c>
      <c r="D1442" s="51" t="s">
        <v>2042</v>
      </c>
      <c r="E1442" s="62" t="s">
        <v>896</v>
      </c>
      <c r="F1442" s="63" t="str">
        <f t="shared" si="335"/>
        <v>Electricity French Polynesia production</v>
      </c>
      <c r="G1442" s="64">
        <v>0.029424243898000003</v>
      </c>
      <c r="H1442" s="10">
        <f t="shared" si="328"/>
        <v>0.0294242439</v>
      </c>
      <c r="I1442" s="65">
        <v>0.00188310561</v>
      </c>
      <c r="J1442" s="65">
        <v>0.0057268776</v>
      </c>
      <c r="K1442" s="65">
        <v>7.2998688E-5</v>
      </c>
      <c r="L1442" s="65">
        <v>0.021741262</v>
      </c>
      <c r="N1442" s="66">
        <v>0.14494174666666668</v>
      </c>
      <c r="O1442" s="10">
        <f t="shared" si="329"/>
        <v>0.1449417467</v>
      </c>
      <c r="Q1442" s="67">
        <v>2.1771466</v>
      </c>
      <c r="S1442" s="68">
        <v>0.0041033019</v>
      </c>
      <c r="T1442" s="68">
        <v>0.0038356872</v>
      </c>
      <c r="U1442" s="68">
        <v>1.3726088E-4</v>
      </c>
      <c r="V1442" s="68">
        <v>1.3035375E-4</v>
      </c>
      <c r="X1442" s="69">
        <v>8.4539473E-6</v>
      </c>
    </row>
    <row r="1443" ht="12.75" customHeight="1">
      <c r="A1443" s="1" t="s">
        <v>2112</v>
      </c>
      <c r="B1443" s="2" t="s">
        <v>2044</v>
      </c>
      <c r="C1443" s="60" t="str">
        <f t="shared" si="334"/>
        <v>B.044.01.169</v>
      </c>
      <c r="D1443" s="51" t="s">
        <v>2042</v>
      </c>
      <c r="E1443" s="62" t="s">
        <v>896</v>
      </c>
      <c r="F1443" s="63" t="str">
        <f t="shared" si="335"/>
        <v>Electricity Gabon production</v>
      </c>
      <c r="G1443" s="64">
        <v>0.026248831139999998</v>
      </c>
      <c r="H1443" s="10">
        <f t="shared" si="328"/>
        <v>0.02624883114</v>
      </c>
      <c r="I1443" s="65">
        <v>0.00238465809</v>
      </c>
      <c r="J1443" s="65">
        <v>0.0043406853</v>
      </c>
      <c r="K1443" s="65">
        <v>1.1301175E-4</v>
      </c>
      <c r="L1443" s="65">
        <v>0.019410476</v>
      </c>
      <c r="N1443" s="66">
        <v>0.12940317333333334</v>
      </c>
      <c r="O1443" s="10">
        <f t="shared" si="329"/>
        <v>0.1294031733</v>
      </c>
      <c r="Q1443" s="67">
        <v>2.1341519</v>
      </c>
      <c r="S1443" s="68">
        <v>0.0032123416</v>
      </c>
      <c r="T1443" s="68">
        <v>0.0030023203</v>
      </c>
      <c r="U1443" s="68">
        <v>1.1537325E-4</v>
      </c>
      <c r="V1443" s="68">
        <v>9.4648038E-5</v>
      </c>
      <c r="X1443" s="69">
        <v>7.1551809E-6</v>
      </c>
    </row>
    <row r="1444" ht="12.75" customHeight="1">
      <c r="A1444" s="1" t="s">
        <v>2113</v>
      </c>
      <c r="B1444" s="2" t="s">
        <v>2044</v>
      </c>
      <c r="C1444" s="60" t="str">
        <f t="shared" si="334"/>
        <v>B.044.01.170</v>
      </c>
      <c r="D1444" s="51" t="s">
        <v>2042</v>
      </c>
      <c r="E1444" s="62" t="s">
        <v>896</v>
      </c>
      <c r="F1444" s="63" t="str">
        <f t="shared" si="335"/>
        <v>Electricity Gambia production</v>
      </c>
      <c r="G1444" s="64">
        <v>0.0507626465</v>
      </c>
      <c r="H1444" s="10">
        <f t="shared" si="328"/>
        <v>0.0507626465</v>
      </c>
      <c r="I1444" s="65">
        <v>0.0032638289</v>
      </c>
      <c r="J1444" s="65">
        <v>0.0099382586</v>
      </c>
      <c r="K1444" s="65">
        <v>0.0</v>
      </c>
      <c r="L1444" s="65">
        <v>0.037560559</v>
      </c>
      <c r="N1444" s="66">
        <v>0.25040372666666666</v>
      </c>
      <c r="O1444" s="10">
        <f t="shared" si="329"/>
        <v>0.2504037267</v>
      </c>
      <c r="Q1444" s="67">
        <v>3.1710186</v>
      </c>
      <c r="S1444" s="68">
        <v>0.0071029066</v>
      </c>
      <c r="T1444" s="68">
        <v>0.0066391371</v>
      </c>
      <c r="U1444" s="68">
        <v>2.3735883E-4</v>
      </c>
      <c r="V1444" s="68">
        <v>2.2641073E-4</v>
      </c>
      <c r="X1444" s="69">
        <v>1.4641728E-5</v>
      </c>
    </row>
    <row r="1445" ht="12.75" customHeight="1">
      <c r="A1445" s="1" t="s">
        <v>2114</v>
      </c>
      <c r="B1445" s="2" t="s">
        <v>2044</v>
      </c>
      <c r="C1445" s="60" t="str">
        <f t="shared" si="334"/>
        <v>B.044.01.171</v>
      </c>
      <c r="D1445" s="51" t="s">
        <v>2042</v>
      </c>
      <c r="E1445" s="62" t="s">
        <v>896</v>
      </c>
      <c r="F1445" s="63" t="str">
        <f t="shared" si="335"/>
        <v>Electricity Georgia production</v>
      </c>
      <c r="G1445" s="64">
        <v>0.00893899243</v>
      </c>
      <c r="H1445" s="10">
        <f t="shared" si="328"/>
        <v>0.00893899243</v>
      </c>
      <c r="I1445" s="65">
        <v>9.010778800000001E-4</v>
      </c>
      <c r="J1445" s="65">
        <v>0.0012893492</v>
      </c>
      <c r="K1445" s="65">
        <v>1.6816955E-4</v>
      </c>
      <c r="L1445" s="65">
        <v>0.0065803958</v>
      </c>
      <c r="N1445" s="66">
        <v>0.04386930533333333</v>
      </c>
      <c r="O1445" s="10">
        <f t="shared" si="329"/>
        <v>0.04386930533</v>
      </c>
      <c r="Q1445" s="67">
        <v>1.3594158</v>
      </c>
      <c r="S1445" s="68">
        <v>0.0010008283</v>
      </c>
      <c r="T1445" s="68">
        <v>9.3562139E-4</v>
      </c>
      <c r="U1445" s="68">
        <v>3.7698491E-5</v>
      </c>
      <c r="V1445" s="68">
        <v>2.7508372E-5</v>
      </c>
      <c r="X1445" s="69">
        <v>2.3233722E-6</v>
      </c>
    </row>
    <row r="1446" ht="12.75" customHeight="1">
      <c r="A1446" s="1" t="s">
        <v>2115</v>
      </c>
      <c r="B1446" s="2" t="s">
        <v>2044</v>
      </c>
      <c r="C1446" s="60" t="str">
        <f t="shared" si="334"/>
        <v>B.044.01.172</v>
      </c>
      <c r="D1446" s="51" t="s">
        <v>2042</v>
      </c>
      <c r="E1446" s="62" t="s">
        <v>896</v>
      </c>
      <c r="F1446" s="63" t="str">
        <f t="shared" si="335"/>
        <v>Electricity Ghana production</v>
      </c>
      <c r="G1446" s="64">
        <v>0.027684661184000002</v>
      </c>
      <c r="H1446" s="10">
        <f t="shared" si="328"/>
        <v>0.02768466118</v>
      </c>
      <c r="I1446" s="65">
        <v>0.00286336931</v>
      </c>
      <c r="J1446" s="65">
        <v>0.004204437300000001</v>
      </c>
      <c r="K1446" s="65">
        <v>8.4122574E-5</v>
      </c>
      <c r="L1446" s="65">
        <v>0.020532732</v>
      </c>
      <c r="N1446" s="66">
        <v>0.13688488000000001</v>
      </c>
      <c r="O1446" s="10">
        <f t="shared" si="329"/>
        <v>0.13688488</v>
      </c>
      <c r="Q1446" s="67">
        <v>2.0195988</v>
      </c>
      <c r="S1446" s="68">
        <v>0.0031732098</v>
      </c>
      <c r="T1446" s="68">
        <v>0.0029649765</v>
      </c>
      <c r="U1446" s="68">
        <v>1.1847912E-4</v>
      </c>
      <c r="V1446" s="68">
        <v>8.975417E-5</v>
      </c>
      <c r="X1446" s="69">
        <v>7.3770577E-6</v>
      </c>
    </row>
    <row r="1447" ht="12.75" customHeight="1">
      <c r="A1447" s="1" t="s">
        <v>2116</v>
      </c>
      <c r="B1447" s="2" t="s">
        <v>2044</v>
      </c>
      <c r="C1447" s="60" t="str">
        <f t="shared" si="334"/>
        <v>B.044.01.173</v>
      </c>
      <c r="D1447" s="51" t="s">
        <v>2042</v>
      </c>
      <c r="E1447" s="62" t="s">
        <v>896</v>
      </c>
      <c r="F1447" s="63" t="str">
        <f t="shared" si="335"/>
        <v>Electricity Greenland production</v>
      </c>
      <c r="G1447" s="64">
        <v>0.00635150619</v>
      </c>
      <c r="H1447" s="10">
        <f t="shared" si="328"/>
        <v>0.00635150619</v>
      </c>
      <c r="I1447" s="65">
        <v>3.8426449000000004E-4</v>
      </c>
      <c r="J1447" s="65">
        <v>0.00115255281</v>
      </c>
      <c r="K1447" s="65">
        <v>1.7921439E-4</v>
      </c>
      <c r="L1447" s="65">
        <v>0.0046354745</v>
      </c>
      <c r="N1447" s="66">
        <v>0.030903163333333337</v>
      </c>
      <c r="O1447" s="10">
        <f t="shared" si="329"/>
        <v>0.03090316333</v>
      </c>
      <c r="Q1447" s="67">
        <v>1.2995055</v>
      </c>
      <c r="S1447" s="68">
        <v>8.5554426E-4</v>
      </c>
      <c r="T1447" s="68">
        <v>8.003003E-4</v>
      </c>
      <c r="U1447" s="68">
        <v>2.8937758E-5</v>
      </c>
      <c r="V1447" s="68">
        <v>2.6306198E-5</v>
      </c>
      <c r="X1447" s="69">
        <v>1.7551305E-6</v>
      </c>
    </row>
    <row r="1448" ht="12.75" customHeight="1">
      <c r="A1448" s="1" t="s">
        <v>2117</v>
      </c>
      <c r="B1448" s="2" t="s">
        <v>2044</v>
      </c>
      <c r="C1448" s="60" t="str">
        <f t="shared" si="334"/>
        <v>B.044.01.174</v>
      </c>
      <c r="D1448" s="51" t="s">
        <v>2042</v>
      </c>
      <c r="E1448" s="62" t="s">
        <v>896</v>
      </c>
      <c r="F1448" s="63" t="str">
        <f t="shared" si="335"/>
        <v>Electricity Grenada production</v>
      </c>
      <c r="G1448" s="64">
        <v>0.0452895361</v>
      </c>
      <c r="H1448" s="10">
        <f t="shared" si="328"/>
        <v>0.0452895361</v>
      </c>
      <c r="I1448" s="65">
        <v>0.0029119305</v>
      </c>
      <c r="J1448" s="65">
        <v>0.0088667386</v>
      </c>
      <c r="K1448" s="65">
        <v>0.0</v>
      </c>
      <c r="L1448" s="65">
        <v>0.033510867</v>
      </c>
      <c r="N1448" s="66">
        <v>0.22340578</v>
      </c>
      <c r="O1448" s="10">
        <f t="shared" si="329"/>
        <v>0.22340578</v>
      </c>
      <c r="Q1448" s="67">
        <v>2.8291267</v>
      </c>
      <c r="S1448" s="68">
        <v>0.0063370877</v>
      </c>
      <c r="T1448" s="68">
        <v>0.0059233207</v>
      </c>
      <c r="U1448" s="68">
        <v>2.1176736E-4</v>
      </c>
      <c r="V1448" s="68">
        <v>2.0199965E-4</v>
      </c>
      <c r="X1448" s="69">
        <v>1.3063091E-5</v>
      </c>
    </row>
    <row r="1449" ht="12.75" customHeight="1">
      <c r="A1449" s="1" t="s">
        <v>2118</v>
      </c>
      <c r="B1449" s="2" t="s">
        <v>2044</v>
      </c>
      <c r="C1449" s="60" t="str">
        <f t="shared" si="334"/>
        <v>B.044.01.175</v>
      </c>
      <c r="D1449" s="51" t="s">
        <v>2042</v>
      </c>
      <c r="E1449" s="62" t="s">
        <v>896</v>
      </c>
      <c r="F1449" s="63" t="str">
        <f t="shared" si="335"/>
        <v>Electricity Guam production</v>
      </c>
      <c r="G1449" s="64">
        <v>0.040780400663</v>
      </c>
      <c r="H1449" s="10">
        <f t="shared" si="328"/>
        <v>0.04078040066</v>
      </c>
      <c r="I1449" s="65">
        <v>0.002620304</v>
      </c>
      <c r="J1449" s="65">
        <v>0.0079766634</v>
      </c>
      <c r="K1449" s="65">
        <v>2.1469263E-5</v>
      </c>
      <c r="L1449" s="65">
        <v>0.030161964</v>
      </c>
      <c r="N1449" s="66">
        <v>0.20107976</v>
      </c>
      <c r="O1449" s="10">
        <f t="shared" si="329"/>
        <v>0.20107976</v>
      </c>
      <c r="Q1449" s="67">
        <v>2.6239832</v>
      </c>
      <c r="S1449" s="68">
        <v>0.0057018053</v>
      </c>
      <c r="T1449" s="68">
        <v>0.0053296476</v>
      </c>
      <c r="U1449" s="68">
        <v>1.9057811E-4</v>
      </c>
      <c r="V1449" s="68">
        <v>1.8157962E-4</v>
      </c>
      <c r="X1449" s="69">
        <v>1.1751382E-5</v>
      </c>
    </row>
    <row r="1450" ht="12.75" customHeight="1">
      <c r="A1450" s="1" t="s">
        <v>2119</v>
      </c>
      <c r="B1450" s="2" t="s">
        <v>2044</v>
      </c>
      <c r="C1450" s="60" t="str">
        <f t="shared" si="334"/>
        <v>B.044.01.176</v>
      </c>
      <c r="D1450" s="51" t="s">
        <v>2042</v>
      </c>
      <c r="E1450" s="62" t="s">
        <v>896</v>
      </c>
      <c r="F1450" s="63" t="str">
        <f t="shared" si="335"/>
        <v>Electricity Guatemala production</v>
      </c>
      <c r="G1450" s="64">
        <v>0.01669239554</v>
      </c>
      <c r="H1450" s="10">
        <f t="shared" si="328"/>
        <v>0.01669239554</v>
      </c>
      <c r="I1450" s="65">
        <v>0.0020679971199999998</v>
      </c>
      <c r="J1450" s="65">
        <v>0.0033871169</v>
      </c>
      <c r="K1450" s="65">
        <v>1.0788452E-4</v>
      </c>
      <c r="L1450" s="65">
        <v>0.011129397</v>
      </c>
      <c r="N1450" s="66">
        <v>0.07419598</v>
      </c>
      <c r="O1450" s="10">
        <f t="shared" si="329"/>
        <v>0.07419598</v>
      </c>
      <c r="Q1450" s="67">
        <v>2.3745347</v>
      </c>
      <c r="S1450" s="68">
        <v>0.0020375238</v>
      </c>
      <c r="T1450" s="68">
        <v>0.0019437904</v>
      </c>
      <c r="U1450" s="68">
        <v>6.9180561E-5</v>
      </c>
      <c r="V1450" s="68">
        <v>2.4552877E-5</v>
      </c>
      <c r="X1450" s="69">
        <v>4.5610978E-6</v>
      </c>
    </row>
    <row r="1451" ht="12.75" customHeight="1">
      <c r="A1451" s="1" t="s">
        <v>2120</v>
      </c>
      <c r="B1451" s="2" t="s">
        <v>2044</v>
      </c>
      <c r="C1451" s="60" t="str">
        <f t="shared" si="334"/>
        <v>B.044.01.177</v>
      </c>
      <c r="D1451" s="51" t="s">
        <v>2042</v>
      </c>
      <c r="E1451" s="62" t="s">
        <v>896</v>
      </c>
      <c r="F1451" s="63" t="str">
        <f t="shared" si="335"/>
        <v>Electricity Guinea production</v>
      </c>
      <c r="G1451" s="64">
        <v>0.01323425837</v>
      </c>
      <c r="H1451" s="10">
        <f t="shared" si="328"/>
        <v>0.01323425837</v>
      </c>
      <c r="I1451" s="65">
        <v>8.2778435E-4</v>
      </c>
      <c r="J1451" s="65">
        <v>0.00250368251</v>
      </c>
      <c r="K1451" s="65">
        <v>1.7283731E-4</v>
      </c>
      <c r="L1451" s="65">
        <v>0.0097299542</v>
      </c>
      <c r="N1451" s="66">
        <v>0.06486636133333333</v>
      </c>
      <c r="O1451" s="10">
        <f t="shared" si="329"/>
        <v>0.06486636133</v>
      </c>
      <c r="Q1451" s="67">
        <v>1.693869</v>
      </c>
      <c r="S1451" s="68">
        <v>0.0018197457</v>
      </c>
      <c r="T1451" s="68">
        <v>0.0017015304</v>
      </c>
      <c r="U1451" s="68">
        <v>6.114606E-5</v>
      </c>
      <c r="V1451" s="68">
        <v>5.7069267E-5</v>
      </c>
      <c r="X1451" s="69">
        <v>3.7428839E-6</v>
      </c>
    </row>
    <row r="1452" ht="12.75" customHeight="1">
      <c r="A1452" s="1" t="s">
        <v>2121</v>
      </c>
      <c r="B1452" s="2" t="s">
        <v>2044</v>
      </c>
      <c r="C1452" s="60" t="str">
        <f t="shared" si="334"/>
        <v>B.044.01.178</v>
      </c>
      <c r="D1452" s="51" t="s">
        <v>2042</v>
      </c>
      <c r="E1452" s="62" t="s">
        <v>896</v>
      </c>
      <c r="F1452" s="63" t="str">
        <f t="shared" si="335"/>
        <v>Electricity Guinea-Bissau production</v>
      </c>
      <c r="G1452" s="64">
        <v>0.0507626465</v>
      </c>
      <c r="H1452" s="10">
        <f t="shared" si="328"/>
        <v>0.0507626465</v>
      </c>
      <c r="I1452" s="65">
        <v>0.0032638289</v>
      </c>
      <c r="J1452" s="65">
        <v>0.0099382586</v>
      </c>
      <c r="K1452" s="65">
        <v>0.0</v>
      </c>
      <c r="L1452" s="65">
        <v>0.037560559</v>
      </c>
      <c r="N1452" s="66">
        <v>0.25040372666666666</v>
      </c>
      <c r="O1452" s="10">
        <f t="shared" si="329"/>
        <v>0.2504037267</v>
      </c>
      <c r="Q1452" s="67">
        <v>3.1710186</v>
      </c>
      <c r="S1452" s="68">
        <v>0.0071029066</v>
      </c>
      <c r="T1452" s="68">
        <v>0.0066391371</v>
      </c>
      <c r="U1452" s="68">
        <v>2.3735883E-4</v>
      </c>
      <c r="V1452" s="68">
        <v>2.2641073E-4</v>
      </c>
      <c r="X1452" s="69">
        <v>1.4641728E-5</v>
      </c>
    </row>
    <row r="1453" ht="12.75" customHeight="1">
      <c r="A1453" s="1" t="s">
        <v>2122</v>
      </c>
      <c r="B1453" s="2" t="s">
        <v>2044</v>
      </c>
      <c r="C1453" s="60" t="str">
        <f t="shared" si="334"/>
        <v>B.044.01.179</v>
      </c>
      <c r="D1453" s="51" t="s">
        <v>2042</v>
      </c>
      <c r="E1453" s="62" t="s">
        <v>896</v>
      </c>
      <c r="F1453" s="63" t="str">
        <f t="shared" si="335"/>
        <v>Electricity Guyana production</v>
      </c>
      <c r="G1453" s="64">
        <v>0.042742037455</v>
      </c>
      <c r="H1453" s="10">
        <f t="shared" si="328"/>
        <v>0.04274203746</v>
      </c>
      <c r="I1453" s="65">
        <v>0.0029325195</v>
      </c>
      <c r="J1453" s="65">
        <v>0.008551094300000001</v>
      </c>
      <c r="K1453" s="65">
        <v>4.490655E-6</v>
      </c>
      <c r="L1453" s="65">
        <v>0.031253933</v>
      </c>
      <c r="N1453" s="66">
        <v>0.20835955333333334</v>
      </c>
      <c r="O1453" s="10">
        <f t="shared" si="329"/>
        <v>0.2083595533</v>
      </c>
      <c r="Q1453" s="67">
        <v>2.8400043</v>
      </c>
      <c r="S1453" s="68">
        <v>0.0059676418</v>
      </c>
      <c r="T1453" s="68">
        <v>0.0055812847</v>
      </c>
      <c r="U1453" s="68">
        <v>1.9841611E-4</v>
      </c>
      <c r="V1453" s="68">
        <v>1.8794092E-4</v>
      </c>
      <c r="X1453" s="69">
        <v>1.2309387E-5</v>
      </c>
    </row>
    <row r="1454" ht="12.75" customHeight="1">
      <c r="A1454" s="1" t="s">
        <v>2123</v>
      </c>
      <c r="B1454" s="2" t="s">
        <v>2044</v>
      </c>
      <c r="C1454" s="60" t="str">
        <f t="shared" si="334"/>
        <v>B.044.01.180</v>
      </c>
      <c r="D1454" s="51" t="s">
        <v>2042</v>
      </c>
      <c r="E1454" s="62" t="s">
        <v>896</v>
      </c>
      <c r="F1454" s="63" t="str">
        <f t="shared" si="335"/>
        <v>Electricity Haiti production</v>
      </c>
      <c r="G1454" s="64">
        <v>0.040592153916000004</v>
      </c>
      <c r="H1454" s="10">
        <f t="shared" si="328"/>
        <v>0.04059215392</v>
      </c>
      <c r="I1454" s="65">
        <v>0.0026041865000000003</v>
      </c>
      <c r="J1454" s="65">
        <v>0.00792551</v>
      </c>
      <c r="K1454" s="65">
        <v>4.2528416E-5</v>
      </c>
      <c r="L1454" s="65">
        <v>0.030019929</v>
      </c>
      <c r="N1454" s="66">
        <v>0.20013286000000002</v>
      </c>
      <c r="O1454" s="10">
        <f t="shared" si="329"/>
        <v>0.20013286</v>
      </c>
      <c r="Q1454" s="67">
        <v>2.7499178</v>
      </c>
      <c r="S1454" s="68">
        <v>0.0056719373</v>
      </c>
      <c r="T1454" s="68">
        <v>0.0053017464</v>
      </c>
      <c r="U1454" s="68">
        <v>1.8962249E-4</v>
      </c>
      <c r="V1454" s="68">
        <v>1.8056847E-4</v>
      </c>
      <c r="X1454" s="69">
        <v>1.168996E-5</v>
      </c>
    </row>
    <row r="1455" ht="12.75" customHeight="1">
      <c r="A1455" s="1" t="s">
        <v>2124</v>
      </c>
      <c r="B1455" s="2" t="s">
        <v>2044</v>
      </c>
      <c r="C1455" s="60" t="str">
        <f t="shared" si="334"/>
        <v>B.044.01.181</v>
      </c>
      <c r="D1455" s="51" t="s">
        <v>2042</v>
      </c>
      <c r="E1455" s="62" t="s">
        <v>896</v>
      </c>
      <c r="F1455" s="63" t="str">
        <f t="shared" si="335"/>
        <v>Electricity Honduras production</v>
      </c>
      <c r="G1455" s="64">
        <v>0.02576830772</v>
      </c>
      <c r="H1455" s="10">
        <f t="shared" si="328"/>
        <v>0.02576830772</v>
      </c>
      <c r="I1455" s="65">
        <v>0.00212225066</v>
      </c>
      <c r="J1455" s="65">
        <v>0.0055376075</v>
      </c>
      <c r="K1455" s="65">
        <v>1.5370156E-4</v>
      </c>
      <c r="L1455" s="65">
        <v>0.017954748</v>
      </c>
      <c r="N1455" s="66">
        <v>0.11969832</v>
      </c>
      <c r="O1455" s="10">
        <f t="shared" si="329"/>
        <v>0.11969832</v>
      </c>
      <c r="Q1455" s="67">
        <v>2.7690703</v>
      </c>
      <c r="S1455" s="68">
        <v>0.0035656279</v>
      </c>
      <c r="T1455" s="68">
        <v>0.0033427263</v>
      </c>
      <c r="U1455" s="68">
        <v>1.1617234E-4</v>
      </c>
      <c r="V1455" s="68">
        <v>1.0672927E-4</v>
      </c>
      <c r="X1455" s="69">
        <v>7.3342766E-6</v>
      </c>
    </row>
    <row r="1456" ht="12.75" customHeight="1">
      <c r="A1456" s="1" t="s">
        <v>2125</v>
      </c>
      <c r="B1456" s="2" t="s">
        <v>2044</v>
      </c>
      <c r="C1456" s="60" t="str">
        <f t="shared" si="334"/>
        <v>B.044.01.182</v>
      </c>
      <c r="D1456" s="51" t="s">
        <v>2042</v>
      </c>
      <c r="E1456" s="62" t="s">
        <v>896</v>
      </c>
      <c r="F1456" s="63" t="str">
        <f t="shared" si="335"/>
        <v>Electricity Hong Kong production</v>
      </c>
      <c r="G1456" s="64">
        <v>0.0444694867174</v>
      </c>
      <c r="H1456" s="10">
        <f t="shared" si="328"/>
        <v>0.04446948672</v>
      </c>
      <c r="I1456" s="65">
        <v>0.0041239702</v>
      </c>
      <c r="J1456" s="65">
        <v>0.0059603009</v>
      </c>
      <c r="K1456" s="65">
        <v>1.4966174E-6</v>
      </c>
      <c r="L1456" s="65">
        <v>0.034383719</v>
      </c>
      <c r="N1456" s="66">
        <v>0.22922479333333334</v>
      </c>
      <c r="O1456" s="10">
        <f t="shared" si="329"/>
        <v>0.2292247933</v>
      </c>
      <c r="Q1456" s="67">
        <v>2.5928848</v>
      </c>
      <c r="S1456" s="68">
        <v>0.0050808182</v>
      </c>
      <c r="T1456" s="68">
        <v>0.0047872994</v>
      </c>
      <c r="U1456" s="68">
        <v>1.9458034E-4</v>
      </c>
      <c r="V1456" s="68">
        <v>9.8938429E-5</v>
      </c>
      <c r="X1456" s="69">
        <v>1.198287E-5</v>
      </c>
    </row>
    <row r="1457" ht="12.75" customHeight="1">
      <c r="A1457" s="1" t="s">
        <v>2126</v>
      </c>
      <c r="B1457" s="2" t="s">
        <v>2044</v>
      </c>
      <c r="C1457" s="60" t="str">
        <f t="shared" si="334"/>
        <v>B.044.01.183</v>
      </c>
      <c r="D1457" s="51" t="s">
        <v>2042</v>
      </c>
      <c r="E1457" s="62" t="s">
        <v>896</v>
      </c>
      <c r="F1457" s="63" t="str">
        <f t="shared" si="335"/>
        <v>Electricity Iceland production</v>
      </c>
      <c r="G1457" s="64">
        <v>3.5943694869E-4</v>
      </c>
      <c r="H1457" s="10">
        <f t="shared" si="328"/>
        <v>0.0003594369487</v>
      </c>
      <c r="I1457" s="65">
        <v>4.465345813E-6</v>
      </c>
      <c r="J1457" s="65">
        <v>5.6362877000000004E-8</v>
      </c>
      <c r="K1457" s="65">
        <v>1.3865324E-4</v>
      </c>
      <c r="L1457" s="65">
        <v>2.16262E-4</v>
      </c>
      <c r="N1457" s="66">
        <v>0.0014417466666666668</v>
      </c>
      <c r="O1457" s="10">
        <f t="shared" si="329"/>
        <v>0.001441746667</v>
      </c>
      <c r="Q1457" s="67">
        <v>1.0275635</v>
      </c>
      <c r="S1457" s="68">
        <v>2.4622796E-5</v>
      </c>
      <c r="T1457" s="68">
        <v>2.3492978E-5</v>
      </c>
      <c r="U1457" s="68">
        <v>1.0918678E-6</v>
      </c>
      <c r="V1457" s="68">
        <v>3.7949392E-8</v>
      </c>
      <c r="X1457" s="69">
        <v>4.4195725E-8</v>
      </c>
    </row>
    <row r="1458" ht="12.75" customHeight="1">
      <c r="A1458" s="1" t="s">
        <v>2127</v>
      </c>
      <c r="B1458" s="2" t="s">
        <v>2044</v>
      </c>
      <c r="C1458" s="60" t="str">
        <f t="shared" si="334"/>
        <v>B.044.01.184</v>
      </c>
      <c r="D1458" s="51" t="s">
        <v>2042</v>
      </c>
      <c r="E1458" s="62" t="s">
        <v>896</v>
      </c>
      <c r="F1458" s="63" t="str">
        <f t="shared" si="335"/>
        <v>Electricity India  production</v>
      </c>
      <c r="G1458" s="64">
        <v>0.043233764766</v>
      </c>
      <c r="H1458" s="10">
        <f t="shared" si="328"/>
        <v>0.04323376477</v>
      </c>
      <c r="I1458" s="65">
        <v>0.0015122622299999998</v>
      </c>
      <c r="J1458" s="65">
        <v>0.00230483891</v>
      </c>
      <c r="K1458" s="65">
        <v>8.25361626E-4</v>
      </c>
      <c r="L1458" s="65">
        <v>0.038591302</v>
      </c>
      <c r="N1458" s="66">
        <v>0.2572753466666667</v>
      </c>
      <c r="O1458" s="10">
        <f t="shared" si="329"/>
        <v>0.2572753467</v>
      </c>
      <c r="Q1458" s="67">
        <v>3.1470364</v>
      </c>
      <c r="S1458" s="68">
        <v>0.0045149237</v>
      </c>
      <c r="T1458" s="68">
        <v>0.0042742283</v>
      </c>
      <c r="U1458" s="68">
        <v>2.0145856E-4</v>
      </c>
      <c r="V1458" s="68">
        <v>3.9236822E-5</v>
      </c>
      <c r="X1458" s="69">
        <v>1.1286112E-5</v>
      </c>
    </row>
    <row r="1459" ht="12.75" customHeight="1">
      <c r="A1459" s="1" t="s">
        <v>2128</v>
      </c>
      <c r="B1459" s="2" t="s">
        <v>2044</v>
      </c>
      <c r="C1459" s="60" t="str">
        <f t="shared" si="334"/>
        <v>B.044.01.185</v>
      </c>
      <c r="D1459" s="51" t="s">
        <v>2042</v>
      </c>
      <c r="E1459" s="62" t="s">
        <v>896</v>
      </c>
      <c r="F1459" s="63" t="str">
        <f t="shared" si="335"/>
        <v>Electricity Indonesia production</v>
      </c>
      <c r="G1459" s="64">
        <v>0.040677467946</v>
      </c>
      <c r="H1459" s="10">
        <f t="shared" si="328"/>
        <v>0.04067746795</v>
      </c>
      <c r="I1459" s="65">
        <v>0.00194184301</v>
      </c>
      <c r="J1459" s="65">
        <v>0.0038727467</v>
      </c>
      <c r="K1459" s="65">
        <v>1.5863236E-5</v>
      </c>
      <c r="L1459" s="65">
        <v>0.034847015</v>
      </c>
      <c r="N1459" s="66">
        <v>0.23231343333333335</v>
      </c>
      <c r="O1459" s="10">
        <f t="shared" si="329"/>
        <v>0.2323134333</v>
      </c>
      <c r="Q1459" s="67">
        <v>2.8947331</v>
      </c>
      <c r="S1459" s="68">
        <v>0.0046205424</v>
      </c>
      <c r="T1459" s="68">
        <v>0.0043742095</v>
      </c>
      <c r="U1459" s="68">
        <v>1.9079956E-4</v>
      </c>
      <c r="V1459" s="68">
        <v>5.5533376E-5</v>
      </c>
      <c r="X1459" s="69">
        <v>1.0800425E-5</v>
      </c>
    </row>
    <row r="1460" ht="12.75" customHeight="1">
      <c r="A1460" s="1" t="s">
        <v>2129</v>
      </c>
      <c r="B1460" s="2" t="s">
        <v>2044</v>
      </c>
      <c r="C1460" s="60" t="str">
        <f t="shared" si="334"/>
        <v>B.044.01.186</v>
      </c>
      <c r="D1460" s="51" t="s">
        <v>2042</v>
      </c>
      <c r="E1460" s="62" t="s">
        <v>896</v>
      </c>
      <c r="F1460" s="63" t="str">
        <f t="shared" si="335"/>
        <v>Electricity Iran production</v>
      </c>
      <c r="G1460" s="64">
        <v>0.041316070337</v>
      </c>
      <c r="H1460" s="10">
        <f t="shared" si="328"/>
        <v>0.04131607034</v>
      </c>
      <c r="I1460" s="65">
        <v>0.0040682836</v>
      </c>
      <c r="J1460" s="65">
        <v>0.0064323129</v>
      </c>
      <c r="K1460" s="65">
        <v>4.8254783699999996E-4</v>
      </c>
      <c r="L1460" s="65">
        <v>0.030332926</v>
      </c>
      <c r="N1460" s="66">
        <v>0.20221950666666666</v>
      </c>
      <c r="O1460" s="10">
        <f t="shared" si="329"/>
        <v>0.2022195067</v>
      </c>
      <c r="Q1460" s="67">
        <v>2.5051694</v>
      </c>
      <c r="S1460" s="68">
        <v>0.0048059236</v>
      </c>
      <c r="T1460" s="68">
        <v>0.0044907572</v>
      </c>
      <c r="U1460" s="68">
        <v>1.769259E-4</v>
      </c>
      <c r="V1460" s="68">
        <v>1.382405E-4</v>
      </c>
      <c r="X1460" s="69">
        <v>1.1100329E-5</v>
      </c>
    </row>
    <row r="1461" ht="12.75" customHeight="1">
      <c r="A1461" s="1" t="s">
        <v>2130</v>
      </c>
      <c r="B1461" s="2" t="s">
        <v>2044</v>
      </c>
      <c r="C1461" s="60" t="str">
        <f t="shared" si="334"/>
        <v>B.044.01.187</v>
      </c>
      <c r="D1461" s="51" t="s">
        <v>2042</v>
      </c>
      <c r="E1461" s="62" t="s">
        <v>896</v>
      </c>
      <c r="F1461" s="63" t="str">
        <f t="shared" si="335"/>
        <v>Electricity Iraq production</v>
      </c>
      <c r="G1461" s="64">
        <v>0.098618845856</v>
      </c>
      <c r="H1461" s="10">
        <f t="shared" si="328"/>
        <v>0.09861884586</v>
      </c>
      <c r="I1461" s="65">
        <v>0.0086490386</v>
      </c>
      <c r="J1461" s="65">
        <v>0.0168162718</v>
      </c>
      <c r="K1461" s="65">
        <v>5.979456E-6</v>
      </c>
      <c r="L1461" s="65">
        <v>0.073147556</v>
      </c>
      <c r="N1461" s="66">
        <v>0.4876503733333334</v>
      </c>
      <c r="O1461" s="10">
        <f t="shared" si="329"/>
        <v>0.4876503733</v>
      </c>
      <c r="Q1461" s="67">
        <v>5.9060296</v>
      </c>
      <c r="S1461" s="68">
        <v>0.012349512</v>
      </c>
      <c r="T1461" s="68">
        <v>0.011540252</v>
      </c>
      <c r="U1461" s="68">
        <v>4.3870233E-4</v>
      </c>
      <c r="V1461" s="68">
        <v>3.705575E-4</v>
      </c>
      <c r="X1461" s="69">
        <v>2.7233148E-5</v>
      </c>
    </row>
    <row r="1462" ht="12.75" customHeight="1">
      <c r="A1462" s="1" t="s">
        <v>2131</v>
      </c>
      <c r="B1462" s="2" t="s">
        <v>2044</v>
      </c>
      <c r="C1462" s="60" t="str">
        <f t="shared" si="334"/>
        <v>B.044.01.188</v>
      </c>
      <c r="D1462" s="51" t="s">
        <v>2042</v>
      </c>
      <c r="E1462" s="62" t="s">
        <v>896</v>
      </c>
      <c r="F1462" s="63" t="str">
        <f t="shared" si="335"/>
        <v>Electricity Israel production</v>
      </c>
      <c r="G1462" s="64">
        <v>0.038907016509</v>
      </c>
      <c r="H1462" s="10">
        <f t="shared" si="328"/>
        <v>0.03890701651</v>
      </c>
      <c r="I1462" s="65">
        <v>0.0038060146</v>
      </c>
      <c r="J1462" s="65">
        <v>0.0055014311</v>
      </c>
      <c r="K1462" s="65">
        <v>2.9076809E-5</v>
      </c>
      <c r="L1462" s="65">
        <v>0.029570494</v>
      </c>
      <c r="N1462" s="66">
        <v>0.19713662666666668</v>
      </c>
      <c r="O1462" s="10">
        <f t="shared" si="329"/>
        <v>0.1971366267</v>
      </c>
      <c r="Q1462" s="67">
        <v>2.3534469</v>
      </c>
      <c r="S1462" s="68">
        <v>0.0044427941</v>
      </c>
      <c r="T1462" s="68">
        <v>0.0041711542</v>
      </c>
      <c r="U1462" s="68">
        <v>1.6856169E-4</v>
      </c>
      <c r="V1462" s="68">
        <v>1.0307823E-4</v>
      </c>
      <c r="X1462" s="69">
        <v>1.0431309E-5</v>
      </c>
    </row>
    <row r="1463" ht="12.75" customHeight="1">
      <c r="A1463" s="1" t="s">
        <v>2132</v>
      </c>
      <c r="B1463" s="2" t="s">
        <v>2044</v>
      </c>
      <c r="C1463" s="60" t="str">
        <f t="shared" si="334"/>
        <v>B.044.01.189</v>
      </c>
      <c r="D1463" s="51" t="s">
        <v>2042</v>
      </c>
      <c r="E1463" s="62" t="s">
        <v>896</v>
      </c>
      <c r="F1463" s="63" t="str">
        <f t="shared" si="335"/>
        <v>Electricity Jamaica production</v>
      </c>
      <c r="G1463" s="64">
        <v>0.048451465149</v>
      </c>
      <c r="H1463" s="10">
        <f t="shared" si="328"/>
        <v>0.04845146515</v>
      </c>
      <c r="I1463" s="65">
        <v>0.0043410948000000005</v>
      </c>
      <c r="J1463" s="65">
        <v>0.0082739068</v>
      </c>
      <c r="K1463" s="65">
        <v>4.1134549E-5</v>
      </c>
      <c r="L1463" s="65">
        <v>0.035795329</v>
      </c>
      <c r="N1463" s="66">
        <v>0.23863552666666668</v>
      </c>
      <c r="O1463" s="10">
        <f t="shared" si="329"/>
        <v>0.2386355267</v>
      </c>
      <c r="Q1463" s="67">
        <v>3.0843814</v>
      </c>
      <c r="S1463" s="68">
        <v>0.006034706</v>
      </c>
      <c r="T1463" s="68">
        <v>0.0056405025</v>
      </c>
      <c r="U1463" s="68">
        <v>2.1455684E-4</v>
      </c>
      <c r="V1463" s="68">
        <v>1.796466E-4</v>
      </c>
      <c r="X1463" s="69">
        <v>1.3337417E-5</v>
      </c>
    </row>
    <row r="1464" ht="12.75" customHeight="1">
      <c r="A1464" s="1" t="s">
        <v>2133</v>
      </c>
      <c r="B1464" s="2" t="s">
        <v>2044</v>
      </c>
      <c r="C1464" s="60" t="str">
        <f t="shared" si="334"/>
        <v>B.044.01.190</v>
      </c>
      <c r="D1464" s="51" t="s">
        <v>2042</v>
      </c>
      <c r="E1464" s="62" t="s">
        <v>896</v>
      </c>
      <c r="F1464" s="63" t="str">
        <f t="shared" si="335"/>
        <v>Electricity Japan production</v>
      </c>
      <c r="G1464" s="64">
        <v>0.027565852945000004</v>
      </c>
      <c r="H1464" s="10">
        <f t="shared" si="328"/>
        <v>0.02756585295</v>
      </c>
      <c r="I1464" s="65">
        <v>0.00126078633</v>
      </c>
      <c r="J1464" s="65">
        <v>0.00213949371</v>
      </c>
      <c r="K1464" s="65">
        <v>0.002180559905</v>
      </c>
      <c r="L1464" s="65">
        <v>0.021985013</v>
      </c>
      <c r="N1464" s="66">
        <v>0.14656675333333335</v>
      </c>
      <c r="O1464" s="10">
        <f t="shared" si="329"/>
        <v>0.1465667533</v>
      </c>
      <c r="Q1464" s="67">
        <v>2.2770323</v>
      </c>
      <c r="S1464" s="68">
        <v>0.0028029987</v>
      </c>
      <c r="T1464" s="68">
        <v>0.0026288982</v>
      </c>
      <c r="U1464" s="68">
        <v>1.1837392E-4</v>
      </c>
      <c r="V1464" s="68">
        <v>5.5726585E-5</v>
      </c>
      <c r="X1464" s="69">
        <v>7.0650249E-6</v>
      </c>
    </row>
    <row r="1465" ht="12.75" customHeight="1">
      <c r="A1465" s="1" t="s">
        <v>2134</v>
      </c>
      <c r="B1465" s="2" t="s">
        <v>2044</v>
      </c>
      <c r="C1465" s="60" t="str">
        <f t="shared" si="334"/>
        <v>B.044.01.191</v>
      </c>
      <c r="D1465" s="51" t="s">
        <v>2042</v>
      </c>
      <c r="E1465" s="62" t="s">
        <v>896</v>
      </c>
      <c r="F1465" s="63" t="str">
        <f t="shared" si="335"/>
        <v>Electricity Jordan production</v>
      </c>
      <c r="G1465" s="64">
        <v>0.034394459416</v>
      </c>
      <c r="H1465" s="10">
        <f t="shared" si="328"/>
        <v>0.03439445942</v>
      </c>
      <c r="I1465" s="65">
        <v>0.0035333644</v>
      </c>
      <c r="J1465" s="65">
        <v>0.0052821638</v>
      </c>
      <c r="K1465" s="65">
        <v>7.0792216E-5</v>
      </c>
      <c r="L1465" s="65">
        <v>0.025508139</v>
      </c>
      <c r="N1465" s="66">
        <v>0.17005426</v>
      </c>
      <c r="O1465" s="10">
        <f t="shared" si="329"/>
        <v>0.17005426</v>
      </c>
      <c r="Q1465" s="67">
        <v>2.2319175</v>
      </c>
      <c r="S1465" s="68">
        <v>0.0039663164</v>
      </c>
      <c r="T1465" s="68">
        <v>0.0037060956</v>
      </c>
      <c r="U1465" s="68">
        <v>1.4760542E-4</v>
      </c>
      <c r="V1465" s="68">
        <v>1.1261531E-4</v>
      </c>
      <c r="X1465" s="69">
        <v>9.1894428E-6</v>
      </c>
    </row>
    <row r="1466" ht="12.75" customHeight="1">
      <c r="A1466" s="1" t="s">
        <v>2135</v>
      </c>
      <c r="B1466" s="2" t="s">
        <v>2044</v>
      </c>
      <c r="C1466" s="60" t="str">
        <f t="shared" si="334"/>
        <v>B.044.01.192</v>
      </c>
      <c r="D1466" s="51" t="s">
        <v>2042</v>
      </c>
      <c r="E1466" s="62" t="s">
        <v>896</v>
      </c>
      <c r="F1466" s="63" t="str">
        <f t="shared" si="335"/>
        <v>Electricity Kazakhstan production</v>
      </c>
      <c r="G1466" s="64">
        <v>0.042482636293</v>
      </c>
      <c r="H1466" s="10">
        <f t="shared" si="328"/>
        <v>0.04248263629</v>
      </c>
      <c r="I1466" s="65">
        <v>0.0035124721000000005</v>
      </c>
      <c r="J1466" s="65">
        <v>0.0051546482000000005</v>
      </c>
      <c r="K1466" s="65">
        <v>3.6468993E-5</v>
      </c>
      <c r="L1466" s="65">
        <v>0.033779047</v>
      </c>
      <c r="N1466" s="66">
        <v>0.22519364666666666</v>
      </c>
      <c r="O1466" s="10">
        <f t="shared" si="329"/>
        <v>0.2251936467</v>
      </c>
      <c r="Q1466" s="67">
        <v>2.6328486</v>
      </c>
      <c r="S1466" s="68">
        <v>0.0048650857</v>
      </c>
      <c r="T1466" s="68">
        <v>0.0046110561</v>
      </c>
      <c r="U1466" s="68">
        <v>1.8906476E-4</v>
      </c>
      <c r="V1466" s="68">
        <v>6.4964803E-5</v>
      </c>
      <c r="X1466" s="69">
        <v>1.1521116E-5</v>
      </c>
    </row>
    <row r="1467" ht="12.75" customHeight="1">
      <c r="A1467" s="1" t="s">
        <v>2136</v>
      </c>
      <c r="B1467" s="2" t="s">
        <v>2044</v>
      </c>
      <c r="C1467" s="60" t="str">
        <f t="shared" si="334"/>
        <v>B.044.01.193</v>
      </c>
      <c r="D1467" s="51" t="s">
        <v>2042</v>
      </c>
      <c r="E1467" s="62" t="s">
        <v>896</v>
      </c>
      <c r="F1467" s="63" t="str">
        <f t="shared" si="335"/>
        <v>Electricity Kenya production</v>
      </c>
      <c r="G1467" s="64">
        <v>0.00518446567</v>
      </c>
      <c r="H1467" s="10">
        <f t="shared" si="328"/>
        <v>0.00518446567</v>
      </c>
      <c r="I1467" s="65">
        <v>4.0723848E-4</v>
      </c>
      <c r="J1467" s="65">
        <v>0.0010644435000000002</v>
      </c>
      <c r="K1467" s="65">
        <v>1.3980739E-4</v>
      </c>
      <c r="L1467" s="65">
        <v>0.0035729763</v>
      </c>
      <c r="N1467" s="66">
        <v>0.023819842</v>
      </c>
      <c r="O1467" s="10">
        <f t="shared" si="329"/>
        <v>0.023819842</v>
      </c>
      <c r="Q1467" s="67">
        <v>1.5627749</v>
      </c>
      <c r="S1467" s="68">
        <v>6.9790673E-4</v>
      </c>
      <c r="T1467" s="68">
        <v>6.5472786E-4</v>
      </c>
      <c r="U1467" s="68">
        <v>2.2948853E-5</v>
      </c>
      <c r="V1467" s="68">
        <v>2.0230015E-5</v>
      </c>
      <c r="X1467" s="69">
        <v>1.4257625E-6</v>
      </c>
    </row>
    <row r="1468" ht="12.75" customHeight="1">
      <c r="A1468" s="1" t="s">
        <v>2137</v>
      </c>
      <c r="B1468" s="2" t="s">
        <v>2044</v>
      </c>
      <c r="C1468" s="60" t="str">
        <f t="shared" si="334"/>
        <v>B.044.01.194</v>
      </c>
      <c r="D1468" s="51" t="s">
        <v>2042</v>
      </c>
      <c r="E1468" s="62" t="s">
        <v>896</v>
      </c>
      <c r="F1468" s="63" t="str">
        <f t="shared" si="335"/>
        <v>Electricity Kiribati production</v>
      </c>
      <c r="G1468" s="64">
        <v>0.033335836779</v>
      </c>
      <c r="H1468" s="10">
        <f t="shared" si="328"/>
        <v>0.03333583678</v>
      </c>
      <c r="I1468" s="65">
        <v>0.00213786773</v>
      </c>
      <c r="J1468" s="65">
        <v>0.0065030499</v>
      </c>
      <c r="K1468" s="65">
        <v>6.9012149E-5</v>
      </c>
      <c r="L1468" s="65">
        <v>0.024625907</v>
      </c>
      <c r="N1468" s="66">
        <v>0.16417271333333333</v>
      </c>
      <c r="O1468" s="10">
        <f t="shared" si="329"/>
        <v>0.1641727133</v>
      </c>
      <c r="Q1468" s="67">
        <v>2.328415</v>
      </c>
      <c r="S1468" s="68">
        <v>0.0046505076</v>
      </c>
      <c r="T1468" s="68">
        <v>0.0043472797</v>
      </c>
      <c r="U1468" s="68">
        <v>1.5553549E-4</v>
      </c>
      <c r="V1468" s="68">
        <v>1.4769243E-4</v>
      </c>
      <c r="X1468" s="69">
        <v>9.5794936E-6</v>
      </c>
    </row>
    <row r="1469" ht="12.75" customHeight="1">
      <c r="A1469" s="1" t="s">
        <v>2138</v>
      </c>
      <c r="B1469" s="2" t="s">
        <v>2044</v>
      </c>
      <c r="C1469" s="60" t="str">
        <f t="shared" si="334"/>
        <v>B.044.01.195</v>
      </c>
      <c r="D1469" s="51" t="s">
        <v>2042</v>
      </c>
      <c r="E1469" s="62" t="s">
        <v>896</v>
      </c>
      <c r="F1469" s="63" t="str">
        <f t="shared" si="335"/>
        <v>Electricity Kosovo production</v>
      </c>
      <c r="G1469" s="64">
        <v>0.054599270775</v>
      </c>
      <c r="H1469" s="10">
        <f t="shared" si="328"/>
        <v>0.05459927078</v>
      </c>
      <c r="I1469" s="65">
        <v>0.0040525224</v>
      </c>
      <c r="J1469" s="65">
        <v>0.0058403547</v>
      </c>
      <c r="K1469" s="65">
        <v>1.4309675E-5</v>
      </c>
      <c r="L1469" s="65">
        <v>0.044692084</v>
      </c>
      <c r="N1469" s="66">
        <v>0.2979472266666667</v>
      </c>
      <c r="O1469" s="10">
        <f t="shared" si="329"/>
        <v>0.2979472267</v>
      </c>
      <c r="Q1469" s="67">
        <v>3.2544211</v>
      </c>
      <c r="S1469" s="68">
        <v>0.0062232555</v>
      </c>
      <c r="T1469" s="68">
        <v>0.0059354956</v>
      </c>
      <c r="U1469" s="68">
        <v>2.4663226E-4</v>
      </c>
      <c r="V1469" s="68">
        <v>4.1127652E-5</v>
      </c>
      <c r="X1469" s="69">
        <v>1.4893984E-5</v>
      </c>
    </row>
    <row r="1470" ht="12.75" customHeight="1">
      <c r="A1470" s="1" t="s">
        <v>2139</v>
      </c>
      <c r="B1470" s="2" t="s">
        <v>2044</v>
      </c>
      <c r="C1470" s="60" t="str">
        <f t="shared" si="334"/>
        <v>B.044.01.196</v>
      </c>
      <c r="D1470" s="51" t="s">
        <v>2042</v>
      </c>
      <c r="E1470" s="62" t="s">
        <v>896</v>
      </c>
      <c r="F1470" s="63" t="str">
        <f t="shared" si="335"/>
        <v>Electricity Kuwait production</v>
      </c>
      <c r="G1470" s="64">
        <v>0.043926182041100006</v>
      </c>
      <c r="H1470" s="10">
        <f t="shared" si="328"/>
        <v>0.04392618204</v>
      </c>
      <c r="I1470" s="65">
        <v>0.0037315605</v>
      </c>
      <c r="J1470" s="65">
        <v>0.0076199107</v>
      </c>
      <c r="K1470" s="65">
        <v>6.8348411E-6</v>
      </c>
      <c r="L1470" s="65">
        <v>0.032567876</v>
      </c>
      <c r="N1470" s="66">
        <v>0.21711917333333336</v>
      </c>
      <c r="O1470" s="10">
        <f t="shared" si="329"/>
        <v>0.2171191733</v>
      </c>
      <c r="Q1470" s="67">
        <v>2.6556526</v>
      </c>
      <c r="S1470" s="68">
        <v>0.005575644</v>
      </c>
      <c r="T1470" s="68">
        <v>0.0052104806</v>
      </c>
      <c r="U1470" s="68">
        <v>1.9655413E-4</v>
      </c>
      <c r="V1470" s="68">
        <v>1.6860925E-4</v>
      </c>
      <c r="X1470" s="69">
        <v>1.2191054E-5</v>
      </c>
    </row>
    <row r="1471" ht="12.75" customHeight="1">
      <c r="A1471" s="1" t="s">
        <v>2140</v>
      </c>
      <c r="B1471" s="2" t="s">
        <v>2044</v>
      </c>
      <c r="C1471" s="60" t="str">
        <f t="shared" si="334"/>
        <v>B.044.01.197</v>
      </c>
      <c r="D1471" s="51" t="s">
        <v>2042</v>
      </c>
      <c r="E1471" s="62" t="s">
        <v>896</v>
      </c>
      <c r="F1471" s="63" t="str">
        <f t="shared" si="335"/>
        <v>Electricity Kyrgyzstan production</v>
      </c>
      <c r="G1471" s="64">
        <v>0.00975126384</v>
      </c>
      <c r="H1471" s="10">
        <f t="shared" si="328"/>
        <v>0.00975126384</v>
      </c>
      <c r="I1471" s="65">
        <v>7.0683432E-4</v>
      </c>
      <c r="J1471" s="65">
        <v>0.0010457552400000001</v>
      </c>
      <c r="K1471" s="65">
        <v>1.9523728E-4</v>
      </c>
      <c r="L1471" s="65">
        <v>0.007803437</v>
      </c>
      <c r="N1471" s="66">
        <v>0.05202291333333334</v>
      </c>
      <c r="O1471" s="10">
        <f t="shared" si="329"/>
        <v>0.05202291333</v>
      </c>
      <c r="Q1471" s="67">
        <v>1.5566781</v>
      </c>
      <c r="S1471" s="68">
        <v>0.0010979401</v>
      </c>
      <c r="T1471" s="68">
        <v>0.0010449821</v>
      </c>
      <c r="U1471" s="68">
        <v>4.3228701E-5</v>
      </c>
      <c r="V1471" s="68">
        <v>9.7292592E-6</v>
      </c>
      <c r="X1471" s="69">
        <v>2.5873286E-6</v>
      </c>
    </row>
    <row r="1472" ht="12.75" customHeight="1">
      <c r="A1472" s="1" t="s">
        <v>2141</v>
      </c>
      <c r="B1472" s="2" t="s">
        <v>2044</v>
      </c>
      <c r="C1472" s="60" t="str">
        <f t="shared" si="334"/>
        <v>B.044.01.198</v>
      </c>
      <c r="D1472" s="51" t="s">
        <v>2042</v>
      </c>
      <c r="E1472" s="62" t="s">
        <v>896</v>
      </c>
      <c r="F1472" s="63" t="str">
        <f t="shared" si="335"/>
        <v>Electricity Laos production</v>
      </c>
      <c r="G1472" s="64">
        <v>0.01237540724</v>
      </c>
      <c r="H1472" s="10">
        <f t="shared" si="328"/>
        <v>0.01237540724</v>
      </c>
      <c r="I1472" s="65">
        <v>8.9674534E-4</v>
      </c>
      <c r="J1472" s="65">
        <v>0.0012833647</v>
      </c>
      <c r="K1472" s="65">
        <v>1.547532E-4</v>
      </c>
      <c r="L1472" s="65">
        <v>0.010040544</v>
      </c>
      <c r="N1472" s="66">
        <v>0.06693696</v>
      </c>
      <c r="O1472" s="10">
        <f t="shared" si="329"/>
        <v>0.06693696</v>
      </c>
      <c r="Q1472" s="67">
        <v>1.5065883</v>
      </c>
      <c r="S1472" s="68">
        <v>0.0013923397</v>
      </c>
      <c r="T1472" s="68">
        <v>0.0013280393</v>
      </c>
      <c r="U1472" s="68">
        <v>5.5300206E-5</v>
      </c>
      <c r="V1472" s="68">
        <v>9.0001384E-6</v>
      </c>
      <c r="X1472" s="69">
        <v>3.3167316E-6</v>
      </c>
    </row>
    <row r="1473" ht="12.75" customHeight="1">
      <c r="A1473" s="1" t="s">
        <v>2142</v>
      </c>
      <c r="B1473" s="2" t="s">
        <v>2044</v>
      </c>
      <c r="C1473" s="60" t="str">
        <f t="shared" si="334"/>
        <v>B.044.01.199</v>
      </c>
      <c r="D1473" s="51" t="s">
        <v>2042</v>
      </c>
      <c r="E1473" s="62" t="s">
        <v>896</v>
      </c>
      <c r="F1473" s="63" t="str">
        <f t="shared" si="335"/>
        <v>Electricity Lebanon production</v>
      </c>
      <c r="G1473" s="64">
        <v>0.025206914070000003</v>
      </c>
      <c r="H1473" s="10">
        <f t="shared" si="328"/>
        <v>0.02520691407</v>
      </c>
      <c r="I1473" s="65">
        <v>0.00163162845</v>
      </c>
      <c r="J1473" s="65">
        <v>0.0049133695000000005</v>
      </c>
      <c r="K1473" s="65">
        <v>1.2480212E-4</v>
      </c>
      <c r="L1473" s="65">
        <v>0.018537114</v>
      </c>
      <c r="N1473" s="66">
        <v>0.12358076000000001</v>
      </c>
      <c r="O1473" s="10">
        <f t="shared" si="329"/>
        <v>0.12358076</v>
      </c>
      <c r="Q1473" s="67">
        <v>2.0884228</v>
      </c>
      <c r="S1473" s="68">
        <v>0.0035018473</v>
      </c>
      <c r="T1473" s="68">
        <v>0.0032743029</v>
      </c>
      <c r="U1473" s="68">
        <v>1.1710374E-4</v>
      </c>
      <c r="V1473" s="68">
        <v>1.1044063E-4</v>
      </c>
      <c r="X1473" s="69">
        <v>7.2075965E-6</v>
      </c>
    </row>
    <row r="1474" ht="12.75" customHeight="1">
      <c r="A1474" s="1" t="s">
        <v>2143</v>
      </c>
      <c r="B1474" s="2" t="s">
        <v>2044</v>
      </c>
      <c r="C1474" s="60" t="str">
        <f t="shared" si="334"/>
        <v>B.044.01.200</v>
      </c>
      <c r="D1474" s="51" t="s">
        <v>2042</v>
      </c>
      <c r="E1474" s="62" t="s">
        <v>896</v>
      </c>
      <c r="F1474" s="63" t="str">
        <f t="shared" si="335"/>
        <v>Electricity Lesotho production</v>
      </c>
      <c r="G1474" s="64">
        <v>6.573221009000001E-4</v>
      </c>
      <c r="H1474" s="10">
        <f t="shared" si="328"/>
        <v>0.0006573221009</v>
      </c>
      <c r="I1474" s="65">
        <v>8.1426309E-6</v>
      </c>
      <c r="J1474" s="65">
        <v>0.0</v>
      </c>
      <c r="K1474" s="65">
        <v>2.5361169E-4</v>
      </c>
      <c r="L1474" s="65">
        <v>3.9556778E-4</v>
      </c>
      <c r="N1474" s="66">
        <v>0.0026371185333333336</v>
      </c>
      <c r="O1474" s="10">
        <f t="shared" si="329"/>
        <v>0.002637118533</v>
      </c>
      <c r="Q1474" s="67">
        <v>1.3185593</v>
      </c>
      <c r="S1474" s="68">
        <v>4.5016576E-5</v>
      </c>
      <c r="T1474" s="68">
        <v>4.2950492E-5</v>
      </c>
      <c r="U1474" s="68">
        <v>1.9966697E-6</v>
      </c>
      <c r="V1474" s="68">
        <v>6.941352E-8</v>
      </c>
      <c r="X1474" s="69">
        <v>8.0818491E-8</v>
      </c>
    </row>
    <row r="1475" ht="12.75" customHeight="1">
      <c r="A1475" s="1" t="s">
        <v>2144</v>
      </c>
      <c r="B1475" s="2" t="s">
        <v>2044</v>
      </c>
      <c r="C1475" s="60" t="str">
        <f t="shared" si="334"/>
        <v>B.044.01.201</v>
      </c>
      <c r="D1475" s="51" t="s">
        <v>2042</v>
      </c>
      <c r="E1475" s="62" t="s">
        <v>896</v>
      </c>
      <c r="F1475" s="63" t="str">
        <f t="shared" si="335"/>
        <v>Electricity Liberia production</v>
      </c>
      <c r="G1475" s="64">
        <v>0.034040607696</v>
      </c>
      <c r="H1475" s="10">
        <f t="shared" si="328"/>
        <v>0.0340406077</v>
      </c>
      <c r="I1475" s="65">
        <v>0.0021783491899999997</v>
      </c>
      <c r="J1475" s="65">
        <v>0.0066255058</v>
      </c>
      <c r="K1475" s="65">
        <v>7.6718706E-5</v>
      </c>
      <c r="L1475" s="65">
        <v>0.025160034</v>
      </c>
      <c r="N1475" s="66">
        <v>0.16773356</v>
      </c>
      <c r="O1475" s="10">
        <f t="shared" si="329"/>
        <v>0.16773356</v>
      </c>
      <c r="Q1475" s="67">
        <v>2.5128826</v>
      </c>
      <c r="S1475" s="68">
        <v>0.0047488888</v>
      </c>
      <c r="T1475" s="68">
        <v>0.0044390841</v>
      </c>
      <c r="U1475" s="68">
        <v>1.5884322E-4</v>
      </c>
      <c r="V1475" s="68">
        <v>1.5096148E-4</v>
      </c>
      <c r="X1475" s="69">
        <v>9.7855997E-6</v>
      </c>
    </row>
    <row r="1476" ht="12.75" customHeight="1">
      <c r="A1476" s="1" t="s">
        <v>2145</v>
      </c>
      <c r="B1476" s="2" t="s">
        <v>2044</v>
      </c>
      <c r="C1476" s="60" t="str">
        <f t="shared" si="334"/>
        <v>B.044.01.202</v>
      </c>
      <c r="D1476" s="51" t="s">
        <v>2042</v>
      </c>
      <c r="E1476" s="62" t="s">
        <v>896</v>
      </c>
      <c r="F1476" s="63" t="str">
        <f t="shared" si="335"/>
        <v>Electricity Libya production</v>
      </c>
      <c r="G1476" s="64">
        <v>0.050273897443999</v>
      </c>
      <c r="H1476" s="10">
        <f t="shared" si="328"/>
        <v>0.05027389744</v>
      </c>
      <c r="I1476" s="65">
        <v>0.0047734497</v>
      </c>
      <c r="J1476" s="65">
        <v>0.0081816851</v>
      </c>
      <c r="K1476" s="65">
        <v>9.4643999E-8</v>
      </c>
      <c r="L1476" s="65">
        <v>0.037318668</v>
      </c>
      <c r="N1476" s="66">
        <v>0.24879112</v>
      </c>
      <c r="O1476" s="10">
        <f t="shared" si="329"/>
        <v>0.24879112</v>
      </c>
      <c r="Q1476" s="67">
        <v>2.9525154</v>
      </c>
      <c r="S1476" s="68">
        <v>0.0060677511</v>
      </c>
      <c r="T1476" s="68">
        <v>0.0056696022</v>
      </c>
      <c r="U1476" s="68">
        <v>2.2012367E-4</v>
      </c>
      <c r="V1476" s="68">
        <v>1.7802518E-4</v>
      </c>
      <c r="X1476" s="69">
        <v>1.3693611E-5</v>
      </c>
    </row>
    <row r="1477" ht="12.75" customHeight="1">
      <c r="A1477" s="1" t="s">
        <v>2146</v>
      </c>
      <c r="B1477" s="2" t="s">
        <v>2044</v>
      </c>
      <c r="C1477" s="60" t="str">
        <f t="shared" si="334"/>
        <v>B.044.01.203</v>
      </c>
      <c r="D1477" s="51" t="s">
        <v>2042</v>
      </c>
      <c r="E1477" s="62" t="s">
        <v>896</v>
      </c>
      <c r="F1477" s="63" t="str">
        <f t="shared" si="335"/>
        <v>Electricity Macau production</v>
      </c>
      <c r="G1477" s="64">
        <v>0.0283768634206</v>
      </c>
      <c r="H1477" s="10">
        <f t="shared" si="328"/>
        <v>0.02837686342</v>
      </c>
      <c r="I1477" s="65">
        <v>0.0039919687</v>
      </c>
      <c r="J1477" s="65">
        <v>0.0061411199</v>
      </c>
      <c r="K1477" s="65">
        <v>2.0088206E-6</v>
      </c>
      <c r="L1477" s="65">
        <v>0.018241766</v>
      </c>
      <c r="N1477" s="66">
        <v>0.12161177333333334</v>
      </c>
      <c r="O1477" s="10">
        <f t="shared" si="329"/>
        <v>0.1216117733</v>
      </c>
      <c r="Q1477" s="67">
        <v>2.8596959</v>
      </c>
      <c r="S1477" s="68">
        <v>0.0034009811</v>
      </c>
      <c r="T1477" s="68">
        <v>0.0032027934</v>
      </c>
      <c r="U1477" s="68">
        <v>1.1450162E-4</v>
      </c>
      <c r="V1477" s="68">
        <v>8.3686078E-5</v>
      </c>
      <c r="X1477" s="69">
        <v>7.6590935E-6</v>
      </c>
    </row>
    <row r="1478" ht="12.75" customHeight="1">
      <c r="A1478" s="1" t="s">
        <v>2147</v>
      </c>
      <c r="B1478" s="2" t="s">
        <v>2044</v>
      </c>
      <c r="C1478" s="60" t="str">
        <f t="shared" si="334"/>
        <v>B.044.01.204</v>
      </c>
      <c r="D1478" s="51" t="s">
        <v>2042</v>
      </c>
      <c r="E1478" s="62" t="s">
        <v>896</v>
      </c>
      <c r="F1478" s="63" t="str">
        <f t="shared" si="335"/>
        <v>Electricity Madagascar production</v>
      </c>
      <c r="G1478" s="64">
        <v>0.030647522672</v>
      </c>
      <c r="H1478" s="10">
        <f t="shared" si="328"/>
        <v>0.03064752267</v>
      </c>
      <c r="I1478" s="65">
        <v>0.0020979723</v>
      </c>
      <c r="J1478" s="65">
        <v>0.0051198189</v>
      </c>
      <c r="K1478" s="65">
        <v>7.1616472E-5</v>
      </c>
      <c r="L1478" s="65">
        <v>0.023358115</v>
      </c>
      <c r="N1478" s="66">
        <v>0.15572076666666668</v>
      </c>
      <c r="O1478" s="10">
        <f t="shared" si="329"/>
        <v>0.1557207667</v>
      </c>
      <c r="Q1478" s="67">
        <v>2.2563715</v>
      </c>
      <c r="S1478" s="68">
        <v>0.0040148015</v>
      </c>
      <c r="T1478" s="68">
        <v>0.0037753656</v>
      </c>
      <c r="U1478" s="68">
        <v>1.411384E-4</v>
      </c>
      <c r="V1478" s="68">
        <v>9.8297469E-5</v>
      </c>
      <c r="X1478" s="69">
        <v>8.6507761E-6</v>
      </c>
    </row>
    <row r="1479" ht="12.75" customHeight="1">
      <c r="A1479" s="1" t="s">
        <v>2148</v>
      </c>
      <c r="B1479" s="2" t="s">
        <v>2044</v>
      </c>
      <c r="C1479" s="60" t="str">
        <f t="shared" si="334"/>
        <v>B.044.01.205</v>
      </c>
      <c r="D1479" s="51" t="s">
        <v>2042</v>
      </c>
      <c r="E1479" s="62" t="s">
        <v>896</v>
      </c>
      <c r="F1479" s="63" t="str">
        <f t="shared" si="335"/>
        <v>Electricity Malawi production</v>
      </c>
      <c r="G1479" s="64">
        <v>0.00338437262</v>
      </c>
      <c r="H1479" s="10">
        <f t="shared" si="328"/>
        <v>0.00338437262</v>
      </c>
      <c r="I1479" s="65">
        <v>2.9693785999999997E-4</v>
      </c>
      <c r="J1479" s="65">
        <v>6.7127533E-4</v>
      </c>
      <c r="K1479" s="65">
        <v>2.3629143E-4</v>
      </c>
      <c r="L1479" s="65">
        <v>0.002179868</v>
      </c>
      <c r="N1479" s="66">
        <v>0.014532453333333336</v>
      </c>
      <c r="O1479" s="10">
        <f t="shared" si="329"/>
        <v>0.01453245333</v>
      </c>
      <c r="Q1479" s="67">
        <v>1.499102</v>
      </c>
      <c r="S1479" s="68">
        <v>4.2718599E-4</v>
      </c>
      <c r="T1479" s="68">
        <v>4.0222965E-4</v>
      </c>
      <c r="U1479" s="68">
        <v>1.3985231E-5</v>
      </c>
      <c r="V1479" s="68">
        <v>1.0971102E-5</v>
      </c>
      <c r="X1479" s="69">
        <v>8.6828256E-7</v>
      </c>
    </row>
    <row r="1480" ht="12.75" customHeight="1">
      <c r="A1480" s="1" t="s">
        <v>2149</v>
      </c>
      <c r="B1480" s="2" t="s">
        <v>2044</v>
      </c>
      <c r="C1480" s="60" t="str">
        <f t="shared" si="334"/>
        <v>B.044.01.206</v>
      </c>
      <c r="D1480" s="51" t="s">
        <v>2042</v>
      </c>
      <c r="E1480" s="62" t="s">
        <v>896</v>
      </c>
      <c r="F1480" s="63" t="str">
        <f t="shared" si="335"/>
        <v>Electricity Malaysia production</v>
      </c>
      <c r="G1480" s="64">
        <v>0.038634550262</v>
      </c>
      <c r="H1480" s="10">
        <f t="shared" si="328"/>
        <v>0.03863455026</v>
      </c>
      <c r="I1480" s="65">
        <v>0.0033667205</v>
      </c>
      <c r="J1480" s="65">
        <v>0.0048721705</v>
      </c>
      <c r="K1480" s="65">
        <v>4.0780262E-5</v>
      </c>
      <c r="L1480" s="65">
        <v>0.030354879</v>
      </c>
      <c r="N1480" s="66">
        <v>0.20236586</v>
      </c>
      <c r="O1480" s="10">
        <f t="shared" si="329"/>
        <v>0.20236586</v>
      </c>
      <c r="Q1480" s="67">
        <v>2.4642943</v>
      </c>
      <c r="S1480" s="68">
        <v>0.0044101028</v>
      </c>
      <c r="T1480" s="68">
        <v>0.0041712237</v>
      </c>
      <c r="U1480" s="68">
        <v>1.7052928E-4</v>
      </c>
      <c r="V1480" s="68">
        <v>6.8349818E-5</v>
      </c>
      <c r="X1480" s="69">
        <v>1.0437914E-5</v>
      </c>
    </row>
    <row r="1481" ht="12.75" customHeight="1">
      <c r="A1481" s="1" t="s">
        <v>2150</v>
      </c>
      <c r="B1481" s="2" t="s">
        <v>2044</v>
      </c>
      <c r="C1481" s="60" t="str">
        <f t="shared" si="334"/>
        <v>B.044.01.207</v>
      </c>
      <c r="D1481" s="51" t="s">
        <v>2042</v>
      </c>
      <c r="E1481" s="62" t="s">
        <v>896</v>
      </c>
      <c r="F1481" s="63" t="str">
        <f t="shared" si="335"/>
        <v>Electricity Maldives production</v>
      </c>
      <c r="G1481" s="64">
        <v>0.046429827556999995</v>
      </c>
      <c r="H1481" s="10">
        <f t="shared" si="328"/>
        <v>0.04642982756</v>
      </c>
      <c r="I1481" s="65">
        <v>0.0029834955</v>
      </c>
      <c r="J1481" s="65">
        <v>0.0090825169</v>
      </c>
      <c r="K1481" s="65">
        <v>2.2016157E-5</v>
      </c>
      <c r="L1481" s="65">
        <v>0.034341799</v>
      </c>
      <c r="N1481" s="66">
        <v>0.22894532666666667</v>
      </c>
      <c r="O1481" s="10">
        <f t="shared" si="329"/>
        <v>0.2289453267</v>
      </c>
      <c r="Q1481" s="67">
        <v>2.9788387</v>
      </c>
      <c r="S1481" s="68">
        <v>0.0064921844</v>
      </c>
      <c r="T1481" s="68">
        <v>0.0060684238</v>
      </c>
      <c r="U1481" s="68">
        <v>2.1699134E-4</v>
      </c>
      <c r="V1481" s="68">
        <v>2.0676924E-4</v>
      </c>
      <c r="X1481" s="69">
        <v>1.3380592E-5</v>
      </c>
    </row>
    <row r="1482" ht="12.75" customHeight="1">
      <c r="A1482" s="1" t="s">
        <v>2151</v>
      </c>
      <c r="B1482" s="2" t="s">
        <v>2044</v>
      </c>
      <c r="C1482" s="60" t="str">
        <f t="shared" si="334"/>
        <v>B.044.01.208</v>
      </c>
      <c r="D1482" s="51" t="s">
        <v>2042</v>
      </c>
      <c r="E1482" s="62" t="s">
        <v>896</v>
      </c>
      <c r="F1482" s="63" t="str">
        <f t="shared" si="335"/>
        <v>Electricity Mali production</v>
      </c>
      <c r="G1482" s="64">
        <v>0.029540978725</v>
      </c>
      <c r="H1482" s="10">
        <f t="shared" si="328"/>
        <v>0.02954097873</v>
      </c>
      <c r="I1482" s="65">
        <v>0.0019460394899999999</v>
      </c>
      <c r="J1482" s="65">
        <v>0.0058042233</v>
      </c>
      <c r="K1482" s="65">
        <v>9.7583935E-5</v>
      </c>
      <c r="L1482" s="65">
        <v>0.021693132</v>
      </c>
      <c r="N1482" s="66">
        <v>0.14462088</v>
      </c>
      <c r="O1482" s="10">
        <f t="shared" si="329"/>
        <v>0.14462088</v>
      </c>
      <c r="Q1482" s="67">
        <v>2.3742844</v>
      </c>
      <c r="S1482" s="68">
        <v>0.004113853</v>
      </c>
      <c r="T1482" s="68">
        <v>0.0038467411</v>
      </c>
      <c r="U1482" s="68">
        <v>1.3726259E-4</v>
      </c>
      <c r="V1482" s="68">
        <v>1.2984937E-4</v>
      </c>
      <c r="X1482" s="69">
        <v>8.4744316E-6</v>
      </c>
    </row>
    <row r="1483" ht="12.75" customHeight="1">
      <c r="A1483" s="1" t="s">
        <v>2152</v>
      </c>
      <c r="B1483" s="2" t="s">
        <v>2044</v>
      </c>
      <c r="C1483" s="60" t="str">
        <f t="shared" si="334"/>
        <v>B.044.01.209</v>
      </c>
      <c r="D1483" s="51" t="s">
        <v>2042</v>
      </c>
      <c r="E1483" s="62" t="s">
        <v>896</v>
      </c>
      <c r="F1483" s="63" t="str">
        <f t="shared" si="335"/>
        <v>Electricity Mauritania production</v>
      </c>
      <c r="G1483" s="64">
        <v>0.037063532332</v>
      </c>
      <c r="H1483" s="10">
        <f t="shared" si="328"/>
        <v>0.03706353233</v>
      </c>
      <c r="I1483" s="65">
        <v>0.0023754005</v>
      </c>
      <c r="J1483" s="65">
        <v>0.0072275742</v>
      </c>
      <c r="K1483" s="65">
        <v>7.7567632E-5</v>
      </c>
      <c r="L1483" s="65">
        <v>0.02738299</v>
      </c>
      <c r="N1483" s="66">
        <v>0.18255326666666666</v>
      </c>
      <c r="O1483" s="10">
        <f t="shared" si="329"/>
        <v>0.1825532667</v>
      </c>
      <c r="Q1483" s="67">
        <v>2.6292604</v>
      </c>
      <c r="S1483" s="68">
        <v>0.0051715103</v>
      </c>
      <c r="T1483" s="68">
        <v>0.0048342558</v>
      </c>
      <c r="U1483" s="68">
        <v>1.7294742E-4</v>
      </c>
      <c r="V1483" s="68">
        <v>1.6430706E-4</v>
      </c>
      <c r="X1483" s="69">
        <v>1.0653472E-5</v>
      </c>
    </row>
    <row r="1484" ht="12.75" customHeight="1">
      <c r="A1484" s="1" t="s">
        <v>2153</v>
      </c>
      <c r="B1484" s="2" t="s">
        <v>2044</v>
      </c>
      <c r="C1484" s="60" t="str">
        <f t="shared" si="334"/>
        <v>B.044.01.210</v>
      </c>
      <c r="D1484" s="51" t="s">
        <v>2042</v>
      </c>
      <c r="E1484" s="62" t="s">
        <v>896</v>
      </c>
      <c r="F1484" s="63" t="str">
        <f t="shared" si="335"/>
        <v>Electricity Mauritius production</v>
      </c>
      <c r="G1484" s="64">
        <v>0.040403038833</v>
      </c>
      <c r="H1484" s="10">
        <f t="shared" si="328"/>
        <v>0.04040303883</v>
      </c>
      <c r="I1484" s="65">
        <v>0.003088979</v>
      </c>
      <c r="J1484" s="65">
        <v>0.0067208262</v>
      </c>
      <c r="K1484" s="65">
        <v>1.9902633E-5</v>
      </c>
      <c r="L1484" s="65">
        <v>0.030573331</v>
      </c>
      <c r="N1484" s="66">
        <v>0.20382220666666667</v>
      </c>
      <c r="O1484" s="10">
        <f t="shared" si="329"/>
        <v>0.2038222067</v>
      </c>
      <c r="Q1484" s="67">
        <v>2.8223726</v>
      </c>
      <c r="S1484" s="68">
        <v>0.0051894714</v>
      </c>
      <c r="T1484" s="68">
        <v>0.0048947577</v>
      </c>
      <c r="U1484" s="68">
        <v>1.8367151E-4</v>
      </c>
      <c r="V1484" s="68">
        <v>1.1104223E-4</v>
      </c>
      <c r="X1484" s="69">
        <v>1.1354239E-5</v>
      </c>
    </row>
    <row r="1485" ht="12.75" customHeight="1">
      <c r="A1485" s="1" t="s">
        <v>2154</v>
      </c>
      <c r="B1485" s="2" t="s">
        <v>2044</v>
      </c>
      <c r="C1485" s="60" t="str">
        <f t="shared" si="334"/>
        <v>B.044.01.211</v>
      </c>
      <c r="D1485" s="51" t="s">
        <v>2042</v>
      </c>
      <c r="E1485" s="62" t="s">
        <v>896</v>
      </c>
      <c r="F1485" s="63" t="str">
        <f t="shared" si="335"/>
        <v>Electricity Mexico production</v>
      </c>
      <c r="G1485" s="64">
        <v>0.035693573636</v>
      </c>
      <c r="H1485" s="10">
        <f t="shared" si="328"/>
        <v>0.03569357364</v>
      </c>
      <c r="I1485" s="65">
        <v>0.0034478843</v>
      </c>
      <c r="J1485" s="65">
        <v>0.0053767316</v>
      </c>
      <c r="K1485" s="65">
        <v>0.001010285736</v>
      </c>
      <c r="L1485" s="65">
        <v>0.025858672</v>
      </c>
      <c r="N1485" s="66">
        <v>0.17239114666666666</v>
      </c>
      <c r="O1485" s="10">
        <f t="shared" si="329"/>
        <v>0.1723911467</v>
      </c>
      <c r="Q1485" s="67">
        <v>2.4285075</v>
      </c>
      <c r="S1485" s="68">
        <v>0.0040635745</v>
      </c>
      <c r="T1485" s="68">
        <v>0.0038059305</v>
      </c>
      <c r="U1485" s="68">
        <v>1.502961E-4</v>
      </c>
      <c r="V1485" s="68">
        <v>1.0734787E-4</v>
      </c>
      <c r="X1485" s="69">
        <v>9.5184851E-6</v>
      </c>
    </row>
    <row r="1486" ht="12.75" customHeight="1">
      <c r="A1486" s="1" t="s">
        <v>2155</v>
      </c>
      <c r="B1486" s="2" t="s">
        <v>2044</v>
      </c>
      <c r="C1486" s="60" t="str">
        <f t="shared" si="334"/>
        <v>B.044.01.212</v>
      </c>
      <c r="D1486" s="51" t="s">
        <v>2042</v>
      </c>
      <c r="E1486" s="62" t="s">
        <v>896</v>
      </c>
      <c r="F1486" s="63" t="str">
        <f t="shared" si="335"/>
        <v>Electricity Moldova production</v>
      </c>
      <c r="G1486" s="64">
        <v>0.039369241165</v>
      </c>
      <c r="H1486" s="10">
        <f t="shared" si="328"/>
        <v>0.03936924117</v>
      </c>
      <c r="I1486" s="65">
        <v>0.0040331454</v>
      </c>
      <c r="J1486" s="65">
        <v>0.006089910699999999</v>
      </c>
      <c r="K1486" s="65">
        <v>3.1539065E-5</v>
      </c>
      <c r="L1486" s="65">
        <v>0.029214646</v>
      </c>
      <c r="N1486" s="66">
        <v>0.19476430666666666</v>
      </c>
      <c r="O1486" s="10">
        <f t="shared" si="329"/>
        <v>0.1947643067</v>
      </c>
      <c r="Q1486" s="67">
        <v>2.4056409</v>
      </c>
      <c r="S1486" s="68">
        <v>0.0045628638</v>
      </c>
      <c r="T1486" s="68">
        <v>0.004263329</v>
      </c>
      <c r="U1486" s="68">
        <v>1.6935618E-4</v>
      </c>
      <c r="V1486" s="68">
        <v>1.3017854E-4</v>
      </c>
      <c r="X1486" s="69">
        <v>1.0555366E-5</v>
      </c>
    </row>
    <row r="1487" ht="12.75" customHeight="1">
      <c r="A1487" s="1" t="s">
        <v>2156</v>
      </c>
      <c r="B1487" s="2" t="s">
        <v>2044</v>
      </c>
      <c r="C1487" s="60" t="str">
        <f t="shared" si="334"/>
        <v>B.044.01.213</v>
      </c>
      <c r="D1487" s="51" t="s">
        <v>2042</v>
      </c>
      <c r="E1487" s="62" t="s">
        <v>896</v>
      </c>
      <c r="F1487" s="63" t="str">
        <f t="shared" si="335"/>
        <v>Electricity Mongolia production</v>
      </c>
      <c r="G1487" s="64">
        <v>0.05127259603</v>
      </c>
      <c r="H1487" s="10">
        <f t="shared" si="328"/>
        <v>0.05127259603</v>
      </c>
      <c r="I1487" s="65">
        <v>0.003784208</v>
      </c>
      <c r="J1487" s="65">
        <v>0.005663614799999999</v>
      </c>
      <c r="K1487" s="65">
        <v>3.098623E-5</v>
      </c>
      <c r="L1487" s="65">
        <v>0.041793787</v>
      </c>
      <c r="N1487" s="66">
        <v>0.27862524666666666</v>
      </c>
      <c r="O1487" s="10">
        <f t="shared" si="329"/>
        <v>0.2786252467</v>
      </c>
      <c r="Q1487" s="67">
        <v>3.1140072</v>
      </c>
      <c r="S1487" s="68">
        <v>0.0058940818</v>
      </c>
      <c r="T1487" s="68">
        <v>0.0056162684</v>
      </c>
      <c r="U1487" s="68">
        <v>2.3184251E-4</v>
      </c>
      <c r="V1487" s="68">
        <v>4.5970908E-5</v>
      </c>
      <c r="X1487" s="69">
        <v>1.4009269E-5</v>
      </c>
    </row>
    <row r="1488" ht="12.75" customHeight="1">
      <c r="A1488" s="1" t="s">
        <v>2157</v>
      </c>
      <c r="B1488" s="2" t="s">
        <v>2044</v>
      </c>
      <c r="C1488" s="60" t="str">
        <f t="shared" si="334"/>
        <v>B.044.01.214</v>
      </c>
      <c r="D1488" s="51" t="s">
        <v>2042</v>
      </c>
      <c r="E1488" s="62" t="s">
        <v>896</v>
      </c>
      <c r="F1488" s="63" t="str">
        <f t="shared" si="335"/>
        <v>Electricity Montenegro production</v>
      </c>
      <c r="G1488" s="64">
        <v>0.02311917756</v>
      </c>
      <c r="H1488" s="10">
        <f t="shared" si="328"/>
        <v>0.02311917756</v>
      </c>
      <c r="I1488" s="65">
        <v>0.00169555004</v>
      </c>
      <c r="J1488" s="65">
        <v>0.0024409895</v>
      </c>
      <c r="K1488" s="65">
        <v>1.4623902E-4</v>
      </c>
      <c r="L1488" s="65">
        <v>0.018836399</v>
      </c>
      <c r="N1488" s="66">
        <v>0.12557599333333333</v>
      </c>
      <c r="O1488" s="10">
        <f t="shared" si="329"/>
        <v>0.1255759933</v>
      </c>
      <c r="Q1488" s="67">
        <v>2.0327905</v>
      </c>
      <c r="S1488" s="68">
        <v>0.0026183906</v>
      </c>
      <c r="T1488" s="68">
        <v>0.0024974645</v>
      </c>
      <c r="U1488" s="68">
        <v>1.0387691E-4</v>
      </c>
      <c r="V1488" s="68">
        <v>1.7049193E-5</v>
      </c>
      <c r="X1488" s="69">
        <v>6.2498226E-6</v>
      </c>
    </row>
    <row r="1489" ht="12.75" customHeight="1">
      <c r="A1489" s="1" t="s">
        <v>2158</v>
      </c>
      <c r="B1489" s="2" t="s">
        <v>2044</v>
      </c>
      <c r="C1489" s="60" t="str">
        <f t="shared" si="334"/>
        <v>B.044.01.215</v>
      </c>
      <c r="D1489" s="51" t="s">
        <v>2042</v>
      </c>
      <c r="E1489" s="62" t="s">
        <v>896</v>
      </c>
      <c r="F1489" s="63" t="str">
        <f t="shared" si="335"/>
        <v>Electricity Montserrat production</v>
      </c>
      <c r="G1489" s="64">
        <v>0.0489239564</v>
      </c>
      <c r="H1489" s="10">
        <f t="shared" si="328"/>
        <v>0.0489239564</v>
      </c>
      <c r="I1489" s="65">
        <v>0.0031456087</v>
      </c>
      <c r="J1489" s="65">
        <v>0.0095782817</v>
      </c>
      <c r="K1489" s="65">
        <v>0.0</v>
      </c>
      <c r="L1489" s="65">
        <v>0.036200066</v>
      </c>
      <c r="N1489" s="66">
        <v>0.24133377333333336</v>
      </c>
      <c r="O1489" s="10">
        <f t="shared" si="329"/>
        <v>0.2413337733</v>
      </c>
      <c r="Q1489" s="67">
        <v>3.0561601</v>
      </c>
      <c r="S1489" s="68">
        <v>0.0068456299</v>
      </c>
      <c r="T1489" s="68">
        <v>0.0063986587</v>
      </c>
      <c r="U1489" s="68">
        <v>2.2876138E-4</v>
      </c>
      <c r="V1489" s="68">
        <v>2.1820983E-4</v>
      </c>
      <c r="X1489" s="69">
        <v>1.4111385E-5</v>
      </c>
    </row>
    <row r="1490" ht="12.75" customHeight="1">
      <c r="A1490" s="1" t="s">
        <v>2159</v>
      </c>
      <c r="B1490" s="2" t="s">
        <v>2044</v>
      </c>
      <c r="C1490" s="60" t="str">
        <f t="shared" si="334"/>
        <v>B.044.01.216</v>
      </c>
      <c r="D1490" s="51" t="s">
        <v>2042</v>
      </c>
      <c r="E1490" s="62" t="s">
        <v>896</v>
      </c>
      <c r="F1490" s="63" t="str">
        <f t="shared" si="335"/>
        <v>Electricity Morocco production</v>
      </c>
      <c r="G1490" s="64">
        <v>0.042591098125</v>
      </c>
      <c r="H1490" s="10">
        <f t="shared" si="328"/>
        <v>0.04259109813</v>
      </c>
      <c r="I1490" s="65">
        <v>0.0032860104</v>
      </c>
      <c r="J1490" s="65">
        <v>0.004964816299999999</v>
      </c>
      <c r="K1490" s="65">
        <v>8.9609425E-5</v>
      </c>
      <c r="L1490" s="65">
        <v>0.034250662</v>
      </c>
      <c r="N1490" s="66">
        <v>0.22833774666666667</v>
      </c>
      <c r="O1490" s="10">
        <f t="shared" si="329"/>
        <v>0.2283377467</v>
      </c>
      <c r="Q1490" s="67">
        <v>2.8026043</v>
      </c>
      <c r="S1490" s="68">
        <v>0.004901993</v>
      </c>
      <c r="T1490" s="68">
        <v>0.0046591991</v>
      </c>
      <c r="U1490" s="68">
        <v>1.9119896E-4</v>
      </c>
      <c r="V1490" s="68">
        <v>5.1595022E-5</v>
      </c>
      <c r="X1490" s="69">
        <v>1.1586758E-5</v>
      </c>
    </row>
    <row r="1491" ht="12.75" customHeight="1">
      <c r="A1491" s="1" t="s">
        <v>2160</v>
      </c>
      <c r="B1491" s="2" t="s">
        <v>2044</v>
      </c>
      <c r="C1491" s="60" t="str">
        <f t="shared" si="334"/>
        <v>B.044.01.217</v>
      </c>
      <c r="D1491" s="51" t="s">
        <v>2042</v>
      </c>
      <c r="E1491" s="62" t="s">
        <v>896</v>
      </c>
      <c r="F1491" s="63" t="str">
        <f t="shared" si="335"/>
        <v>Electricity Mozambique production</v>
      </c>
      <c r="G1491" s="64">
        <v>0.00837188888</v>
      </c>
      <c r="H1491" s="10">
        <f t="shared" si="328"/>
        <v>0.00837188888</v>
      </c>
      <c r="I1491" s="65">
        <v>8.4301396E-4</v>
      </c>
      <c r="J1491" s="65">
        <v>0.00123998497</v>
      </c>
      <c r="K1491" s="65">
        <v>1.9339895E-4</v>
      </c>
      <c r="L1491" s="65">
        <v>0.006095491</v>
      </c>
      <c r="N1491" s="66">
        <v>0.040636606666666665</v>
      </c>
      <c r="O1491" s="10">
        <f t="shared" si="329"/>
        <v>0.04063660667</v>
      </c>
      <c r="Q1491" s="67">
        <v>1.4804483</v>
      </c>
      <c r="S1491" s="68">
        <v>9.4310041E-4</v>
      </c>
      <c r="T1491" s="68">
        <v>8.8227295E-4</v>
      </c>
      <c r="U1491" s="68">
        <v>3.516979E-5</v>
      </c>
      <c r="V1491" s="68">
        <v>2.5657669E-5</v>
      </c>
      <c r="X1491" s="69">
        <v>2.1700465E-6</v>
      </c>
    </row>
    <row r="1492" ht="12.75" customHeight="1">
      <c r="A1492" s="1" t="s">
        <v>2161</v>
      </c>
      <c r="B1492" s="2" t="s">
        <v>2044</v>
      </c>
      <c r="C1492" s="60" t="str">
        <f t="shared" si="334"/>
        <v>B.044.01.218</v>
      </c>
      <c r="D1492" s="51" t="s">
        <v>2042</v>
      </c>
      <c r="E1492" s="62" t="s">
        <v>896</v>
      </c>
      <c r="F1492" s="63" t="str">
        <f t="shared" si="335"/>
        <v>Electricity Myanmar production</v>
      </c>
      <c r="G1492" s="64">
        <v>0.026940448670999997</v>
      </c>
      <c r="H1492" s="10">
        <f t="shared" si="328"/>
        <v>0.02694044867</v>
      </c>
      <c r="I1492" s="65">
        <v>0.00268474144</v>
      </c>
      <c r="J1492" s="65">
        <v>0.0038816317</v>
      </c>
      <c r="K1492" s="65">
        <v>8.2323531E-5</v>
      </c>
      <c r="L1492" s="65">
        <v>0.020291752</v>
      </c>
      <c r="N1492" s="66">
        <v>0.13527834666666666</v>
      </c>
      <c r="O1492" s="10">
        <f t="shared" si="329"/>
        <v>0.1352783467</v>
      </c>
      <c r="Q1492" s="67">
        <v>2.0012509</v>
      </c>
      <c r="S1492" s="68">
        <v>0.0030725724</v>
      </c>
      <c r="T1492" s="68">
        <v>0.0028828042</v>
      </c>
      <c r="U1492" s="68">
        <v>1.1604303E-4</v>
      </c>
      <c r="V1492" s="68">
        <v>7.3725194E-5</v>
      </c>
      <c r="X1492" s="69">
        <v>7.1953783E-6</v>
      </c>
    </row>
    <row r="1493" ht="12.75" customHeight="1">
      <c r="A1493" s="1" t="s">
        <v>2162</v>
      </c>
      <c r="B1493" s="2" t="s">
        <v>2044</v>
      </c>
      <c r="C1493" s="60" t="str">
        <f t="shared" si="334"/>
        <v>B.044.01.219</v>
      </c>
      <c r="D1493" s="51" t="s">
        <v>2042</v>
      </c>
      <c r="E1493" s="62" t="s">
        <v>896</v>
      </c>
      <c r="F1493" s="63" t="str">
        <f t="shared" si="335"/>
        <v>Electricity Namibia production</v>
      </c>
      <c r="G1493" s="64">
        <v>0.0026231738119999997</v>
      </c>
      <c r="H1493" s="10">
        <f t="shared" si="328"/>
        <v>0.002623173812</v>
      </c>
      <c r="I1493" s="65">
        <v>1.41957979E-4</v>
      </c>
      <c r="J1493" s="65">
        <v>2.46671673E-4</v>
      </c>
      <c r="K1493" s="65">
        <v>3.4378796E-4</v>
      </c>
      <c r="L1493" s="65">
        <v>0.0018907562</v>
      </c>
      <c r="N1493" s="66">
        <v>0.012605041333333334</v>
      </c>
      <c r="O1493" s="10">
        <f t="shared" si="329"/>
        <v>0.01260504133</v>
      </c>
      <c r="Q1493" s="67">
        <v>1.7083051</v>
      </c>
      <c r="S1493" s="68">
        <v>2.6822031E-4</v>
      </c>
      <c r="T1493" s="68">
        <v>2.549969E-4</v>
      </c>
      <c r="U1493" s="68">
        <v>1.0524744E-5</v>
      </c>
      <c r="V1493" s="68">
        <v>2.6986645E-6</v>
      </c>
      <c r="X1493" s="69">
        <v>5.784905E-7</v>
      </c>
    </row>
    <row r="1494" ht="12.75" customHeight="1">
      <c r="A1494" s="1" t="s">
        <v>2163</v>
      </c>
      <c r="B1494" s="2" t="s">
        <v>2044</v>
      </c>
      <c r="C1494" s="60" t="str">
        <f t="shared" si="334"/>
        <v>B.044.01.220</v>
      </c>
      <c r="D1494" s="51" t="s">
        <v>2042</v>
      </c>
      <c r="E1494" s="62" t="s">
        <v>896</v>
      </c>
      <c r="F1494" s="63" t="str">
        <f t="shared" si="335"/>
        <v>Electricity Nauru production</v>
      </c>
      <c r="G1494" s="64">
        <v>0.0441432921</v>
      </c>
      <c r="H1494" s="10">
        <f t="shared" si="328"/>
        <v>0.0441432921</v>
      </c>
      <c r="I1494" s="65">
        <v>0.0028382318</v>
      </c>
      <c r="J1494" s="65">
        <v>0.0086423283</v>
      </c>
      <c r="K1494" s="65">
        <v>0.0</v>
      </c>
      <c r="L1494" s="65">
        <v>0.032662732</v>
      </c>
      <c r="N1494" s="66">
        <v>0.21775154666666668</v>
      </c>
      <c r="O1494" s="10">
        <f t="shared" si="329"/>
        <v>0.2177515467</v>
      </c>
      <c r="Q1494" s="67">
        <v>2.7575237</v>
      </c>
      <c r="S1494" s="68">
        <v>0.0061767009</v>
      </c>
      <c r="T1494" s="68">
        <v>0.005773406</v>
      </c>
      <c r="U1494" s="68">
        <v>2.0640769E-4</v>
      </c>
      <c r="V1494" s="68">
        <v>1.9688719E-4</v>
      </c>
      <c r="X1494" s="69">
        <v>1.2732474E-5</v>
      </c>
    </row>
    <row r="1495" ht="12.75" customHeight="1">
      <c r="A1495" s="1" t="s">
        <v>2164</v>
      </c>
      <c r="B1495" s="2" t="s">
        <v>2044</v>
      </c>
      <c r="C1495" s="60" t="str">
        <f t="shared" si="334"/>
        <v>B.044.01.221</v>
      </c>
      <c r="D1495" s="51" t="s">
        <v>2042</v>
      </c>
      <c r="E1495" s="62" t="s">
        <v>896</v>
      </c>
      <c r="F1495" s="63" t="str">
        <f t="shared" si="335"/>
        <v>Electricity Nepal production</v>
      </c>
      <c r="G1495" s="64">
        <v>5.9324545441E-4</v>
      </c>
      <c r="H1495" s="10">
        <f t="shared" si="328"/>
        <v>0.0005932454544</v>
      </c>
      <c r="I1495" s="65">
        <v>7.64252127E-6</v>
      </c>
      <c r="J1495" s="65">
        <v>1.01040314E-6</v>
      </c>
      <c r="K1495" s="65">
        <v>2.2805121E-4</v>
      </c>
      <c r="L1495" s="65">
        <v>3.5654132E-4</v>
      </c>
      <c r="N1495" s="66">
        <v>0.0023769421333333335</v>
      </c>
      <c r="O1495" s="10">
        <f t="shared" si="329"/>
        <v>0.002376942133</v>
      </c>
      <c r="Q1495" s="67">
        <v>1.1809345</v>
      </c>
      <c r="S1495" s="68">
        <v>4.073688E-5</v>
      </c>
      <c r="T1495" s="68">
        <v>3.8870924E-5</v>
      </c>
      <c r="U1495" s="68">
        <v>1.8035385E-6</v>
      </c>
      <c r="V1495" s="68">
        <v>6.2417617E-8</v>
      </c>
      <c r="X1495" s="69">
        <v>7.3020277E-8</v>
      </c>
    </row>
    <row r="1496" ht="12.75" customHeight="1">
      <c r="A1496" s="1" t="s">
        <v>2165</v>
      </c>
      <c r="B1496" s="2" t="s">
        <v>2044</v>
      </c>
      <c r="C1496" s="60" t="str">
        <f t="shared" si="334"/>
        <v>B.044.01.222</v>
      </c>
      <c r="D1496" s="51" t="s">
        <v>2042</v>
      </c>
      <c r="E1496" s="62" t="s">
        <v>896</v>
      </c>
      <c r="F1496" s="63" t="str">
        <f t="shared" si="335"/>
        <v>Electricity New Caledonia production</v>
      </c>
      <c r="G1496" s="64">
        <v>0.035259678780999996</v>
      </c>
      <c r="H1496" s="10">
        <f t="shared" si="328"/>
        <v>0.03525967878</v>
      </c>
      <c r="I1496" s="65">
        <v>0.0024480222000000003</v>
      </c>
      <c r="J1496" s="65">
        <v>0.005205832</v>
      </c>
      <c r="K1496" s="65">
        <v>5.9399581E-5</v>
      </c>
      <c r="L1496" s="65">
        <v>0.027546425</v>
      </c>
      <c r="N1496" s="66">
        <v>0.18364283333333334</v>
      </c>
      <c r="O1496" s="10">
        <f t="shared" si="329"/>
        <v>0.1836428333</v>
      </c>
      <c r="Q1496" s="67">
        <v>2.3899367</v>
      </c>
      <c r="S1496" s="68">
        <v>0.0044343781</v>
      </c>
      <c r="T1496" s="68">
        <v>0.0041860152</v>
      </c>
      <c r="U1496" s="68">
        <v>1.616329E-4</v>
      </c>
      <c r="V1496" s="68">
        <v>8.6729944E-5</v>
      </c>
      <c r="X1496" s="69">
        <v>9.849984E-6</v>
      </c>
    </row>
    <row r="1497" ht="12.75" customHeight="1">
      <c r="A1497" s="1" t="s">
        <v>2166</v>
      </c>
      <c r="B1497" s="2" t="s">
        <v>2044</v>
      </c>
      <c r="C1497" s="60" t="str">
        <f t="shared" si="334"/>
        <v>B.044.01.223</v>
      </c>
      <c r="D1497" s="51" t="s">
        <v>2042</v>
      </c>
      <c r="E1497" s="62" t="s">
        <v>896</v>
      </c>
      <c r="F1497" s="63" t="str">
        <f t="shared" si="335"/>
        <v>Electricity New Zealand production</v>
      </c>
      <c r="G1497" s="64">
        <v>0.00731666655</v>
      </c>
      <c r="H1497" s="10">
        <f t="shared" si="328"/>
        <v>0.00731666655</v>
      </c>
      <c r="I1497" s="65">
        <v>6.9258512E-4</v>
      </c>
      <c r="J1497" s="65">
        <v>0.00107331453</v>
      </c>
      <c r="K1497" s="65">
        <v>1.426875E-4</v>
      </c>
      <c r="L1497" s="65">
        <v>0.0054080794</v>
      </c>
      <c r="N1497" s="66">
        <v>0.036053862666666665</v>
      </c>
      <c r="O1497" s="10">
        <f t="shared" si="329"/>
        <v>0.03605386267</v>
      </c>
      <c r="Q1497" s="67">
        <v>1.3512143</v>
      </c>
      <c r="S1497" s="68">
        <v>8.4013136E-4</v>
      </c>
      <c r="T1497" s="68">
        <v>7.9096939E-4</v>
      </c>
      <c r="U1497" s="68">
        <v>3.1262103E-5</v>
      </c>
      <c r="V1497" s="68">
        <v>1.7899865E-5</v>
      </c>
      <c r="X1497" s="69">
        <v>1.9256691E-6</v>
      </c>
    </row>
    <row r="1498" ht="12.75" customHeight="1">
      <c r="A1498" s="1" t="s">
        <v>2167</v>
      </c>
      <c r="B1498" s="2" t="s">
        <v>2044</v>
      </c>
      <c r="C1498" s="60" t="str">
        <f t="shared" si="334"/>
        <v>B.044.01.224</v>
      </c>
      <c r="D1498" s="51" t="s">
        <v>2042</v>
      </c>
      <c r="E1498" s="62" t="s">
        <v>896</v>
      </c>
      <c r="F1498" s="63" t="str">
        <f t="shared" si="335"/>
        <v>Electricity Nicaragua production</v>
      </c>
      <c r="G1498" s="64">
        <v>0.021135359879</v>
      </c>
      <c r="H1498" s="10">
        <f t="shared" si="328"/>
        <v>0.02113535988</v>
      </c>
      <c r="I1498" s="65">
        <v>0.00212710295</v>
      </c>
      <c r="J1498" s="65">
        <v>0.0050058507</v>
      </c>
      <c r="K1498" s="65">
        <v>8.4477229E-5</v>
      </c>
      <c r="L1498" s="65">
        <v>0.013917929</v>
      </c>
      <c r="N1498" s="66">
        <v>0.09278619333333334</v>
      </c>
      <c r="O1498" s="10">
        <f t="shared" si="329"/>
        <v>0.09278619333</v>
      </c>
      <c r="Q1498" s="67">
        <v>2.5590493</v>
      </c>
      <c r="S1498" s="68">
        <v>0.0029241689</v>
      </c>
      <c r="T1498" s="68">
        <v>0.0027485028</v>
      </c>
      <c r="U1498" s="68">
        <v>9.2604715E-5</v>
      </c>
      <c r="V1498" s="68">
        <v>8.3061466E-5</v>
      </c>
      <c r="X1498" s="69">
        <v>6.0124069E-6</v>
      </c>
    </row>
    <row r="1499" ht="12.75" customHeight="1">
      <c r="A1499" s="1" t="s">
        <v>2168</v>
      </c>
      <c r="B1499" s="2" t="s">
        <v>2044</v>
      </c>
      <c r="C1499" s="60" t="str">
        <f t="shared" si="334"/>
        <v>B.044.01.225</v>
      </c>
      <c r="D1499" s="51" t="s">
        <v>2042</v>
      </c>
      <c r="E1499" s="62" t="s">
        <v>896</v>
      </c>
      <c r="F1499" s="63" t="str">
        <f t="shared" si="335"/>
        <v>Electricity Niger production</v>
      </c>
      <c r="G1499" s="64">
        <v>0.080022543821</v>
      </c>
      <c r="H1499" s="10">
        <f t="shared" si="328"/>
        <v>0.08002254382</v>
      </c>
      <c r="I1499" s="65">
        <v>0.0055399140999999995</v>
      </c>
      <c r="J1499" s="65">
        <v>0.0136207992</v>
      </c>
      <c r="K1499" s="65">
        <v>1.2436521E-5</v>
      </c>
      <c r="L1499" s="65">
        <v>0.060849394</v>
      </c>
      <c r="N1499" s="66">
        <v>0.4056626266666667</v>
      </c>
      <c r="O1499" s="10">
        <f t="shared" si="329"/>
        <v>0.4056626267</v>
      </c>
      <c r="Q1499" s="67">
        <v>4.9377603</v>
      </c>
      <c r="S1499" s="68">
        <v>0.010539258</v>
      </c>
      <c r="T1499" s="68">
        <v>0.0098959041</v>
      </c>
      <c r="U1499" s="68">
        <v>3.6901052E-4</v>
      </c>
      <c r="V1499" s="68">
        <v>2.7434309E-4</v>
      </c>
      <c r="X1499" s="69">
        <v>2.2653966E-5</v>
      </c>
    </row>
    <row r="1500" ht="12.75" customHeight="1">
      <c r="A1500" s="1" t="s">
        <v>2169</v>
      </c>
      <c r="B1500" s="2" t="s">
        <v>2044</v>
      </c>
      <c r="C1500" s="60" t="str">
        <f t="shared" si="334"/>
        <v>B.044.01.226</v>
      </c>
      <c r="D1500" s="51" t="s">
        <v>2042</v>
      </c>
      <c r="E1500" s="62" t="s">
        <v>896</v>
      </c>
      <c r="F1500" s="63" t="str">
        <f t="shared" si="335"/>
        <v>Electricity Nigeria production</v>
      </c>
      <c r="G1500" s="64">
        <v>0.035473470945</v>
      </c>
      <c r="H1500" s="10">
        <f t="shared" si="328"/>
        <v>0.03547347095</v>
      </c>
      <c r="I1500" s="65">
        <v>0.0037286007999999997</v>
      </c>
      <c r="J1500" s="65">
        <v>0.0053632001999999995</v>
      </c>
      <c r="K1500" s="65">
        <v>5.1429945E-5</v>
      </c>
      <c r="L1500" s="65">
        <v>0.02633024</v>
      </c>
      <c r="N1500" s="66">
        <v>0.17553493333333334</v>
      </c>
      <c r="O1500" s="10">
        <f t="shared" si="329"/>
        <v>0.1755349333</v>
      </c>
      <c r="Q1500" s="67">
        <v>2.3016147</v>
      </c>
      <c r="S1500" s="68">
        <v>0.0040447247</v>
      </c>
      <c r="T1500" s="68">
        <v>0.0037790631</v>
      </c>
      <c r="U1500" s="68">
        <v>1.5155015E-4</v>
      </c>
      <c r="V1500" s="68">
        <v>1.1411144E-4</v>
      </c>
      <c r="X1500" s="69">
        <v>9.4503075E-6</v>
      </c>
    </row>
    <row r="1501" ht="12.75" customHeight="1">
      <c r="A1501" s="1" t="s">
        <v>2170</v>
      </c>
      <c r="B1501" s="2" t="s">
        <v>2044</v>
      </c>
      <c r="C1501" s="60" t="str">
        <f t="shared" si="334"/>
        <v>B.044.01.227</v>
      </c>
      <c r="D1501" s="51" t="s">
        <v>2042</v>
      </c>
      <c r="E1501" s="62" t="s">
        <v>896</v>
      </c>
      <c r="F1501" s="63" t="str">
        <f t="shared" si="335"/>
        <v>Electricity North Korea production</v>
      </c>
      <c r="G1501" s="64">
        <v>0.021602946570000003</v>
      </c>
      <c r="H1501" s="10">
        <f t="shared" si="328"/>
        <v>0.02160294657</v>
      </c>
      <c r="I1501" s="65">
        <v>0.00157071709</v>
      </c>
      <c r="J1501" s="65">
        <v>0.0023651479</v>
      </c>
      <c r="K1501" s="65">
        <v>1.4408358E-4</v>
      </c>
      <c r="L1501" s="65">
        <v>0.017522998</v>
      </c>
      <c r="N1501" s="66">
        <v>0.11681998666666668</v>
      </c>
      <c r="O1501" s="10">
        <f t="shared" si="329"/>
        <v>0.1168199867</v>
      </c>
      <c r="Q1501" s="67">
        <v>1.9924917</v>
      </c>
      <c r="S1501" s="68">
        <v>0.0024731217</v>
      </c>
      <c r="T1501" s="68">
        <v>0.0023559738</v>
      </c>
      <c r="U1501" s="68">
        <v>9.7217744E-5</v>
      </c>
      <c r="V1501" s="68">
        <v>1.9930227E-5</v>
      </c>
      <c r="X1501" s="69">
        <v>5.8555289E-6</v>
      </c>
    </row>
    <row r="1502" ht="12.75" customHeight="1">
      <c r="A1502" s="1" t="s">
        <v>2171</v>
      </c>
      <c r="B1502" s="2" t="s">
        <v>2044</v>
      </c>
      <c r="C1502" s="60" t="str">
        <f t="shared" si="334"/>
        <v>B.044.01.228</v>
      </c>
      <c r="D1502" s="51" t="s">
        <v>2042</v>
      </c>
      <c r="E1502" s="62" t="s">
        <v>896</v>
      </c>
      <c r="F1502" s="63" t="str">
        <f t="shared" si="335"/>
        <v>Electricity North Macedonia production</v>
      </c>
      <c r="G1502" s="64">
        <v>0.036850794439</v>
      </c>
      <c r="H1502" s="10">
        <f t="shared" si="328"/>
        <v>0.03685079444</v>
      </c>
      <c r="I1502" s="65">
        <v>0.0030879755000000004</v>
      </c>
      <c r="J1502" s="65">
        <v>0.0045365287</v>
      </c>
      <c r="K1502" s="65">
        <v>8.1990239E-5</v>
      </c>
      <c r="L1502" s="65">
        <v>0.0291443</v>
      </c>
      <c r="N1502" s="66">
        <v>0.19429533333333335</v>
      </c>
      <c r="O1502" s="10">
        <f t="shared" si="329"/>
        <v>0.1942953333</v>
      </c>
      <c r="Q1502" s="67">
        <v>2.5569694</v>
      </c>
      <c r="S1502" s="68">
        <v>0.0042178918</v>
      </c>
      <c r="T1502" s="68">
        <v>0.0039976326</v>
      </c>
      <c r="U1502" s="68">
        <v>1.6344868E-4</v>
      </c>
      <c r="V1502" s="68">
        <v>5.6810563E-5</v>
      </c>
      <c r="X1502" s="69">
        <v>9.9722407E-6</v>
      </c>
    </row>
    <row r="1503" ht="12.75" customHeight="1">
      <c r="A1503" s="1" t="s">
        <v>2172</v>
      </c>
      <c r="B1503" s="2" t="s">
        <v>2044</v>
      </c>
      <c r="C1503" s="60" t="str">
        <f t="shared" si="334"/>
        <v>B.044.01.229</v>
      </c>
      <c r="D1503" s="51" t="s">
        <v>2042</v>
      </c>
      <c r="E1503" s="62" t="s">
        <v>896</v>
      </c>
      <c r="F1503" s="63" t="str">
        <f t="shared" si="335"/>
        <v>Electricity Oman production</v>
      </c>
      <c r="G1503" s="64">
        <v>0.042000220686999996</v>
      </c>
      <c r="H1503" s="10">
        <f t="shared" si="328"/>
        <v>0.04200022069</v>
      </c>
      <c r="I1503" s="65">
        <v>0.0043680769</v>
      </c>
      <c r="J1503" s="65">
        <v>0.006420323</v>
      </c>
      <c r="K1503" s="65">
        <v>1.2413787E-5</v>
      </c>
      <c r="L1503" s="65">
        <v>0.031199407</v>
      </c>
      <c r="N1503" s="66">
        <v>0.20799604666666666</v>
      </c>
      <c r="O1503" s="10">
        <f t="shared" si="329"/>
        <v>0.2079960467</v>
      </c>
      <c r="Q1503" s="67">
        <v>2.4637567</v>
      </c>
      <c r="S1503" s="68">
        <v>0.004827574</v>
      </c>
      <c r="T1503" s="68">
        <v>0.0045103122</v>
      </c>
      <c r="U1503" s="68">
        <v>1.8013951E-4</v>
      </c>
      <c r="V1503" s="68">
        <v>1.3712228E-4</v>
      </c>
      <c r="X1503" s="69">
        <v>1.123403E-5</v>
      </c>
    </row>
    <row r="1504" ht="12.75" customHeight="1">
      <c r="A1504" s="1" t="s">
        <v>2173</v>
      </c>
      <c r="B1504" s="2" t="s">
        <v>2044</v>
      </c>
      <c r="C1504" s="60" t="str">
        <f t="shared" si="334"/>
        <v>B.044.01.230</v>
      </c>
      <c r="D1504" s="51" t="s">
        <v>2042</v>
      </c>
      <c r="E1504" s="62" t="s">
        <v>896</v>
      </c>
      <c r="F1504" s="63" t="str">
        <f t="shared" si="335"/>
        <v>Electricity Pakistan production</v>
      </c>
      <c r="G1504" s="64">
        <v>0.031212593444</v>
      </c>
      <c r="H1504" s="10">
        <f t="shared" si="328"/>
        <v>0.03121259344</v>
      </c>
      <c r="I1504" s="65">
        <v>0.00234356589</v>
      </c>
      <c r="J1504" s="65">
        <v>0.0041973132</v>
      </c>
      <c r="K1504" s="65">
        <v>0.003961711354</v>
      </c>
      <c r="L1504" s="65">
        <v>0.020710003</v>
      </c>
      <c r="N1504" s="66">
        <v>0.1380666866666667</v>
      </c>
      <c r="O1504" s="10">
        <f t="shared" si="329"/>
        <v>0.1380666867</v>
      </c>
      <c r="Q1504" s="67">
        <v>2.5418279</v>
      </c>
      <c r="S1504" s="68">
        <v>0.0033098653</v>
      </c>
      <c r="T1504" s="68">
        <v>0.0031127574</v>
      </c>
      <c r="U1504" s="68">
        <v>1.2126964E-4</v>
      </c>
      <c r="V1504" s="68">
        <v>7.5838269E-5</v>
      </c>
      <c r="X1504" s="69">
        <v>8.1455804E-6</v>
      </c>
    </row>
    <row r="1505" ht="12.75" customHeight="1">
      <c r="A1505" s="1" t="s">
        <v>2174</v>
      </c>
      <c r="B1505" s="2" t="s">
        <v>2044</v>
      </c>
      <c r="C1505" s="60" t="str">
        <f t="shared" si="334"/>
        <v>B.044.01.231</v>
      </c>
      <c r="D1505" s="51" t="s">
        <v>2042</v>
      </c>
      <c r="E1505" s="62" t="s">
        <v>896</v>
      </c>
      <c r="F1505" s="63" t="str">
        <f t="shared" si="335"/>
        <v>Electricity Palestine production</v>
      </c>
      <c r="G1505" s="64">
        <v>0.035660394309999996</v>
      </c>
      <c r="H1505" s="10">
        <f t="shared" si="328"/>
        <v>0.03566039431</v>
      </c>
      <c r="I1505" s="65">
        <v>0.0022840383</v>
      </c>
      <c r="J1505" s="65">
        <v>0.0069441252999999994</v>
      </c>
      <c r="K1505" s="65">
        <v>1.1036171E-4</v>
      </c>
      <c r="L1505" s="65">
        <v>0.026321869</v>
      </c>
      <c r="N1505" s="66">
        <v>0.17547912666666668</v>
      </c>
      <c r="O1505" s="10">
        <f t="shared" si="329"/>
        <v>0.1754791267</v>
      </c>
      <c r="Q1505" s="67">
        <v>2.6210226</v>
      </c>
      <c r="S1505" s="68">
        <v>0.004967397</v>
      </c>
      <c r="T1505" s="68">
        <v>0.0046437285</v>
      </c>
      <c r="U1505" s="68">
        <v>1.6620221E-4</v>
      </c>
      <c r="V1505" s="68">
        <v>1.5746629E-4</v>
      </c>
      <c r="X1505" s="69">
        <v>1.0228569E-5</v>
      </c>
    </row>
    <row r="1506" ht="12.75" customHeight="1">
      <c r="A1506" s="1" t="s">
        <v>2175</v>
      </c>
      <c r="B1506" s="2" t="s">
        <v>2044</v>
      </c>
      <c r="C1506" s="60" t="str">
        <f t="shared" si="334"/>
        <v>B.044.01.232</v>
      </c>
      <c r="D1506" s="51" t="s">
        <v>2042</v>
      </c>
      <c r="E1506" s="62" t="s">
        <v>896</v>
      </c>
      <c r="F1506" s="63" t="str">
        <f t="shared" si="335"/>
        <v>Electricity Panama production</v>
      </c>
      <c r="G1506" s="64">
        <v>0.017441043910000002</v>
      </c>
      <c r="H1506" s="10">
        <f t="shared" si="328"/>
        <v>0.01744104391</v>
      </c>
      <c r="I1506" s="65">
        <v>0.00151193656</v>
      </c>
      <c r="J1506" s="65">
        <v>0.0027901987</v>
      </c>
      <c r="K1506" s="65">
        <v>1.3979665E-4</v>
      </c>
      <c r="L1506" s="65">
        <v>0.012999112</v>
      </c>
      <c r="N1506" s="66">
        <v>0.08666074666666668</v>
      </c>
      <c r="O1506" s="10">
        <f t="shared" si="329"/>
        <v>0.08666074667</v>
      </c>
      <c r="Q1506" s="67">
        <v>1.6832769</v>
      </c>
      <c r="S1506" s="68">
        <v>0.0021282692</v>
      </c>
      <c r="T1506" s="68">
        <v>0.001993729</v>
      </c>
      <c r="U1506" s="68">
        <v>7.6895597E-5</v>
      </c>
      <c r="V1506" s="68">
        <v>5.764465E-5</v>
      </c>
      <c r="X1506" s="69">
        <v>4.7398147E-6</v>
      </c>
    </row>
    <row r="1507" ht="12.75" customHeight="1">
      <c r="A1507" s="1" t="s">
        <v>2176</v>
      </c>
      <c r="B1507" s="2" t="s">
        <v>2044</v>
      </c>
      <c r="C1507" s="60" t="str">
        <f t="shared" si="334"/>
        <v>B.044.01.233</v>
      </c>
      <c r="D1507" s="51" t="s">
        <v>2042</v>
      </c>
      <c r="E1507" s="62" t="s">
        <v>896</v>
      </c>
      <c r="F1507" s="63" t="str">
        <f t="shared" si="335"/>
        <v>Electricity Papua New Guinea production</v>
      </c>
      <c r="G1507" s="64">
        <v>0.033224721795</v>
      </c>
      <c r="H1507" s="10">
        <f t="shared" si="328"/>
        <v>0.0332247218</v>
      </c>
      <c r="I1507" s="65">
        <v>0.0024611278599999996</v>
      </c>
      <c r="J1507" s="65">
        <v>0.0061418048</v>
      </c>
      <c r="K1507" s="65">
        <v>4.2910135E-5</v>
      </c>
      <c r="L1507" s="65">
        <v>0.024578879</v>
      </c>
      <c r="N1507" s="66">
        <v>0.16385919333333335</v>
      </c>
      <c r="O1507" s="10">
        <f t="shared" si="329"/>
        <v>0.1638591933</v>
      </c>
      <c r="Q1507" s="67">
        <v>2.2793024</v>
      </c>
      <c r="S1507" s="68">
        <v>0.0044376418</v>
      </c>
      <c r="T1507" s="68">
        <v>0.0041477601</v>
      </c>
      <c r="U1507" s="68">
        <v>1.519786E-4</v>
      </c>
      <c r="V1507" s="68">
        <v>1.3790311E-4</v>
      </c>
      <c r="X1507" s="69">
        <v>9.3947061E-6</v>
      </c>
    </row>
    <row r="1508" ht="12.75" customHeight="1">
      <c r="A1508" s="1" t="s">
        <v>2177</v>
      </c>
      <c r="B1508" s="2" t="s">
        <v>2044</v>
      </c>
      <c r="C1508" s="60" t="str">
        <f t="shared" si="334"/>
        <v>B.044.01.234</v>
      </c>
      <c r="D1508" s="51" t="s">
        <v>2042</v>
      </c>
      <c r="E1508" s="62" t="s">
        <v>896</v>
      </c>
      <c r="F1508" s="63" t="str">
        <f t="shared" si="335"/>
        <v>Electricity Paraguay production</v>
      </c>
      <c r="G1508" s="64">
        <v>6.175753030000001E-4</v>
      </c>
      <c r="H1508" s="10">
        <f t="shared" si="328"/>
        <v>0.000617575303</v>
      </c>
      <c r="I1508" s="65">
        <v>2.9481519E-5</v>
      </c>
      <c r="J1508" s="65">
        <v>3.2763174E-5</v>
      </c>
      <c r="K1508" s="65">
        <v>2.168525E-4</v>
      </c>
      <c r="L1508" s="65">
        <v>3.3847811E-4</v>
      </c>
      <c r="N1508" s="66">
        <v>0.0022565207333333334</v>
      </c>
      <c r="O1508" s="10">
        <f t="shared" si="329"/>
        <v>0.002256520733</v>
      </c>
      <c r="Q1508" s="67">
        <v>1.1480229</v>
      </c>
      <c r="S1508" s="68">
        <v>4.582031E-5</v>
      </c>
      <c r="T1508" s="68">
        <v>4.3936575E-5</v>
      </c>
      <c r="U1508" s="68">
        <v>1.8243834E-6</v>
      </c>
      <c r="V1508" s="68">
        <v>5.9352529E-8</v>
      </c>
      <c r="X1508" s="69">
        <v>8.403291E-8</v>
      </c>
    </row>
    <row r="1509" ht="12.75" customHeight="1">
      <c r="A1509" s="1" t="s">
        <v>2178</v>
      </c>
      <c r="B1509" s="2" t="s">
        <v>2044</v>
      </c>
      <c r="C1509" s="60" t="str">
        <f t="shared" si="334"/>
        <v>B.044.01.235</v>
      </c>
      <c r="D1509" s="51" t="s">
        <v>2042</v>
      </c>
      <c r="E1509" s="62" t="s">
        <v>896</v>
      </c>
      <c r="F1509" s="63" t="str">
        <f t="shared" si="335"/>
        <v>Electricity Peru production</v>
      </c>
      <c r="G1509" s="64">
        <v>0.01857028682</v>
      </c>
      <c r="H1509" s="10">
        <f t="shared" si="328"/>
        <v>0.01857028682</v>
      </c>
      <c r="I1509" s="65">
        <v>0.00193086698</v>
      </c>
      <c r="J1509" s="65">
        <v>0.0028320458</v>
      </c>
      <c r="K1509" s="65">
        <v>1.3442104E-4</v>
      </c>
      <c r="L1509" s="65">
        <v>0.013672953</v>
      </c>
      <c r="N1509" s="66">
        <v>0.09115302</v>
      </c>
      <c r="O1509" s="10">
        <f t="shared" si="329"/>
        <v>0.09115302</v>
      </c>
      <c r="Q1509" s="67">
        <v>1.7358455</v>
      </c>
      <c r="S1509" s="68">
        <v>0.0021200343</v>
      </c>
      <c r="T1509" s="68">
        <v>0.0019820301</v>
      </c>
      <c r="U1509" s="68">
        <v>7.9009232E-5</v>
      </c>
      <c r="V1509" s="68">
        <v>5.8994949E-5</v>
      </c>
      <c r="X1509" s="69">
        <v>4.9173428E-6</v>
      </c>
    </row>
    <row r="1510" ht="12.75" customHeight="1">
      <c r="A1510" s="1" t="s">
        <v>2179</v>
      </c>
      <c r="B1510" s="2" t="s">
        <v>2044</v>
      </c>
      <c r="C1510" s="60" t="str">
        <f t="shared" si="334"/>
        <v>B.044.01.236</v>
      </c>
      <c r="D1510" s="51" t="s">
        <v>2042</v>
      </c>
      <c r="E1510" s="62" t="s">
        <v>896</v>
      </c>
      <c r="F1510" s="63" t="str">
        <f t="shared" si="335"/>
        <v>Electricity Philippines production</v>
      </c>
      <c r="G1510" s="64">
        <v>0.047121412474</v>
      </c>
      <c r="H1510" s="10">
        <f t="shared" si="328"/>
        <v>0.04712141247</v>
      </c>
      <c r="I1510" s="65">
        <v>0.00377685825</v>
      </c>
      <c r="J1510" s="65">
        <v>0.0085094225</v>
      </c>
      <c r="K1510" s="65">
        <v>3.0116724E-5</v>
      </c>
      <c r="L1510" s="65">
        <v>0.034805015</v>
      </c>
      <c r="N1510" s="66">
        <v>0.23203343333333334</v>
      </c>
      <c r="O1510" s="10">
        <f t="shared" si="329"/>
        <v>0.2320334333</v>
      </c>
      <c r="Q1510" s="67">
        <v>2.7860694</v>
      </c>
      <c r="S1510" s="68">
        <v>0.00551572</v>
      </c>
      <c r="T1510" s="68">
        <v>0.0052554533</v>
      </c>
      <c r="U1510" s="68">
        <v>2.0880117E-4</v>
      </c>
      <c r="V1510" s="68">
        <v>5.1465476E-5</v>
      </c>
      <c r="X1510" s="69">
        <v>1.2049406E-5</v>
      </c>
    </row>
    <row r="1511" ht="12.75" customHeight="1">
      <c r="A1511" s="1" t="s">
        <v>2180</v>
      </c>
      <c r="B1511" s="2" t="s">
        <v>2044</v>
      </c>
      <c r="C1511" s="60" t="str">
        <f t="shared" si="334"/>
        <v>B.044.01.237</v>
      </c>
      <c r="D1511" s="51" t="s">
        <v>2042</v>
      </c>
      <c r="E1511" s="62" t="s">
        <v>896</v>
      </c>
      <c r="F1511" s="63" t="str">
        <f t="shared" si="335"/>
        <v>Electricity Puerto Rico production</v>
      </c>
      <c r="G1511" s="64">
        <v>0.046741990104</v>
      </c>
      <c r="H1511" s="10">
        <f t="shared" si="328"/>
        <v>0.0467419901</v>
      </c>
      <c r="I1511" s="65">
        <v>0.0035463813</v>
      </c>
      <c r="J1511" s="65">
        <v>0.0077420284999999995</v>
      </c>
      <c r="K1511" s="65">
        <v>1.7733304E-5</v>
      </c>
      <c r="L1511" s="65">
        <v>0.035435847</v>
      </c>
      <c r="N1511" s="66">
        <v>0.23623898000000002</v>
      </c>
      <c r="O1511" s="10">
        <f t="shared" si="329"/>
        <v>0.23623898</v>
      </c>
      <c r="Q1511" s="67">
        <v>2.8894525</v>
      </c>
      <c r="S1511" s="68">
        <v>0.0059902995</v>
      </c>
      <c r="T1511" s="68">
        <v>0.00562167</v>
      </c>
      <c r="U1511" s="68">
        <v>2.1257125E-4</v>
      </c>
      <c r="V1511" s="68">
        <v>1.5605829E-4</v>
      </c>
      <c r="X1511" s="69">
        <v>1.3080932E-5</v>
      </c>
    </row>
    <row r="1512" ht="12.75" customHeight="1">
      <c r="A1512" s="1" t="s">
        <v>2181</v>
      </c>
      <c r="B1512" s="2" t="s">
        <v>2044</v>
      </c>
      <c r="C1512" s="60" t="str">
        <f t="shared" si="334"/>
        <v>B.044.01.238</v>
      </c>
      <c r="D1512" s="51" t="s">
        <v>2042</v>
      </c>
      <c r="E1512" s="62" t="s">
        <v>896</v>
      </c>
      <c r="F1512" s="63" t="str">
        <f t="shared" si="335"/>
        <v>Electricity Qatar production</v>
      </c>
      <c r="G1512" s="64">
        <v>0.041739110899162</v>
      </c>
      <c r="H1512" s="10">
        <f t="shared" si="328"/>
        <v>0.0417391109</v>
      </c>
      <c r="I1512" s="65">
        <v>0.0044025424</v>
      </c>
      <c r="J1512" s="65">
        <v>0.0063352764</v>
      </c>
      <c r="K1512" s="65">
        <v>5.9099162E-8</v>
      </c>
      <c r="L1512" s="65">
        <v>0.031001233</v>
      </c>
      <c r="N1512" s="66">
        <v>0.20667488666666667</v>
      </c>
      <c r="O1512" s="10">
        <f t="shared" si="329"/>
        <v>0.2066748867</v>
      </c>
      <c r="Q1512" s="67">
        <v>2.4049547</v>
      </c>
      <c r="S1512" s="68">
        <v>0.0047663492</v>
      </c>
      <c r="T1512" s="68">
        <v>0.0044530928</v>
      </c>
      <c r="U1512" s="68">
        <v>1.78507E-4</v>
      </c>
      <c r="V1512" s="68">
        <v>1.3474944E-4</v>
      </c>
      <c r="X1512" s="69">
        <v>1.1142136E-5</v>
      </c>
    </row>
    <row r="1513" ht="12.75" customHeight="1">
      <c r="A1513" s="1" t="s">
        <v>2182</v>
      </c>
      <c r="B1513" s="2" t="s">
        <v>2044</v>
      </c>
      <c r="C1513" s="60" t="str">
        <f t="shared" si="334"/>
        <v>B.044.01.239</v>
      </c>
      <c r="D1513" s="51" t="s">
        <v>2042</v>
      </c>
      <c r="E1513" s="62" t="s">
        <v>896</v>
      </c>
      <c r="F1513" s="63" t="str">
        <f t="shared" si="335"/>
        <v>Electricity Russia production</v>
      </c>
      <c r="G1513" s="64">
        <v>0.034698545635</v>
      </c>
      <c r="H1513" s="10">
        <f t="shared" si="328"/>
        <v>0.03469854564</v>
      </c>
      <c r="I1513" s="65">
        <v>0.0028104947899999996</v>
      </c>
      <c r="J1513" s="65">
        <v>0.0041741688</v>
      </c>
      <c r="K1513" s="65">
        <v>0.0048354050449999995</v>
      </c>
      <c r="L1513" s="65">
        <v>0.022878477</v>
      </c>
      <c r="N1513" s="66">
        <v>0.15252318</v>
      </c>
      <c r="O1513" s="10">
        <f t="shared" si="329"/>
        <v>0.15252318</v>
      </c>
      <c r="Q1513" s="67">
        <v>2.5779636</v>
      </c>
      <c r="S1513" s="68">
        <v>0.0034324436</v>
      </c>
      <c r="T1513" s="68">
        <v>0.003230493</v>
      </c>
      <c r="U1513" s="68">
        <v>1.3040228E-4</v>
      </c>
      <c r="V1513" s="68">
        <v>7.1548258E-5</v>
      </c>
      <c r="X1513" s="69">
        <v>8.876196E-6</v>
      </c>
    </row>
    <row r="1514" ht="12.75" customHeight="1">
      <c r="A1514" s="1" t="s">
        <v>2183</v>
      </c>
      <c r="B1514" s="2" t="s">
        <v>2044</v>
      </c>
      <c r="C1514" s="60" t="str">
        <f t="shared" si="334"/>
        <v>B.044.01.240</v>
      </c>
      <c r="D1514" s="51" t="s">
        <v>2042</v>
      </c>
      <c r="E1514" s="62" t="s">
        <v>896</v>
      </c>
      <c r="F1514" s="63" t="str">
        <f t="shared" si="335"/>
        <v>Electricity Rwanda production</v>
      </c>
      <c r="G1514" s="64">
        <v>0.022328088910000002</v>
      </c>
      <c r="H1514" s="10">
        <f t="shared" si="328"/>
        <v>0.02232808891</v>
      </c>
      <c r="I1514" s="65">
        <v>0.00185358781</v>
      </c>
      <c r="J1514" s="65">
        <v>0.0036160708999999997</v>
      </c>
      <c r="K1514" s="65">
        <v>1.354992E-4</v>
      </c>
      <c r="L1514" s="65">
        <v>0.016722931</v>
      </c>
      <c r="N1514" s="66">
        <v>0.11148620666666667</v>
      </c>
      <c r="O1514" s="10">
        <f t="shared" si="329"/>
        <v>0.1114862067</v>
      </c>
      <c r="Q1514" s="67">
        <v>1.9984676</v>
      </c>
      <c r="S1514" s="68">
        <v>0.0027704714</v>
      </c>
      <c r="T1514" s="68">
        <v>0.0025956571</v>
      </c>
      <c r="U1514" s="68">
        <v>9.9423125E-5</v>
      </c>
      <c r="V1514" s="68">
        <v>7.5391243E-5</v>
      </c>
      <c r="X1514" s="69">
        <v>6.1239105E-6</v>
      </c>
    </row>
    <row r="1515" ht="12.75" customHeight="1">
      <c r="A1515" s="1" t="s">
        <v>2184</v>
      </c>
      <c r="B1515" s="2" t="s">
        <v>2044</v>
      </c>
      <c r="C1515" s="60" t="str">
        <f t="shared" si="334"/>
        <v>B.044.01.241</v>
      </c>
      <c r="D1515" s="51" t="s">
        <v>2042</v>
      </c>
      <c r="E1515" s="62" t="s">
        <v>896</v>
      </c>
      <c r="F1515" s="63" t="str">
        <f t="shared" si="335"/>
        <v>Electricity Saint Helena production</v>
      </c>
      <c r="G1515" s="64">
        <v>0.0507626465</v>
      </c>
      <c r="H1515" s="10">
        <f t="shared" si="328"/>
        <v>0.0507626465</v>
      </c>
      <c r="I1515" s="65">
        <v>0.0032638289</v>
      </c>
      <c r="J1515" s="65">
        <v>0.0099382586</v>
      </c>
      <c r="K1515" s="65">
        <v>0.0</v>
      </c>
      <c r="L1515" s="65">
        <v>0.037560559</v>
      </c>
      <c r="N1515" s="66">
        <v>0.25040372666666666</v>
      </c>
      <c r="O1515" s="10">
        <f t="shared" si="329"/>
        <v>0.2504037267</v>
      </c>
      <c r="Q1515" s="67">
        <v>3.1710186</v>
      </c>
      <c r="S1515" s="68">
        <v>0.0071029066</v>
      </c>
      <c r="T1515" s="68">
        <v>0.0066391371</v>
      </c>
      <c r="U1515" s="68">
        <v>2.3735883E-4</v>
      </c>
      <c r="V1515" s="68">
        <v>2.2641073E-4</v>
      </c>
      <c r="X1515" s="69">
        <v>1.4641728E-5</v>
      </c>
    </row>
    <row r="1516" ht="12.75" customHeight="1">
      <c r="A1516" s="1" t="s">
        <v>2185</v>
      </c>
      <c r="B1516" s="2" t="s">
        <v>2044</v>
      </c>
      <c r="C1516" s="60" t="str">
        <f t="shared" si="334"/>
        <v>B.044.01.242</v>
      </c>
      <c r="D1516" s="51" t="s">
        <v>2042</v>
      </c>
      <c r="E1516" s="62" t="s">
        <v>896</v>
      </c>
      <c r="F1516" s="63" t="str">
        <f t="shared" si="335"/>
        <v>Electricity Saint Kitts and Nevis production</v>
      </c>
      <c r="G1516" s="64">
        <v>0.043273701956</v>
      </c>
      <c r="H1516" s="10">
        <f t="shared" si="328"/>
        <v>0.04327370196</v>
      </c>
      <c r="I1516" s="65">
        <v>0.0027813153</v>
      </c>
      <c r="J1516" s="65">
        <v>0.0084690605</v>
      </c>
      <c r="K1516" s="65">
        <v>1.3966156E-5</v>
      </c>
      <c r="L1516" s="65">
        <v>0.03200936</v>
      </c>
      <c r="N1516" s="66">
        <v>0.21339573333333334</v>
      </c>
      <c r="O1516" s="10">
        <f t="shared" si="329"/>
        <v>0.2133957333</v>
      </c>
      <c r="Q1516" s="67">
        <v>2.7490571</v>
      </c>
      <c r="S1516" s="68">
        <v>0.0060526167</v>
      </c>
      <c r="T1516" s="68">
        <v>0.0056575189</v>
      </c>
      <c r="U1516" s="68">
        <v>2.0227614E-4</v>
      </c>
      <c r="V1516" s="68">
        <v>1.9282167E-4</v>
      </c>
      <c r="X1516" s="69">
        <v>1.2474816E-5</v>
      </c>
    </row>
    <row r="1517" ht="12.75" customHeight="1">
      <c r="A1517" s="1" t="s">
        <v>2186</v>
      </c>
      <c r="B1517" s="2" t="s">
        <v>2044</v>
      </c>
      <c r="C1517" s="60" t="str">
        <f t="shared" si="334"/>
        <v>B.044.01.243</v>
      </c>
      <c r="D1517" s="51" t="s">
        <v>2042</v>
      </c>
      <c r="E1517" s="62" t="s">
        <v>896</v>
      </c>
      <c r="F1517" s="63" t="str">
        <f t="shared" si="335"/>
        <v>Electricity Saint Lucia production</v>
      </c>
      <c r="G1517" s="64">
        <v>0.0441805383248</v>
      </c>
      <c r="H1517" s="10">
        <f t="shared" si="328"/>
        <v>0.04418053832</v>
      </c>
      <c r="I1517" s="65">
        <v>0.0028400633</v>
      </c>
      <c r="J1517" s="65">
        <v>0.008647219</v>
      </c>
      <c r="K1517" s="65">
        <v>7.0800248E-6</v>
      </c>
      <c r="L1517" s="65">
        <v>0.032686176</v>
      </c>
      <c r="N1517" s="66">
        <v>0.21790784</v>
      </c>
      <c r="O1517" s="10">
        <f t="shared" si="329"/>
        <v>0.21790784</v>
      </c>
      <c r="Q1517" s="67">
        <v>2.7850884</v>
      </c>
      <c r="S1517" s="68">
        <v>0.006180479</v>
      </c>
      <c r="T1517" s="68">
        <v>0.0057769803</v>
      </c>
      <c r="U1517" s="68">
        <v>2.0654716E-4</v>
      </c>
      <c r="V1517" s="68">
        <v>1.9695159E-4</v>
      </c>
      <c r="X1517" s="69">
        <v>1.2739551E-5</v>
      </c>
    </row>
    <row r="1518" ht="12.75" customHeight="1">
      <c r="A1518" s="1" t="s">
        <v>2187</v>
      </c>
      <c r="B1518" s="2" t="s">
        <v>2044</v>
      </c>
      <c r="C1518" s="60" t="str">
        <f t="shared" si="334"/>
        <v>B.044.01.244</v>
      </c>
      <c r="D1518" s="51" t="s">
        <v>2042</v>
      </c>
      <c r="E1518" s="62" t="s">
        <v>896</v>
      </c>
      <c r="F1518" s="63" t="str">
        <f t="shared" si="335"/>
        <v>Electricity Saint Pierre and Miquelon production</v>
      </c>
      <c r="G1518" s="64">
        <v>0.0444528464</v>
      </c>
      <c r="H1518" s="10">
        <f t="shared" si="328"/>
        <v>0.0444528464</v>
      </c>
      <c r="I1518" s="65">
        <v>0.0028581349</v>
      </c>
      <c r="J1518" s="65">
        <v>0.0087029325</v>
      </c>
      <c r="K1518" s="65">
        <v>0.0</v>
      </c>
      <c r="L1518" s="65">
        <v>0.032891779</v>
      </c>
      <c r="N1518" s="66">
        <v>0.2192785266666667</v>
      </c>
      <c r="O1518" s="10">
        <f t="shared" si="329"/>
        <v>0.2192785267</v>
      </c>
      <c r="Q1518" s="67">
        <v>2.7768608</v>
      </c>
      <c r="S1518" s="68">
        <v>0.0062200149</v>
      </c>
      <c r="T1518" s="68">
        <v>0.0058138919</v>
      </c>
      <c r="U1518" s="68">
        <v>2.0785512E-4</v>
      </c>
      <c r="V1518" s="68">
        <v>1.9826786E-4</v>
      </c>
      <c r="X1518" s="69">
        <v>1.282176E-5</v>
      </c>
    </row>
    <row r="1519" ht="12.75" customHeight="1">
      <c r="A1519" s="1" t="s">
        <v>2188</v>
      </c>
      <c r="B1519" s="2" t="s">
        <v>2044</v>
      </c>
      <c r="C1519" s="60" t="str">
        <f t="shared" si="334"/>
        <v>B.044.01.245</v>
      </c>
      <c r="D1519" s="51" t="s">
        <v>2042</v>
      </c>
      <c r="E1519" s="62" t="s">
        <v>896</v>
      </c>
      <c r="F1519" s="63" t="str">
        <f t="shared" si="335"/>
        <v>Electricity Saint Vincent and the Grenadines production</v>
      </c>
      <c r="G1519" s="64">
        <v>0.039321892728999996</v>
      </c>
      <c r="H1519" s="10">
        <f t="shared" si="328"/>
        <v>0.03932189273</v>
      </c>
      <c r="I1519" s="65">
        <v>0.0025245521</v>
      </c>
      <c r="J1519" s="65">
        <v>0.007684506799999999</v>
      </c>
      <c r="K1519" s="65">
        <v>2.7378829E-5</v>
      </c>
      <c r="L1519" s="65">
        <v>0.029085455</v>
      </c>
      <c r="N1519" s="66">
        <v>0.19390303333333334</v>
      </c>
      <c r="O1519" s="10">
        <f t="shared" si="329"/>
        <v>0.1939030333</v>
      </c>
      <c r="Q1519" s="67">
        <v>2.5942558</v>
      </c>
      <c r="S1519" s="68">
        <v>0.0054970025</v>
      </c>
      <c r="T1519" s="68">
        <v>0.0051381814</v>
      </c>
      <c r="U1519" s="68">
        <v>1.8374726E-4</v>
      </c>
      <c r="V1519" s="68">
        <v>1.7507385E-4</v>
      </c>
      <c r="X1519" s="69">
        <v>1.133007E-5</v>
      </c>
    </row>
    <row r="1520" ht="12.75" customHeight="1">
      <c r="A1520" s="1" t="s">
        <v>2189</v>
      </c>
      <c r="B1520" s="2" t="s">
        <v>2044</v>
      </c>
      <c r="C1520" s="60" t="str">
        <f t="shared" si="334"/>
        <v>B.044.01.246</v>
      </c>
      <c r="D1520" s="51" t="s">
        <v>2042</v>
      </c>
      <c r="E1520" s="62" t="s">
        <v>896</v>
      </c>
      <c r="F1520" s="63" t="str">
        <f t="shared" si="335"/>
        <v>Electricity Samoa production</v>
      </c>
      <c r="G1520" s="64">
        <v>0.027339359207</v>
      </c>
      <c r="H1520" s="10">
        <f t="shared" si="328"/>
        <v>0.02733935921</v>
      </c>
      <c r="I1520" s="65">
        <v>0.00196324476</v>
      </c>
      <c r="J1520" s="65">
        <v>0.0055665098</v>
      </c>
      <c r="K1520" s="65">
        <v>7.7165647E-5</v>
      </c>
      <c r="L1520" s="65">
        <v>0.019732439</v>
      </c>
      <c r="N1520" s="66">
        <v>0.13154959333333335</v>
      </c>
      <c r="O1520" s="10">
        <f t="shared" si="329"/>
        <v>0.1315495933</v>
      </c>
      <c r="Q1520" s="67">
        <v>2.2353775</v>
      </c>
      <c r="S1520" s="68">
        <v>0.0038055286</v>
      </c>
      <c r="T1520" s="68">
        <v>0.0035614935</v>
      </c>
      <c r="U1520" s="68">
        <v>1.2587521E-4</v>
      </c>
      <c r="V1520" s="68">
        <v>1.1815996E-4</v>
      </c>
      <c r="X1520" s="69">
        <v>7.8369928E-6</v>
      </c>
    </row>
    <row r="1521" ht="12.75" customHeight="1">
      <c r="A1521" s="1" t="s">
        <v>2190</v>
      </c>
      <c r="B1521" s="2" t="s">
        <v>2044</v>
      </c>
      <c r="C1521" s="60" t="str">
        <f t="shared" si="334"/>
        <v>B.044.01.247</v>
      </c>
      <c r="D1521" s="51" t="s">
        <v>2042</v>
      </c>
      <c r="E1521" s="62" t="s">
        <v>896</v>
      </c>
      <c r="F1521" s="63" t="str">
        <f t="shared" si="335"/>
        <v>Electricity Sao Tome and Principe production</v>
      </c>
      <c r="G1521" s="64">
        <v>0.045188633803</v>
      </c>
      <c r="H1521" s="10">
        <f t="shared" si="328"/>
        <v>0.0451886338</v>
      </c>
      <c r="I1521" s="65">
        <v>0.0029020023</v>
      </c>
      <c r="J1521" s="65">
        <v>0.008834007599999999</v>
      </c>
      <c r="K1521" s="65">
        <v>2.5572903E-5</v>
      </c>
      <c r="L1521" s="65">
        <v>0.033427051</v>
      </c>
      <c r="N1521" s="66">
        <v>0.22284700666666668</v>
      </c>
      <c r="O1521" s="10">
        <f t="shared" si="329"/>
        <v>0.2228470067</v>
      </c>
      <c r="Q1521" s="67">
        <v>2.9516399</v>
      </c>
      <c r="S1521" s="68">
        <v>0.006318234</v>
      </c>
      <c r="T1521" s="68">
        <v>0.005905786</v>
      </c>
      <c r="U1521" s="68">
        <v>2.1118696E-4</v>
      </c>
      <c r="V1521" s="68">
        <v>2.0126098E-4</v>
      </c>
      <c r="X1521" s="69">
        <v>1.3023018E-5</v>
      </c>
    </row>
    <row r="1522" ht="12.75" customHeight="1">
      <c r="A1522" s="1" t="s">
        <v>2191</v>
      </c>
      <c r="B1522" s="2" t="s">
        <v>2044</v>
      </c>
      <c r="C1522" s="60" t="str">
        <f t="shared" si="334"/>
        <v>B.044.01.248</v>
      </c>
      <c r="D1522" s="51" t="s">
        <v>2042</v>
      </c>
      <c r="E1522" s="62" t="s">
        <v>896</v>
      </c>
      <c r="F1522" s="63" t="str">
        <f t="shared" si="335"/>
        <v>Electricity Saudi Arabia production</v>
      </c>
      <c r="G1522" s="64">
        <v>0.0435811005771</v>
      </c>
      <c r="H1522" s="10">
        <f t="shared" si="328"/>
        <v>0.04358110058</v>
      </c>
      <c r="I1522" s="65">
        <v>0.0039284814</v>
      </c>
      <c r="J1522" s="65">
        <v>0.0073157308</v>
      </c>
      <c r="K1522" s="65">
        <v>6.3893771E-6</v>
      </c>
      <c r="L1522" s="65">
        <v>0.032330499</v>
      </c>
      <c r="N1522" s="66">
        <v>0.21553666</v>
      </c>
      <c r="O1522" s="10">
        <f t="shared" si="329"/>
        <v>0.21553666</v>
      </c>
      <c r="Q1522" s="67">
        <v>2.6071676</v>
      </c>
      <c r="S1522" s="68">
        <v>0.0053898407</v>
      </c>
      <c r="T1522" s="68">
        <v>0.0050365225</v>
      </c>
      <c r="U1522" s="68">
        <v>1.9281614E-4</v>
      </c>
      <c r="V1522" s="68">
        <v>1.6050208E-4</v>
      </c>
      <c r="X1522" s="69">
        <v>1.1976852E-5</v>
      </c>
    </row>
    <row r="1523" ht="12.75" customHeight="1">
      <c r="A1523" s="1" t="s">
        <v>2192</v>
      </c>
      <c r="B1523" s="2" t="s">
        <v>2044</v>
      </c>
      <c r="C1523" s="60" t="str">
        <f t="shared" si="334"/>
        <v>B.044.01.249</v>
      </c>
      <c r="D1523" s="51" t="s">
        <v>2042</v>
      </c>
      <c r="E1523" s="62" t="s">
        <v>896</v>
      </c>
      <c r="F1523" s="63" t="str">
        <f t="shared" si="335"/>
        <v>Electricity Senegal production</v>
      </c>
      <c r="G1523" s="64">
        <v>0.0389326148</v>
      </c>
      <c r="H1523" s="10">
        <f t="shared" si="328"/>
        <v>0.0389326148</v>
      </c>
      <c r="I1523" s="65">
        <v>0.0025839193</v>
      </c>
      <c r="J1523" s="65">
        <v>0.0073623205</v>
      </c>
      <c r="K1523" s="65">
        <v>6.136E-5</v>
      </c>
      <c r="L1523" s="65">
        <v>0.028925015</v>
      </c>
      <c r="N1523" s="66">
        <v>0.19283343333333333</v>
      </c>
      <c r="O1523" s="10">
        <f t="shared" si="329"/>
        <v>0.1928334333</v>
      </c>
      <c r="Q1523" s="67">
        <v>2.684917</v>
      </c>
      <c r="S1523" s="68">
        <v>0.0053468915</v>
      </c>
      <c r="T1523" s="68">
        <v>0.0050062183</v>
      </c>
      <c r="U1523" s="68">
        <v>1.8082665E-4</v>
      </c>
      <c r="V1523" s="68">
        <v>1.5984652E-4</v>
      </c>
      <c r="X1523" s="69">
        <v>1.1143021E-5</v>
      </c>
    </row>
    <row r="1524" ht="12.75" customHeight="1">
      <c r="A1524" s="1" t="s">
        <v>2193</v>
      </c>
      <c r="B1524" s="2" t="s">
        <v>2044</v>
      </c>
      <c r="C1524" s="60" t="str">
        <f t="shared" si="334"/>
        <v>B.044.01.250</v>
      </c>
      <c r="D1524" s="51" t="s">
        <v>2042</v>
      </c>
      <c r="E1524" s="62" t="s">
        <v>896</v>
      </c>
      <c r="F1524" s="63" t="str">
        <f t="shared" si="335"/>
        <v>Electricity Serbia production</v>
      </c>
      <c r="G1524" s="64">
        <v>0.03791263392</v>
      </c>
      <c r="H1524" s="10">
        <f t="shared" si="328"/>
        <v>0.03791263392</v>
      </c>
      <c r="I1524" s="65">
        <v>0.0029095083</v>
      </c>
      <c r="J1524" s="65">
        <v>0.004195809599999999</v>
      </c>
      <c r="K1524" s="65">
        <v>7.017402E-5</v>
      </c>
      <c r="L1524" s="65">
        <v>0.030737142</v>
      </c>
      <c r="N1524" s="66">
        <v>0.20491428</v>
      </c>
      <c r="O1524" s="10">
        <f t="shared" si="329"/>
        <v>0.20491428</v>
      </c>
      <c r="Q1524" s="67">
        <v>2.5743589</v>
      </c>
      <c r="S1524" s="68">
        <v>0.0043171727</v>
      </c>
      <c r="T1524" s="68">
        <v>0.0041118973</v>
      </c>
      <c r="U1524" s="68">
        <v>1.702265E-4</v>
      </c>
      <c r="V1524" s="68">
        <v>3.504889E-5</v>
      </c>
      <c r="X1524" s="69">
        <v>1.0303148E-5</v>
      </c>
    </row>
    <row r="1525" ht="12.75" customHeight="1">
      <c r="A1525" s="1" t="s">
        <v>2194</v>
      </c>
      <c r="B1525" s="2" t="s">
        <v>2044</v>
      </c>
      <c r="C1525" s="60" t="str">
        <f t="shared" si="334"/>
        <v>B.044.01.251</v>
      </c>
      <c r="D1525" s="51" t="s">
        <v>2042</v>
      </c>
      <c r="E1525" s="62" t="s">
        <v>896</v>
      </c>
      <c r="F1525" s="63" t="str">
        <f t="shared" si="335"/>
        <v>Electricity Seychelles production</v>
      </c>
      <c r="G1525" s="64">
        <v>0.048109350224</v>
      </c>
      <c r="H1525" s="10">
        <f t="shared" si="328"/>
        <v>0.04810935022</v>
      </c>
      <c r="I1525" s="65">
        <v>0.0030892665</v>
      </c>
      <c r="J1525" s="65">
        <v>0.0094024324</v>
      </c>
      <c r="K1525" s="65">
        <v>5.0439324E-5</v>
      </c>
      <c r="L1525" s="65">
        <v>0.035567212</v>
      </c>
      <c r="N1525" s="66">
        <v>0.23711474666666668</v>
      </c>
      <c r="O1525" s="10">
        <f t="shared" si="329"/>
        <v>0.2371147467</v>
      </c>
      <c r="Q1525" s="67">
        <v>3.1833788</v>
      </c>
      <c r="S1525" s="68">
        <v>0.0067216163</v>
      </c>
      <c r="T1525" s="68">
        <v>0.0062830519</v>
      </c>
      <c r="U1525" s="68">
        <v>2.2470657E-4</v>
      </c>
      <c r="V1525" s="68">
        <v>2.1385775E-4</v>
      </c>
      <c r="X1525" s="69">
        <v>1.3850479E-5</v>
      </c>
    </row>
    <row r="1526" ht="12.75" customHeight="1">
      <c r="A1526" s="1" t="s">
        <v>2195</v>
      </c>
      <c r="B1526" s="2" t="s">
        <v>2044</v>
      </c>
      <c r="C1526" s="60" t="str">
        <f t="shared" si="334"/>
        <v>B.044.01.252</v>
      </c>
      <c r="D1526" s="51" t="s">
        <v>2042</v>
      </c>
      <c r="E1526" s="62" t="s">
        <v>896</v>
      </c>
      <c r="F1526" s="63" t="str">
        <f t="shared" si="335"/>
        <v>Electricity Sierra Leone production</v>
      </c>
      <c r="G1526" s="64">
        <v>0.0030278160530000002</v>
      </c>
      <c r="H1526" s="10">
        <f t="shared" si="328"/>
        <v>0.003027816053</v>
      </c>
      <c r="I1526" s="65">
        <v>1.6573029300000002E-4</v>
      </c>
      <c r="J1526" s="65">
        <v>4.8242584E-4</v>
      </c>
      <c r="K1526" s="65">
        <v>2.2750762E-4</v>
      </c>
      <c r="L1526" s="65">
        <v>0.0021521523</v>
      </c>
      <c r="N1526" s="66">
        <v>0.014347682000000002</v>
      </c>
      <c r="O1526" s="10">
        <f t="shared" si="329"/>
        <v>0.014347682</v>
      </c>
      <c r="Q1526" s="67">
        <v>1.2906302</v>
      </c>
      <c r="S1526" s="68">
        <v>3.8101569E-4</v>
      </c>
      <c r="T1526" s="68">
        <v>3.570001E-4</v>
      </c>
      <c r="U1526" s="68">
        <v>1.3171863E-5</v>
      </c>
      <c r="V1526" s="68">
        <v>1.0843731E-5</v>
      </c>
      <c r="X1526" s="69">
        <v>7.730626E-7</v>
      </c>
    </row>
    <row r="1527" ht="12.75" customHeight="1">
      <c r="A1527" s="1" t="s">
        <v>2196</v>
      </c>
      <c r="B1527" s="2" t="s">
        <v>2044</v>
      </c>
      <c r="C1527" s="60" t="str">
        <f t="shared" si="334"/>
        <v>B.044.01.253</v>
      </c>
      <c r="D1527" s="51" t="s">
        <v>2042</v>
      </c>
      <c r="E1527" s="62" t="s">
        <v>896</v>
      </c>
      <c r="F1527" s="63" t="str">
        <f t="shared" si="335"/>
        <v>Electricity Singapore production</v>
      </c>
      <c r="G1527" s="64">
        <v>0.038016892356900006</v>
      </c>
      <c r="H1527" s="10">
        <f t="shared" si="328"/>
        <v>0.03801689236</v>
      </c>
      <c r="I1527" s="65">
        <v>0.0040297543000000005</v>
      </c>
      <c r="J1527" s="65">
        <v>0.0058872129</v>
      </c>
      <c r="K1527" s="65">
        <v>5.8451569E-6</v>
      </c>
      <c r="L1527" s="65">
        <v>0.02809408</v>
      </c>
      <c r="N1527" s="66">
        <v>0.18729386666666667</v>
      </c>
      <c r="O1527" s="10">
        <f t="shared" si="329"/>
        <v>0.1872938667</v>
      </c>
      <c r="Q1527" s="67">
        <v>2.2890083</v>
      </c>
      <c r="S1527" s="68">
        <v>0.0043661511</v>
      </c>
      <c r="T1527" s="68">
        <v>0.0040818611</v>
      </c>
      <c r="U1527" s="68">
        <v>1.6250744E-4</v>
      </c>
      <c r="V1527" s="68">
        <v>1.2178259E-4</v>
      </c>
      <c r="X1527" s="69">
        <v>1.0167092E-5</v>
      </c>
    </row>
    <row r="1528" ht="12.75" customHeight="1">
      <c r="A1528" s="1" t="s">
        <v>2197</v>
      </c>
      <c r="B1528" s="2" t="s">
        <v>2044</v>
      </c>
      <c r="C1528" s="60" t="str">
        <f t="shared" si="334"/>
        <v>B.044.01.254</v>
      </c>
      <c r="D1528" s="51" t="s">
        <v>2042</v>
      </c>
      <c r="E1528" s="62" t="s">
        <v>896</v>
      </c>
      <c r="F1528" s="63" t="str">
        <f t="shared" si="335"/>
        <v>Electricity Solomon Islands production</v>
      </c>
      <c r="G1528" s="64">
        <v>0.040214859325</v>
      </c>
      <c r="H1528" s="10">
        <f t="shared" si="328"/>
        <v>0.04021485933</v>
      </c>
      <c r="I1528" s="65">
        <v>0.0025836537</v>
      </c>
      <c r="J1528" s="65">
        <v>0.0078647123</v>
      </c>
      <c r="K1528" s="65">
        <v>2.5095325E-5</v>
      </c>
      <c r="L1528" s="65">
        <v>0.029741398</v>
      </c>
      <c r="N1528" s="66">
        <v>0.19827598666666665</v>
      </c>
      <c r="O1528" s="10">
        <f t="shared" si="329"/>
        <v>0.1982759867</v>
      </c>
      <c r="Q1528" s="67">
        <v>2.601581</v>
      </c>
      <c r="S1528" s="68">
        <v>0.0056219384</v>
      </c>
      <c r="T1528" s="68">
        <v>0.0052550174</v>
      </c>
      <c r="U1528" s="68">
        <v>1.8791595E-4</v>
      </c>
      <c r="V1528" s="68">
        <v>1.790051E-4</v>
      </c>
      <c r="X1528" s="69">
        <v>1.1586383E-5</v>
      </c>
    </row>
    <row r="1529" ht="12.75" customHeight="1">
      <c r="A1529" s="1" t="s">
        <v>2198</v>
      </c>
      <c r="B1529" s="2" t="s">
        <v>2044</v>
      </c>
      <c r="C1529" s="60" t="str">
        <f t="shared" si="334"/>
        <v>B.044.01.255</v>
      </c>
      <c r="D1529" s="51" t="s">
        <v>2042</v>
      </c>
      <c r="E1529" s="62" t="s">
        <v>896</v>
      </c>
      <c r="F1529" s="63" t="str">
        <f t="shared" si="335"/>
        <v>Electricity Somalia production</v>
      </c>
      <c r="G1529" s="64">
        <v>0.04550052173</v>
      </c>
      <c r="H1529" s="10">
        <f t="shared" si="328"/>
        <v>0.04550052173</v>
      </c>
      <c r="I1529" s="65">
        <v>0.0029202088</v>
      </c>
      <c r="J1529" s="65">
        <v>0.0088863199</v>
      </c>
      <c r="K1529" s="65">
        <v>6.733103E-5</v>
      </c>
      <c r="L1529" s="65">
        <v>0.033626662</v>
      </c>
      <c r="N1529" s="66">
        <v>0.22417774666666668</v>
      </c>
      <c r="O1529" s="10">
        <f t="shared" si="329"/>
        <v>0.2241777467</v>
      </c>
      <c r="Q1529" s="67">
        <v>3.0797777</v>
      </c>
      <c r="S1529" s="68">
        <v>0.0063532495</v>
      </c>
      <c r="T1529" s="68">
        <v>0.0059388414</v>
      </c>
      <c r="U1529" s="68">
        <v>2.1242595E-4</v>
      </c>
      <c r="V1529" s="68">
        <v>2.0198215E-4</v>
      </c>
      <c r="X1529" s="69">
        <v>1.308934E-5</v>
      </c>
    </row>
    <row r="1530" ht="12.75" customHeight="1">
      <c r="A1530" s="1" t="s">
        <v>2199</v>
      </c>
      <c r="B1530" s="2" t="s">
        <v>2044</v>
      </c>
      <c r="C1530" s="60" t="str">
        <f t="shared" si="334"/>
        <v>B.044.01.256</v>
      </c>
      <c r="D1530" s="51" t="s">
        <v>2042</v>
      </c>
      <c r="E1530" s="62" t="s">
        <v>896</v>
      </c>
      <c r="F1530" s="63" t="str">
        <f t="shared" si="335"/>
        <v>Electricity South Africa production</v>
      </c>
      <c r="G1530" s="64">
        <v>0.046697202178000004</v>
      </c>
      <c r="H1530" s="10">
        <f t="shared" si="328"/>
        <v>0.04669720218</v>
      </c>
      <c r="I1530" s="65">
        <v>0.00231051685</v>
      </c>
      <c r="J1530" s="65">
        <v>0.0047685887</v>
      </c>
      <c r="K1530" s="65">
        <v>9.98084628E-4</v>
      </c>
      <c r="L1530" s="65">
        <v>0.038620012</v>
      </c>
      <c r="N1530" s="66">
        <v>0.2574667466666667</v>
      </c>
      <c r="O1530" s="10">
        <f t="shared" si="329"/>
        <v>0.2574667467</v>
      </c>
      <c r="Q1530" s="67">
        <v>3.042516</v>
      </c>
      <c r="S1530" s="68">
        <v>0.0050030562</v>
      </c>
      <c r="T1530" s="68">
        <v>0.0047538416</v>
      </c>
      <c r="U1530" s="68">
        <v>2.1170415E-4</v>
      </c>
      <c r="V1530" s="68">
        <v>3.7510532E-5</v>
      </c>
      <c r="X1530" s="69">
        <v>1.1932548E-5</v>
      </c>
    </row>
    <row r="1531" ht="12.75" customHeight="1">
      <c r="A1531" s="1" t="s">
        <v>2200</v>
      </c>
      <c r="B1531" s="2" t="s">
        <v>2044</v>
      </c>
      <c r="C1531" s="60" t="str">
        <f t="shared" si="334"/>
        <v>B.044.01.257</v>
      </c>
      <c r="D1531" s="51" t="s">
        <v>2042</v>
      </c>
      <c r="E1531" s="62" t="s">
        <v>896</v>
      </c>
      <c r="F1531" s="63" t="str">
        <f t="shared" si="335"/>
        <v>Electricity South Korea production</v>
      </c>
      <c r="G1531" s="64">
        <v>0.031885551590000005</v>
      </c>
      <c r="H1531" s="10">
        <f t="shared" si="328"/>
        <v>0.03188555159</v>
      </c>
      <c r="I1531" s="65">
        <v>9.554385700000001E-4</v>
      </c>
      <c r="J1531" s="65">
        <v>0.00192847658</v>
      </c>
      <c r="K1531" s="65">
        <v>0.00774482544</v>
      </c>
      <c r="L1531" s="65">
        <v>0.021256811</v>
      </c>
      <c r="N1531" s="66">
        <v>0.14171207333333335</v>
      </c>
      <c r="O1531" s="10">
        <f t="shared" si="329"/>
        <v>0.1417120733</v>
      </c>
      <c r="Q1531" s="67">
        <v>2.8028833</v>
      </c>
      <c r="S1531" s="68">
        <v>0.0027170347</v>
      </c>
      <c r="T1531" s="68">
        <v>0.0025551247</v>
      </c>
      <c r="U1531" s="68">
        <v>1.1465096E-4</v>
      </c>
      <c r="V1531" s="68">
        <v>4.7258978E-5</v>
      </c>
      <c r="X1531" s="69">
        <v>7.7573517E-6</v>
      </c>
    </row>
    <row r="1532" ht="12.75" customHeight="1">
      <c r="A1532" s="1" t="s">
        <v>2201</v>
      </c>
      <c r="B1532" s="2" t="s">
        <v>2044</v>
      </c>
      <c r="C1532" s="60" t="str">
        <f t="shared" si="334"/>
        <v>B.044.01.258</v>
      </c>
      <c r="D1532" s="51" t="s">
        <v>2042</v>
      </c>
      <c r="E1532" s="62" t="s">
        <v>896</v>
      </c>
      <c r="F1532" s="63" t="str">
        <f t="shared" si="335"/>
        <v>Electricity South Sudan production</v>
      </c>
      <c r="G1532" s="64">
        <v>0.041213699916</v>
      </c>
      <c r="H1532" s="10">
        <f t="shared" si="328"/>
        <v>0.04121369992</v>
      </c>
      <c r="I1532" s="65">
        <v>0.0026483825</v>
      </c>
      <c r="J1532" s="65">
        <v>0.0080624285</v>
      </c>
      <c r="K1532" s="65">
        <v>1.8714916E-5</v>
      </c>
      <c r="L1532" s="65">
        <v>0.030484174</v>
      </c>
      <c r="N1532" s="66">
        <v>0.20322782666666667</v>
      </c>
      <c r="O1532" s="10">
        <f t="shared" si="329"/>
        <v>0.2032278267</v>
      </c>
      <c r="Q1532" s="67">
        <v>2.641232</v>
      </c>
      <c r="S1532" s="68">
        <v>0.005762992</v>
      </c>
      <c r="T1532" s="68">
        <v>0.0053868225</v>
      </c>
      <c r="U1532" s="68">
        <v>1.9261765E-4</v>
      </c>
      <c r="V1532" s="68">
        <v>1.8355179E-4</v>
      </c>
      <c r="X1532" s="69">
        <v>1.1877787E-5</v>
      </c>
    </row>
    <row r="1533" ht="12.75" customHeight="1">
      <c r="A1533" s="1" t="s">
        <v>2202</v>
      </c>
      <c r="B1533" s="2" t="s">
        <v>2044</v>
      </c>
      <c r="C1533" s="60" t="str">
        <f t="shared" si="334"/>
        <v>B.044.01.259</v>
      </c>
      <c r="D1533" s="51" t="s">
        <v>2042</v>
      </c>
      <c r="E1533" s="62" t="s">
        <v>896</v>
      </c>
      <c r="F1533" s="63" t="str">
        <f t="shared" si="335"/>
        <v>Electricity Sri Lanka production</v>
      </c>
      <c r="G1533" s="64">
        <v>0.02348546617</v>
      </c>
      <c r="H1533" s="10">
        <f t="shared" si="328"/>
        <v>0.02348546617</v>
      </c>
      <c r="I1533" s="65">
        <v>0.00169943294</v>
      </c>
      <c r="J1533" s="65">
        <v>0.0030007721</v>
      </c>
      <c r="K1533" s="65">
        <v>1.2601513E-4</v>
      </c>
      <c r="L1533" s="65">
        <v>0.018659246</v>
      </c>
      <c r="N1533" s="66">
        <v>0.12439497333333334</v>
      </c>
      <c r="O1533" s="10">
        <f t="shared" si="329"/>
        <v>0.1243949733</v>
      </c>
      <c r="Q1533" s="67">
        <v>1.9958098</v>
      </c>
      <c r="S1533" s="68">
        <v>0.0028026691</v>
      </c>
      <c r="T1533" s="68">
        <v>0.0026592496</v>
      </c>
      <c r="U1533" s="68">
        <v>1.0625603E-4</v>
      </c>
      <c r="V1533" s="68">
        <v>3.7163423E-5</v>
      </c>
      <c r="X1533" s="69">
        <v>6.4399696E-6</v>
      </c>
    </row>
    <row r="1534" ht="12.75" customHeight="1">
      <c r="A1534" s="1" t="s">
        <v>2203</v>
      </c>
      <c r="B1534" s="2" t="s">
        <v>2044</v>
      </c>
      <c r="C1534" s="60" t="str">
        <f t="shared" si="334"/>
        <v>B.044.01.260</v>
      </c>
      <c r="D1534" s="51" t="s">
        <v>2042</v>
      </c>
      <c r="E1534" s="62" t="s">
        <v>896</v>
      </c>
      <c r="F1534" s="63" t="str">
        <f t="shared" si="335"/>
        <v>Electricity Sudan production</v>
      </c>
      <c r="G1534" s="64">
        <v>0.0167754035</v>
      </c>
      <c r="H1534" s="10">
        <f t="shared" si="328"/>
        <v>0.0167754035</v>
      </c>
      <c r="I1534" s="65">
        <v>0.00108152947</v>
      </c>
      <c r="J1534" s="65">
        <v>0.00322730032</v>
      </c>
      <c r="K1534" s="65">
        <v>1.7234871E-4</v>
      </c>
      <c r="L1534" s="65">
        <v>0.012294225</v>
      </c>
      <c r="N1534" s="66">
        <v>0.0819615</v>
      </c>
      <c r="O1534" s="10">
        <f t="shared" si="329"/>
        <v>0.0819615</v>
      </c>
      <c r="Q1534" s="67">
        <v>1.9353388</v>
      </c>
      <c r="S1534" s="68">
        <v>0.002314714</v>
      </c>
      <c r="T1534" s="68">
        <v>0.0021646757</v>
      </c>
      <c r="U1534" s="68">
        <v>7.7510361E-5</v>
      </c>
      <c r="V1534" s="68">
        <v>7.2527976E-5</v>
      </c>
      <c r="X1534" s="69">
        <v>4.7629496E-6</v>
      </c>
    </row>
    <row r="1535" ht="12.75" customHeight="1">
      <c r="A1535" s="1" t="s">
        <v>2204</v>
      </c>
      <c r="B1535" s="2" t="s">
        <v>2044</v>
      </c>
      <c r="C1535" s="60" t="str">
        <f t="shared" si="334"/>
        <v>B.044.01.261</v>
      </c>
      <c r="D1535" s="51" t="s">
        <v>2042</v>
      </c>
      <c r="E1535" s="62" t="s">
        <v>896</v>
      </c>
      <c r="F1535" s="63" t="str">
        <f t="shared" si="335"/>
        <v>Electricity Suriname production</v>
      </c>
      <c r="G1535" s="64">
        <v>0.027619808529999998</v>
      </c>
      <c r="H1535" s="10">
        <f t="shared" si="328"/>
        <v>0.02761980853</v>
      </c>
      <c r="I1535" s="65">
        <v>0.00179680971</v>
      </c>
      <c r="J1535" s="65">
        <v>0.0053608384</v>
      </c>
      <c r="K1535" s="65">
        <v>9.294542E-5</v>
      </c>
      <c r="L1535" s="65">
        <v>0.020369215</v>
      </c>
      <c r="N1535" s="66">
        <v>0.13579476666666668</v>
      </c>
      <c r="O1535" s="10">
        <f t="shared" si="329"/>
        <v>0.1357947667</v>
      </c>
      <c r="Q1535" s="67">
        <v>2.204085</v>
      </c>
      <c r="S1535" s="68">
        <v>0.0038363271</v>
      </c>
      <c r="T1535" s="68">
        <v>0.0035864546</v>
      </c>
      <c r="U1535" s="68">
        <v>1.284622E-4</v>
      </c>
      <c r="V1535" s="68">
        <v>1.2141029E-4</v>
      </c>
      <c r="X1535" s="69">
        <v>7.9166381E-6</v>
      </c>
    </row>
    <row r="1536" ht="12.75" customHeight="1">
      <c r="A1536" s="1" t="s">
        <v>2205</v>
      </c>
      <c r="B1536" s="2" t="s">
        <v>2044</v>
      </c>
      <c r="C1536" s="60" t="str">
        <f t="shared" si="334"/>
        <v>B.044.01.262</v>
      </c>
      <c r="D1536" s="51" t="s">
        <v>2042</v>
      </c>
      <c r="E1536" s="62" t="s">
        <v>896</v>
      </c>
      <c r="F1536" s="63" t="str">
        <f t="shared" si="335"/>
        <v>Electricity Syria production</v>
      </c>
      <c r="G1536" s="64">
        <v>0.049938983798000006</v>
      </c>
      <c r="H1536" s="10">
        <f t="shared" si="328"/>
        <v>0.0499389838</v>
      </c>
      <c r="I1536" s="65">
        <v>0.0040005886</v>
      </c>
      <c r="J1536" s="65">
        <v>0.0089322572</v>
      </c>
      <c r="K1536" s="65">
        <v>1.0774998E-5</v>
      </c>
      <c r="L1536" s="65">
        <v>0.036995363</v>
      </c>
      <c r="N1536" s="66">
        <v>0.24663575333333337</v>
      </c>
      <c r="O1536" s="10">
        <f t="shared" si="329"/>
        <v>0.2466357533</v>
      </c>
      <c r="Q1536" s="67">
        <v>3.080689</v>
      </c>
      <c r="S1536" s="68">
        <v>0.0064928876</v>
      </c>
      <c r="T1536" s="68">
        <v>0.0060680977</v>
      </c>
      <c r="U1536" s="68">
        <v>2.2579933E-4</v>
      </c>
      <c r="V1536" s="68">
        <v>1.989906E-4</v>
      </c>
      <c r="X1536" s="69">
        <v>1.3987792E-5</v>
      </c>
    </row>
    <row r="1537" ht="12.75" customHeight="1">
      <c r="A1537" s="1" t="s">
        <v>2206</v>
      </c>
      <c r="B1537" s="2" t="s">
        <v>2044</v>
      </c>
      <c r="C1537" s="60" t="str">
        <f t="shared" si="334"/>
        <v>B.044.01.263</v>
      </c>
      <c r="D1537" s="51" t="s">
        <v>2042</v>
      </c>
      <c r="E1537" s="62" t="s">
        <v>896</v>
      </c>
      <c r="F1537" s="63" t="str">
        <f t="shared" si="335"/>
        <v>Electricity Taiwan production</v>
      </c>
      <c r="G1537" s="64">
        <v>0.040149971534000004</v>
      </c>
      <c r="H1537" s="10">
        <f t="shared" si="328"/>
        <v>0.04014997153</v>
      </c>
      <c r="I1537" s="65">
        <v>0.0034644466</v>
      </c>
      <c r="J1537" s="65">
        <v>0.005077065800000001</v>
      </c>
      <c r="K1537" s="65">
        <v>0.001109682134</v>
      </c>
      <c r="L1537" s="65">
        <v>0.030498777</v>
      </c>
      <c r="N1537" s="66">
        <v>0.20332518000000002</v>
      </c>
      <c r="O1537" s="10">
        <f t="shared" si="329"/>
        <v>0.20332518</v>
      </c>
      <c r="Q1537" s="67">
        <v>2.5375124</v>
      </c>
      <c r="S1537" s="68">
        <v>0.0044747876</v>
      </c>
      <c r="T1537" s="68">
        <v>0.0042270563</v>
      </c>
      <c r="U1537" s="68">
        <v>1.7208271E-4</v>
      </c>
      <c r="V1537" s="68">
        <v>7.564851E-5</v>
      </c>
      <c r="X1537" s="69">
        <v>1.0742168E-5</v>
      </c>
    </row>
    <row r="1538" ht="12.75" customHeight="1">
      <c r="A1538" s="1" t="s">
        <v>2207</v>
      </c>
      <c r="B1538" s="2" t="s">
        <v>2044</v>
      </c>
      <c r="C1538" s="60" t="str">
        <f t="shared" si="334"/>
        <v>B.044.01.264</v>
      </c>
      <c r="D1538" s="51" t="s">
        <v>2042</v>
      </c>
      <c r="E1538" s="62" t="s">
        <v>896</v>
      </c>
      <c r="F1538" s="63" t="str">
        <f t="shared" si="335"/>
        <v>Electricity Tajikistan production</v>
      </c>
      <c r="G1538" s="64">
        <v>0.0066978223100000005</v>
      </c>
      <c r="H1538" s="10">
        <f t="shared" si="328"/>
        <v>0.00669782231</v>
      </c>
      <c r="I1538" s="65">
        <v>4.9355445E-4</v>
      </c>
      <c r="J1538" s="65">
        <v>7.005042000000001E-4</v>
      </c>
      <c r="K1538" s="65">
        <v>2.1017476E-4</v>
      </c>
      <c r="L1538" s="65">
        <v>0.0052935889</v>
      </c>
      <c r="N1538" s="66">
        <v>0.03529059266666667</v>
      </c>
      <c r="O1538" s="10">
        <f t="shared" si="329"/>
        <v>0.03529059267</v>
      </c>
      <c r="Q1538" s="67">
        <v>1.4516217</v>
      </c>
      <c r="S1538" s="68">
        <v>7.3879153E-4</v>
      </c>
      <c r="T1538" s="68">
        <v>7.0252274E-4</v>
      </c>
      <c r="U1538" s="68">
        <v>2.9223637E-5</v>
      </c>
      <c r="V1538" s="68">
        <v>7.0451542E-6</v>
      </c>
      <c r="X1538" s="69">
        <v>1.7403039E-6</v>
      </c>
    </row>
    <row r="1539" ht="12.75" customHeight="1">
      <c r="A1539" s="1" t="s">
        <v>2208</v>
      </c>
      <c r="B1539" s="2" t="s">
        <v>2044</v>
      </c>
      <c r="C1539" s="60" t="str">
        <f t="shared" si="334"/>
        <v>B.044.01.265</v>
      </c>
      <c r="D1539" s="51" t="s">
        <v>2042</v>
      </c>
      <c r="E1539" s="62" t="s">
        <v>896</v>
      </c>
      <c r="F1539" s="63" t="str">
        <f t="shared" si="335"/>
        <v>Electricity Tanzania production</v>
      </c>
      <c r="G1539" s="64">
        <v>0.036314937543</v>
      </c>
      <c r="H1539" s="10">
        <f t="shared" si="328"/>
        <v>0.03631493754</v>
      </c>
      <c r="I1539" s="65">
        <v>0.0038202339</v>
      </c>
      <c r="J1539" s="65">
        <v>0.0055244766</v>
      </c>
      <c r="K1539" s="65">
        <v>5.9007043E-5</v>
      </c>
      <c r="L1539" s="65">
        <v>0.02691122</v>
      </c>
      <c r="N1539" s="66">
        <v>0.17940813333333333</v>
      </c>
      <c r="O1539" s="10">
        <f t="shared" si="329"/>
        <v>0.1794081333</v>
      </c>
      <c r="Q1539" s="67">
        <v>2.4066946</v>
      </c>
      <c r="S1539" s="68">
        <v>0.0041482156</v>
      </c>
      <c r="T1539" s="68">
        <v>0.0038761558</v>
      </c>
      <c r="U1539" s="68">
        <v>1.5511947E-4</v>
      </c>
      <c r="V1539" s="68">
        <v>1.1694036E-4</v>
      </c>
      <c r="X1539" s="69">
        <v>9.6783192E-6</v>
      </c>
    </row>
    <row r="1540" ht="12.75" customHeight="1">
      <c r="A1540" s="1" t="s">
        <v>2209</v>
      </c>
      <c r="B1540" s="2" t="s">
        <v>2044</v>
      </c>
      <c r="C1540" s="60" t="str">
        <f t="shared" si="334"/>
        <v>B.044.01.266</v>
      </c>
      <c r="D1540" s="51" t="s">
        <v>2042</v>
      </c>
      <c r="E1540" s="62" t="s">
        <v>896</v>
      </c>
      <c r="F1540" s="63" t="str">
        <f t="shared" si="335"/>
        <v>Electricity Thailand production</v>
      </c>
      <c r="G1540" s="64">
        <v>0.038680396617</v>
      </c>
      <c r="H1540" s="10">
        <f t="shared" si="328"/>
        <v>0.03868039662</v>
      </c>
      <c r="I1540" s="65">
        <v>0.003989653</v>
      </c>
      <c r="J1540" s="65">
        <v>0.005753009</v>
      </c>
      <c r="K1540" s="65">
        <v>2.1579617E-5</v>
      </c>
      <c r="L1540" s="65">
        <v>0.028916155</v>
      </c>
      <c r="N1540" s="66">
        <v>0.19277436666666667</v>
      </c>
      <c r="O1540" s="10">
        <f t="shared" si="329"/>
        <v>0.1927743667</v>
      </c>
      <c r="Q1540" s="67">
        <v>2.5227206</v>
      </c>
      <c r="S1540" s="68">
        <v>0.0044255606</v>
      </c>
      <c r="T1540" s="68">
        <v>0.004158635</v>
      </c>
      <c r="U1540" s="68">
        <v>1.6611504E-4</v>
      </c>
      <c r="V1540" s="68">
        <v>1.0081048E-4</v>
      </c>
      <c r="X1540" s="69">
        <v>1.0371354E-5</v>
      </c>
    </row>
    <row r="1541" ht="12.75" customHeight="1">
      <c r="A1541" s="1" t="s">
        <v>2210</v>
      </c>
      <c r="B1541" s="2" t="s">
        <v>2044</v>
      </c>
      <c r="C1541" s="60" t="str">
        <f t="shared" si="334"/>
        <v>B.044.01.267</v>
      </c>
      <c r="D1541" s="51" t="s">
        <v>2042</v>
      </c>
      <c r="E1541" s="62" t="s">
        <v>896</v>
      </c>
      <c r="F1541" s="63" t="str">
        <f t="shared" si="335"/>
        <v>Electricity Togo production</v>
      </c>
      <c r="G1541" s="64">
        <v>0.042009306668</v>
      </c>
      <c r="H1541" s="10">
        <f t="shared" si="328"/>
        <v>0.04200930667</v>
      </c>
      <c r="I1541" s="65">
        <v>0.004234558</v>
      </c>
      <c r="J1541" s="65">
        <v>0.0065394295</v>
      </c>
      <c r="K1541" s="65">
        <v>6.4276168E-5</v>
      </c>
      <c r="L1541" s="65">
        <v>0.031171043</v>
      </c>
      <c r="N1541" s="66">
        <v>0.20780695333333332</v>
      </c>
      <c r="O1541" s="10">
        <f t="shared" si="329"/>
        <v>0.2078069533</v>
      </c>
      <c r="Q1541" s="67">
        <v>2.6978572</v>
      </c>
      <c r="S1541" s="68">
        <v>0.0048994719</v>
      </c>
      <c r="T1541" s="68">
        <v>0.0045779353</v>
      </c>
      <c r="U1541" s="68">
        <v>1.811912E-4</v>
      </c>
      <c r="V1541" s="68">
        <v>1.4034543E-4</v>
      </c>
      <c r="X1541" s="69">
        <v>1.1279176E-5</v>
      </c>
    </row>
    <row r="1542" ht="12.75" customHeight="1">
      <c r="A1542" s="1" t="s">
        <v>2211</v>
      </c>
      <c r="B1542" s="2" t="s">
        <v>2044</v>
      </c>
      <c r="C1542" s="60" t="str">
        <f t="shared" si="334"/>
        <v>B.044.01.268</v>
      </c>
      <c r="D1542" s="51" t="s">
        <v>2042</v>
      </c>
      <c r="E1542" s="62" t="s">
        <v>896</v>
      </c>
      <c r="F1542" s="63" t="str">
        <f t="shared" si="335"/>
        <v>Electricity Tonga production</v>
      </c>
      <c r="G1542" s="64">
        <v>0.037968648311</v>
      </c>
      <c r="H1542" s="10">
        <f t="shared" si="328"/>
        <v>0.03796864831</v>
      </c>
      <c r="I1542" s="65">
        <v>0.0024380909000000003</v>
      </c>
      <c r="J1542" s="65">
        <v>0.0074200878999999996</v>
      </c>
      <c r="K1542" s="65">
        <v>3.9435511E-5</v>
      </c>
      <c r="L1542" s="65">
        <v>0.028071034</v>
      </c>
      <c r="N1542" s="66">
        <v>0.1871402266666667</v>
      </c>
      <c r="O1542" s="10">
        <f t="shared" si="329"/>
        <v>0.1871402267</v>
      </c>
      <c r="Q1542" s="67">
        <v>2.5123839</v>
      </c>
      <c r="S1542" s="68">
        <v>0.0053047366</v>
      </c>
      <c r="T1542" s="68">
        <v>0.0049586133</v>
      </c>
      <c r="U1542" s="68">
        <v>1.7734274E-4</v>
      </c>
      <c r="V1542" s="68">
        <v>1.6878056E-4</v>
      </c>
      <c r="X1542" s="69">
        <v>1.0931072E-5</v>
      </c>
    </row>
    <row r="1543" ht="12.75" customHeight="1">
      <c r="A1543" s="1" t="s">
        <v>2212</v>
      </c>
      <c r="B1543" s="2" t="s">
        <v>2044</v>
      </c>
      <c r="C1543" s="60" t="str">
        <f t="shared" si="334"/>
        <v>B.044.01.269</v>
      </c>
      <c r="D1543" s="51" t="s">
        <v>2042</v>
      </c>
      <c r="E1543" s="62" t="s">
        <v>896</v>
      </c>
      <c r="F1543" s="63" t="str">
        <f t="shared" si="335"/>
        <v>Electricity Trinidad and Tobago production</v>
      </c>
      <c r="G1543" s="64">
        <v>0.041549238161890004</v>
      </c>
      <c r="H1543" s="10">
        <f t="shared" si="328"/>
        <v>0.04154923816</v>
      </c>
      <c r="I1543" s="65">
        <v>0.0043683909</v>
      </c>
      <c r="J1543" s="65">
        <v>0.0063054748</v>
      </c>
      <c r="K1543" s="65">
        <v>2.9446189E-7</v>
      </c>
      <c r="L1543" s="65">
        <v>0.030875078</v>
      </c>
      <c r="N1543" s="66">
        <v>0.20583385333333334</v>
      </c>
      <c r="O1543" s="10">
        <f t="shared" si="329"/>
        <v>0.2058338533</v>
      </c>
      <c r="Q1543" s="67">
        <v>2.3891673</v>
      </c>
      <c r="S1543" s="68">
        <v>0.0047491112</v>
      </c>
      <c r="T1543" s="68">
        <v>0.0044368623</v>
      </c>
      <c r="U1543" s="68">
        <v>1.7781492E-4</v>
      </c>
      <c r="V1543" s="68">
        <v>1.3443399E-4</v>
      </c>
      <c r="X1543" s="69">
        <v>1.1095352E-5</v>
      </c>
    </row>
    <row r="1544" ht="12.75" customHeight="1">
      <c r="A1544" s="1" t="s">
        <v>2213</v>
      </c>
      <c r="B1544" s="2" t="s">
        <v>2044</v>
      </c>
      <c r="C1544" s="60" t="str">
        <f t="shared" si="334"/>
        <v>B.044.01.270</v>
      </c>
      <c r="D1544" s="51" t="s">
        <v>2042</v>
      </c>
      <c r="E1544" s="62" t="s">
        <v>896</v>
      </c>
      <c r="F1544" s="63" t="str">
        <f t="shared" si="335"/>
        <v>Electricity Tunisia production</v>
      </c>
      <c r="G1544" s="64">
        <v>0.04845890291300001</v>
      </c>
      <c r="H1544" s="10">
        <f t="shared" si="328"/>
        <v>0.04845890291</v>
      </c>
      <c r="I1544" s="65">
        <v>0.0050786326</v>
      </c>
      <c r="J1544" s="65">
        <v>0.0073665339</v>
      </c>
      <c r="K1544" s="65">
        <v>1.3918413E-5</v>
      </c>
      <c r="L1544" s="65">
        <v>0.035999818</v>
      </c>
      <c r="N1544" s="66">
        <v>0.23999878666666669</v>
      </c>
      <c r="O1544" s="10">
        <f t="shared" si="329"/>
        <v>0.2399987867</v>
      </c>
      <c r="Q1544" s="67">
        <v>2.8352671</v>
      </c>
      <c r="S1544" s="68">
        <v>0.0055458445</v>
      </c>
      <c r="T1544" s="68">
        <v>0.0051813201</v>
      </c>
      <c r="U1544" s="68">
        <v>2.0746774E-4</v>
      </c>
      <c r="V1544" s="68">
        <v>1.5705667E-4</v>
      </c>
      <c r="X1544" s="69">
        <v>1.2941613E-5</v>
      </c>
    </row>
    <row r="1545" ht="12.75" customHeight="1">
      <c r="A1545" s="1" t="s">
        <v>2214</v>
      </c>
      <c r="B1545" s="2" t="s">
        <v>2044</v>
      </c>
      <c r="C1545" s="60" t="str">
        <f t="shared" si="334"/>
        <v>B.044.01.271</v>
      </c>
      <c r="D1545" s="51" t="s">
        <v>2042</v>
      </c>
      <c r="E1545" s="62" t="s">
        <v>896</v>
      </c>
      <c r="F1545" s="63" t="str">
        <f t="shared" si="335"/>
        <v>Electricity Turkey production</v>
      </c>
      <c r="G1545" s="64">
        <v>0.02505409898</v>
      </c>
      <c r="H1545" s="10">
        <f t="shared" si="328"/>
        <v>0.02505409898</v>
      </c>
      <c r="I1545" s="65">
        <v>7.5049731E-4</v>
      </c>
      <c r="J1545" s="65">
        <v>0.0016628575500000002</v>
      </c>
      <c r="K1545" s="65">
        <v>1.0224112E-4</v>
      </c>
      <c r="L1545" s="65">
        <v>0.022538503</v>
      </c>
      <c r="N1545" s="66">
        <v>0.1502566866666667</v>
      </c>
      <c r="O1545" s="10">
        <f t="shared" si="329"/>
        <v>0.1502566867</v>
      </c>
      <c r="Q1545" s="67">
        <v>2.2037616</v>
      </c>
      <c r="S1545" s="68">
        <v>0.0028507824</v>
      </c>
      <c r="T1545" s="68">
        <v>0.0026879992</v>
      </c>
      <c r="U1545" s="68">
        <v>1.2069116E-4</v>
      </c>
      <c r="V1545" s="68">
        <v>4.2092034E-5</v>
      </c>
      <c r="X1545" s="69">
        <v>6.6933457E-6</v>
      </c>
    </row>
    <row r="1546" ht="12.75" customHeight="1">
      <c r="A1546" s="1" t="s">
        <v>2215</v>
      </c>
      <c r="B1546" s="2" t="s">
        <v>2044</v>
      </c>
      <c r="C1546" s="60" t="str">
        <f t="shared" si="334"/>
        <v>B.044.01.272</v>
      </c>
      <c r="D1546" s="51" t="s">
        <v>2042</v>
      </c>
      <c r="E1546" s="62" t="s">
        <v>896</v>
      </c>
      <c r="F1546" s="63" t="str">
        <f t="shared" si="335"/>
        <v>Electricity Turkmenistan production</v>
      </c>
      <c r="G1546" s="64">
        <v>0.043623832697783</v>
      </c>
      <c r="H1546" s="10">
        <f t="shared" si="328"/>
        <v>0.0436238327</v>
      </c>
      <c r="I1546" s="65">
        <v>0.0045946742</v>
      </c>
      <c r="J1546" s="65">
        <v>0.0066116035</v>
      </c>
      <c r="K1546" s="65">
        <v>6.2997783E-8</v>
      </c>
      <c r="L1546" s="65">
        <v>0.032417492</v>
      </c>
      <c r="N1546" s="66">
        <v>0.21611661333333335</v>
      </c>
      <c r="O1546" s="10">
        <f t="shared" si="329"/>
        <v>0.2161166133</v>
      </c>
      <c r="Q1546" s="67">
        <v>2.5066802</v>
      </c>
      <c r="S1546" s="68">
        <v>0.0049811777</v>
      </c>
      <c r="T1546" s="68">
        <v>0.0046536563</v>
      </c>
      <c r="U1546" s="68">
        <v>1.8661559E-4</v>
      </c>
      <c r="V1546" s="68">
        <v>1.4090581E-4</v>
      </c>
      <c r="X1546" s="69">
        <v>1.1645218E-5</v>
      </c>
    </row>
    <row r="1547" ht="12.75" customHeight="1">
      <c r="A1547" s="1" t="s">
        <v>2216</v>
      </c>
      <c r="B1547" s="2" t="s">
        <v>2044</v>
      </c>
      <c r="C1547" s="60" t="str">
        <f t="shared" si="334"/>
        <v>B.044.01.273</v>
      </c>
      <c r="D1547" s="51" t="s">
        <v>2042</v>
      </c>
      <c r="E1547" s="62" t="s">
        <v>896</v>
      </c>
      <c r="F1547" s="63" t="str">
        <f t="shared" si="335"/>
        <v>Electricity Turks and Caicos Islands production</v>
      </c>
      <c r="G1547" s="64">
        <v>0.0489239564</v>
      </c>
      <c r="H1547" s="10">
        <f t="shared" si="328"/>
        <v>0.0489239564</v>
      </c>
      <c r="I1547" s="65">
        <v>0.0031456087</v>
      </c>
      <c r="J1547" s="65">
        <v>0.0095782817</v>
      </c>
      <c r="K1547" s="65">
        <v>0.0</v>
      </c>
      <c r="L1547" s="65">
        <v>0.036200066</v>
      </c>
      <c r="N1547" s="66">
        <v>0.24133377333333336</v>
      </c>
      <c r="O1547" s="10">
        <f t="shared" si="329"/>
        <v>0.2413337733</v>
      </c>
      <c r="Q1547" s="67">
        <v>3.0561601</v>
      </c>
      <c r="S1547" s="68">
        <v>0.0068456299</v>
      </c>
      <c r="T1547" s="68">
        <v>0.0063986587</v>
      </c>
      <c r="U1547" s="68">
        <v>2.2876138E-4</v>
      </c>
      <c r="V1547" s="68">
        <v>2.1820983E-4</v>
      </c>
      <c r="X1547" s="69">
        <v>1.4111385E-5</v>
      </c>
    </row>
    <row r="1548" ht="12.75" customHeight="1">
      <c r="A1548" s="1" t="s">
        <v>2217</v>
      </c>
      <c r="B1548" s="2" t="s">
        <v>2044</v>
      </c>
      <c r="C1548" s="60" t="str">
        <f t="shared" si="334"/>
        <v>B.044.01.274</v>
      </c>
      <c r="D1548" s="51" t="s">
        <v>2042</v>
      </c>
      <c r="E1548" s="62" t="s">
        <v>896</v>
      </c>
      <c r="F1548" s="63" t="str">
        <f t="shared" si="335"/>
        <v>Electricity Uganda production</v>
      </c>
      <c r="G1548" s="64">
        <v>0.00285128317</v>
      </c>
      <c r="H1548" s="10">
        <f t="shared" si="328"/>
        <v>0.00285128317</v>
      </c>
      <c r="I1548" s="65">
        <v>4.6703179999999997E-4</v>
      </c>
      <c r="J1548" s="65">
        <v>8.1102147E-4</v>
      </c>
      <c r="K1548" s="65">
        <v>2.155428E-4</v>
      </c>
      <c r="L1548" s="65">
        <v>0.0013576871</v>
      </c>
      <c r="N1548" s="66">
        <v>0.009051247333333333</v>
      </c>
      <c r="O1548" s="10">
        <f t="shared" si="329"/>
        <v>0.009051247333</v>
      </c>
      <c r="Q1548" s="67">
        <v>1.5331602</v>
      </c>
      <c r="S1548" s="68">
        <v>3.5163735E-4</v>
      </c>
      <c r="T1548" s="68">
        <v>3.3539716E-4</v>
      </c>
      <c r="U1548" s="68">
        <v>1.0062954E-5</v>
      </c>
      <c r="V1548" s="68">
        <v>6.1772379E-6</v>
      </c>
      <c r="X1548" s="69">
        <v>7.1127967E-7</v>
      </c>
    </row>
    <row r="1549" ht="12.75" customHeight="1">
      <c r="A1549" s="1" t="s">
        <v>2218</v>
      </c>
      <c r="B1549" s="2" t="s">
        <v>2044</v>
      </c>
      <c r="C1549" s="60" t="str">
        <f t="shared" si="334"/>
        <v>B.044.01.275</v>
      </c>
      <c r="D1549" s="51" t="s">
        <v>2042</v>
      </c>
      <c r="E1549" s="62" t="s">
        <v>896</v>
      </c>
      <c r="F1549" s="63" t="str">
        <f t="shared" si="335"/>
        <v>Electricity Ukraine production</v>
      </c>
      <c r="G1549" s="64">
        <v>0.026005501352</v>
      </c>
      <c r="H1549" s="10">
        <f t="shared" si="328"/>
        <v>0.02600550135</v>
      </c>
      <c r="I1549" s="65">
        <v>8.606560199999999E-4</v>
      </c>
      <c r="J1549" s="65">
        <v>0.00156259412</v>
      </c>
      <c r="K1549" s="65">
        <v>0.016288615511999997</v>
      </c>
      <c r="L1549" s="65">
        <v>0.0072936357</v>
      </c>
      <c r="N1549" s="66">
        <v>0.04862423800000001</v>
      </c>
      <c r="O1549" s="10">
        <f t="shared" si="329"/>
        <v>0.048624238</v>
      </c>
      <c r="Q1549" s="67">
        <v>3.0496258</v>
      </c>
      <c r="S1549" s="68">
        <v>0.0011633584</v>
      </c>
      <c r="T1549" s="68">
        <v>0.0011042056</v>
      </c>
      <c r="U1549" s="68">
        <v>4.2954924E-5</v>
      </c>
      <c r="V1549" s="68">
        <v>1.6197847E-5</v>
      </c>
      <c r="X1549" s="69">
        <v>5.4684483E-6</v>
      </c>
    </row>
    <row r="1550" ht="12.75" customHeight="1">
      <c r="A1550" s="1" t="s">
        <v>2219</v>
      </c>
      <c r="B1550" s="2" t="s">
        <v>2044</v>
      </c>
      <c r="C1550" s="60" t="str">
        <f t="shared" si="334"/>
        <v>B.044.01.276</v>
      </c>
      <c r="D1550" s="51" t="s">
        <v>2042</v>
      </c>
      <c r="E1550" s="62" t="s">
        <v>896</v>
      </c>
      <c r="F1550" s="63" t="str">
        <f t="shared" si="335"/>
        <v>Electricity United Arab Emirates production</v>
      </c>
      <c r="G1550" s="64">
        <v>0.034539257972</v>
      </c>
      <c r="H1550" s="10">
        <f t="shared" si="328"/>
        <v>0.03453925797</v>
      </c>
      <c r="I1550" s="65">
        <v>0.0030044261900000003</v>
      </c>
      <c r="J1550" s="65">
        <v>0.0044267113</v>
      </c>
      <c r="K1550" s="65">
        <v>0.005956712482</v>
      </c>
      <c r="L1550" s="65">
        <v>0.021151408</v>
      </c>
      <c r="N1550" s="66">
        <v>0.14100938666666668</v>
      </c>
      <c r="O1550" s="10">
        <f t="shared" si="329"/>
        <v>0.1410093867</v>
      </c>
      <c r="Q1550" s="67">
        <v>2.538439</v>
      </c>
      <c r="S1550" s="68">
        <v>0.0032787235</v>
      </c>
      <c r="T1550" s="68">
        <v>0.0030649463</v>
      </c>
      <c r="U1550" s="68">
        <v>1.2234251E-4</v>
      </c>
      <c r="V1550" s="68">
        <v>9.143473E-5</v>
      </c>
      <c r="X1550" s="69">
        <v>8.6634774E-6</v>
      </c>
    </row>
    <row r="1551" ht="12.75" customHeight="1">
      <c r="A1551" s="1" t="s">
        <v>2220</v>
      </c>
      <c r="B1551" s="2" t="s">
        <v>2044</v>
      </c>
      <c r="C1551" s="60" t="str">
        <f t="shared" si="334"/>
        <v>B.044.01.277</v>
      </c>
      <c r="D1551" s="51" t="s">
        <v>2042</v>
      </c>
      <c r="E1551" s="62" t="s">
        <v>896</v>
      </c>
      <c r="F1551" s="63" t="str">
        <f t="shared" si="335"/>
        <v>Electricity United States production</v>
      </c>
      <c r="G1551" s="64">
        <v>0.031300842671</v>
      </c>
      <c r="H1551" s="10">
        <f t="shared" si="328"/>
        <v>0.03130084267</v>
      </c>
      <c r="I1551" s="65">
        <v>0.00147663335</v>
      </c>
      <c r="J1551" s="65">
        <v>0.0031490244000000004</v>
      </c>
      <c r="K1551" s="65">
        <v>0.0046582589209999995</v>
      </c>
      <c r="L1551" s="65">
        <v>0.022016926</v>
      </c>
      <c r="N1551" s="66">
        <v>0.14677950666666667</v>
      </c>
      <c r="O1551" s="10">
        <f t="shared" si="329"/>
        <v>0.1467795067</v>
      </c>
      <c r="Q1551" s="67">
        <v>2.5649063</v>
      </c>
      <c r="S1551" s="68">
        <v>0.0030114365</v>
      </c>
      <c r="T1551" s="68">
        <v>0.002817497</v>
      </c>
      <c r="U1551" s="68">
        <v>1.2297479E-4</v>
      </c>
      <c r="V1551" s="68">
        <v>7.0964733E-5</v>
      </c>
      <c r="X1551" s="69">
        <v>7.681662E-6</v>
      </c>
    </row>
    <row r="1552" ht="12.75" customHeight="1">
      <c r="A1552" s="1" t="s">
        <v>2221</v>
      </c>
      <c r="B1552" s="2" t="s">
        <v>2044</v>
      </c>
      <c r="C1552" s="60" t="str">
        <f t="shared" si="334"/>
        <v>B.044.01.278</v>
      </c>
      <c r="D1552" s="51" t="s">
        <v>2042</v>
      </c>
      <c r="E1552" s="62" t="s">
        <v>896</v>
      </c>
      <c r="F1552" s="63" t="str">
        <f t="shared" si="335"/>
        <v>Electricity United States Virgin Islands production</v>
      </c>
      <c r="G1552" s="64">
        <v>0.047493516762400004</v>
      </c>
      <c r="H1552" s="10">
        <f t="shared" si="328"/>
        <v>0.04749351676</v>
      </c>
      <c r="I1552" s="65">
        <v>0.003052911</v>
      </c>
      <c r="J1552" s="65">
        <v>0.0092951346</v>
      </c>
      <c r="K1552" s="65">
        <v>9.1321624E-6</v>
      </c>
      <c r="L1552" s="65">
        <v>0.035136339</v>
      </c>
      <c r="N1552" s="66">
        <v>0.23424226000000004</v>
      </c>
      <c r="O1552" s="10">
        <f t="shared" si="329"/>
        <v>0.23424226</v>
      </c>
      <c r="Q1552" s="67">
        <v>2.9993573</v>
      </c>
      <c r="S1552" s="68">
        <v>0.0066436284</v>
      </c>
      <c r="T1552" s="68">
        <v>0.0062099017</v>
      </c>
      <c r="U1552" s="68">
        <v>2.2202812E-4</v>
      </c>
      <c r="V1552" s="68">
        <v>2.116986E-4</v>
      </c>
      <c r="X1552" s="69">
        <v>1.3694068E-5</v>
      </c>
    </row>
    <row r="1553" ht="12.75" customHeight="1">
      <c r="A1553" s="1" t="s">
        <v>2222</v>
      </c>
      <c r="B1553" s="2" t="s">
        <v>2044</v>
      </c>
      <c r="C1553" s="60" t="str">
        <f t="shared" si="334"/>
        <v>B.044.01.279</v>
      </c>
      <c r="D1553" s="51" t="s">
        <v>2042</v>
      </c>
      <c r="E1553" s="62" t="s">
        <v>896</v>
      </c>
      <c r="F1553" s="63" t="str">
        <f t="shared" si="335"/>
        <v>Electricity Uruguay production</v>
      </c>
      <c r="G1553" s="64">
        <v>0.00520203779</v>
      </c>
      <c r="H1553" s="10">
        <f t="shared" si="328"/>
        <v>0.00520203779</v>
      </c>
      <c r="I1553" s="65">
        <v>0.00105517809</v>
      </c>
      <c r="J1553" s="65">
        <v>0.0018056360200000001</v>
      </c>
      <c r="K1553" s="65">
        <v>1.8580748E-4</v>
      </c>
      <c r="L1553" s="65">
        <v>0.0021554162</v>
      </c>
      <c r="N1553" s="66">
        <v>0.014369441333333333</v>
      </c>
      <c r="O1553" s="10">
        <f t="shared" si="329"/>
        <v>0.01436944133</v>
      </c>
      <c r="Q1553" s="67">
        <v>1.7635036</v>
      </c>
      <c r="S1553" s="68">
        <v>6.7722113E-4</v>
      </c>
      <c r="T1553" s="68">
        <v>6.480685E-4</v>
      </c>
      <c r="U1553" s="68">
        <v>1.7926688E-5</v>
      </c>
      <c r="V1553" s="68">
        <v>1.1225945E-5</v>
      </c>
      <c r="X1553" s="69">
        <v>1.3722363E-6</v>
      </c>
    </row>
    <row r="1554" ht="12.75" customHeight="1">
      <c r="A1554" s="1" t="s">
        <v>2223</v>
      </c>
      <c r="B1554" s="2" t="s">
        <v>2044</v>
      </c>
      <c r="C1554" s="60" t="str">
        <f t="shared" si="334"/>
        <v>B.044.01.280</v>
      </c>
      <c r="D1554" s="51" t="s">
        <v>2042</v>
      </c>
      <c r="E1554" s="62" t="s">
        <v>896</v>
      </c>
      <c r="F1554" s="63" t="str">
        <f t="shared" si="335"/>
        <v>Electricity Uzbekistan production</v>
      </c>
      <c r="G1554" s="64">
        <v>0.038348734450000005</v>
      </c>
      <c r="H1554" s="10">
        <f t="shared" si="328"/>
        <v>0.03834873445</v>
      </c>
      <c r="I1554" s="65">
        <v>0.0038795417</v>
      </c>
      <c r="J1554" s="65">
        <v>0.0056722156</v>
      </c>
      <c r="K1554" s="65">
        <v>1.908215E-5</v>
      </c>
      <c r="L1554" s="65">
        <v>0.028777895</v>
      </c>
      <c r="N1554" s="66">
        <v>0.19185263333333336</v>
      </c>
      <c r="O1554" s="10">
        <f t="shared" si="329"/>
        <v>0.1918526333</v>
      </c>
      <c r="Q1554" s="67">
        <v>2.3056018</v>
      </c>
      <c r="S1554" s="68">
        <v>0.004398277</v>
      </c>
      <c r="T1554" s="68">
        <v>0.0041177542</v>
      </c>
      <c r="U1554" s="68">
        <v>1.6525693E-4</v>
      </c>
      <c r="V1554" s="68">
        <v>1.1526587E-4</v>
      </c>
      <c r="X1554" s="69">
        <v>1.0271353E-5</v>
      </c>
    </row>
    <row r="1555" ht="12.75" customHeight="1">
      <c r="A1555" s="1" t="s">
        <v>2224</v>
      </c>
      <c r="B1555" s="2" t="s">
        <v>2044</v>
      </c>
      <c r="C1555" s="60" t="str">
        <f t="shared" si="334"/>
        <v>B.044.01.281</v>
      </c>
      <c r="D1555" s="51" t="s">
        <v>2042</v>
      </c>
      <c r="E1555" s="62" t="s">
        <v>896</v>
      </c>
      <c r="F1555" s="63" t="str">
        <f t="shared" si="335"/>
        <v>Electricity Vanuatu production</v>
      </c>
      <c r="G1555" s="64">
        <v>0.033287413159</v>
      </c>
      <c r="H1555" s="10">
        <f t="shared" si="328"/>
        <v>0.03328741316</v>
      </c>
      <c r="I1555" s="65">
        <v>0.00213413278</v>
      </c>
      <c r="J1555" s="65">
        <v>0.0064925769</v>
      </c>
      <c r="K1555" s="65">
        <v>5.9525479E-5</v>
      </c>
      <c r="L1555" s="65">
        <v>0.024601178</v>
      </c>
      <c r="N1555" s="66">
        <v>0.16400785333333334</v>
      </c>
      <c r="O1555" s="10">
        <f t="shared" si="329"/>
        <v>0.1640078533</v>
      </c>
      <c r="Q1555" s="67">
        <v>2.328415</v>
      </c>
      <c r="S1555" s="68">
        <v>0.0046460854</v>
      </c>
      <c r="T1555" s="68">
        <v>0.0043430237</v>
      </c>
      <c r="U1555" s="68">
        <v>1.5537187E-4</v>
      </c>
      <c r="V1555" s="68">
        <v>1.4768983E-4</v>
      </c>
      <c r="X1555" s="69">
        <v>9.5726609E-6</v>
      </c>
    </row>
    <row r="1556" ht="12.75" customHeight="1">
      <c r="A1556" s="1" t="s">
        <v>2225</v>
      </c>
      <c r="B1556" s="2" t="s">
        <v>2044</v>
      </c>
      <c r="C1556" s="60" t="str">
        <f t="shared" si="334"/>
        <v>B.044.01.282</v>
      </c>
      <c r="D1556" s="51" t="s">
        <v>2042</v>
      </c>
      <c r="E1556" s="62" t="s">
        <v>896</v>
      </c>
      <c r="F1556" s="63" t="str">
        <f t="shared" si="335"/>
        <v>Electricity Venezuela production</v>
      </c>
      <c r="G1556" s="64">
        <v>0.013249417369999999</v>
      </c>
      <c r="H1556" s="10">
        <f t="shared" si="328"/>
        <v>0.01324941737</v>
      </c>
      <c r="I1556" s="65">
        <v>0.0011660026</v>
      </c>
      <c r="J1556" s="65">
        <v>0.00211259896</v>
      </c>
      <c r="K1556" s="65">
        <v>2.1897591E-4</v>
      </c>
      <c r="L1556" s="65">
        <v>0.0097518399</v>
      </c>
      <c r="N1556" s="66">
        <v>0.065012266</v>
      </c>
      <c r="O1556" s="10">
        <f t="shared" si="329"/>
        <v>0.065012266</v>
      </c>
      <c r="Q1556" s="67">
        <v>1.8884606</v>
      </c>
      <c r="S1556" s="68">
        <v>0.0015978324</v>
      </c>
      <c r="T1556" s="68">
        <v>0.0014938208</v>
      </c>
      <c r="U1556" s="68">
        <v>5.7689586E-5</v>
      </c>
      <c r="V1556" s="68">
        <v>4.6321974E-5</v>
      </c>
      <c r="X1556" s="69">
        <v>3.5477271E-6</v>
      </c>
    </row>
    <row r="1557" ht="12.75" customHeight="1">
      <c r="A1557" s="1" t="s">
        <v>2226</v>
      </c>
      <c r="B1557" s="2" t="s">
        <v>2044</v>
      </c>
      <c r="C1557" s="60" t="str">
        <f t="shared" si="334"/>
        <v>B.044.01.283</v>
      </c>
      <c r="D1557" s="51" t="s">
        <v>2042</v>
      </c>
      <c r="E1557" s="62" t="s">
        <v>896</v>
      </c>
      <c r="F1557" s="63" t="str">
        <f t="shared" si="335"/>
        <v>Electricity Vietnam production</v>
      </c>
      <c r="G1557" s="64">
        <v>0.0295796063</v>
      </c>
      <c r="H1557" s="10">
        <f t="shared" si="328"/>
        <v>0.0295796063</v>
      </c>
      <c r="I1557" s="65">
        <v>0.00222936517</v>
      </c>
      <c r="J1557" s="65">
        <v>0.0027029119</v>
      </c>
      <c r="K1557" s="65">
        <v>1.0073923E-4</v>
      </c>
      <c r="L1557" s="65">
        <v>0.02454659</v>
      </c>
      <c r="N1557" s="66">
        <v>0.16364393333333335</v>
      </c>
      <c r="O1557" s="10">
        <f t="shared" si="329"/>
        <v>0.1636439333</v>
      </c>
      <c r="Q1557" s="67">
        <v>2.2331752</v>
      </c>
      <c r="S1557" s="68">
        <v>0.0032558492</v>
      </c>
      <c r="T1557" s="68">
        <v>0.0030929592</v>
      </c>
      <c r="U1557" s="68">
        <v>1.3250504E-4</v>
      </c>
      <c r="V1557" s="68">
        <v>3.0385009E-5</v>
      </c>
      <c r="X1557" s="69">
        <v>8.0088681E-6</v>
      </c>
    </row>
    <row r="1558" ht="12.75" customHeight="1">
      <c r="A1558" s="1" t="s">
        <v>2227</v>
      </c>
      <c r="B1558" s="2" t="s">
        <v>2044</v>
      </c>
      <c r="C1558" s="60" t="str">
        <f t="shared" si="334"/>
        <v>B.044.01.284</v>
      </c>
      <c r="D1558" s="51" t="s">
        <v>2042</v>
      </c>
      <c r="E1558" s="62" t="s">
        <v>896</v>
      </c>
      <c r="F1558" s="63" t="str">
        <f t="shared" si="335"/>
        <v>Electricity Western Africa production</v>
      </c>
      <c r="G1558" s="64">
        <v>6.35070259E-4</v>
      </c>
      <c r="H1558" s="10">
        <f t="shared" si="328"/>
        <v>0.000635070259</v>
      </c>
      <c r="I1558" s="65">
        <v>1.03711084E-5</v>
      </c>
      <c r="J1558" s="65">
        <v>9.3336206E-6</v>
      </c>
      <c r="K1558" s="65">
        <v>2.3844725E-4</v>
      </c>
      <c r="L1558" s="65">
        <v>3.7691828E-4</v>
      </c>
      <c r="N1558" s="66">
        <v>0.0025127885333333334</v>
      </c>
      <c r="O1558" s="10">
        <f t="shared" si="329"/>
        <v>0.002512788533</v>
      </c>
      <c r="Q1558" s="67">
        <v>1.1966108</v>
      </c>
      <c r="S1558" s="68">
        <v>4.4540375E-5</v>
      </c>
      <c r="T1558" s="68">
        <v>4.2534173E-5</v>
      </c>
      <c r="U1558" s="68">
        <v>1.9409391E-6</v>
      </c>
      <c r="V1558" s="68">
        <v>6.5263013E-8</v>
      </c>
      <c r="X1558" s="69">
        <v>7.8710891E-8</v>
      </c>
    </row>
    <row r="1559" ht="12.75" customHeight="1">
      <c r="A1559" s="1" t="s">
        <v>2228</v>
      </c>
      <c r="B1559" s="2" t="s">
        <v>2044</v>
      </c>
      <c r="C1559" s="60" t="str">
        <f t="shared" si="334"/>
        <v>B.044.01.285</v>
      </c>
      <c r="D1559" s="51" t="s">
        <v>2042</v>
      </c>
      <c r="E1559" s="62" t="s">
        <v>896</v>
      </c>
      <c r="F1559" s="63" t="str">
        <f t="shared" si="335"/>
        <v>Electricity World production</v>
      </c>
      <c r="G1559" s="64">
        <v>0.031299461842</v>
      </c>
      <c r="H1559" s="10">
        <f t="shared" si="328"/>
        <v>0.03129946184</v>
      </c>
      <c r="I1559" s="65">
        <v>0.00249054116</v>
      </c>
      <c r="J1559" s="65">
        <v>0.0037607369</v>
      </c>
      <c r="K1559" s="65">
        <v>0.002425125782</v>
      </c>
      <c r="L1559" s="65">
        <v>0.022623058</v>
      </c>
      <c r="N1559" s="66">
        <v>0.1508203866666667</v>
      </c>
      <c r="O1559" s="10">
        <f t="shared" si="329"/>
        <v>0.1508203867</v>
      </c>
      <c r="Q1559" s="67">
        <v>2.3814581</v>
      </c>
      <c r="S1559" s="68">
        <v>0.0033357824</v>
      </c>
      <c r="T1559" s="68">
        <v>0.0031589237</v>
      </c>
      <c r="U1559" s="68">
        <v>1.2792404E-4</v>
      </c>
      <c r="V1559" s="68">
        <v>4.8934682E-5</v>
      </c>
      <c r="X1559" s="69">
        <v>8.2422535E-6</v>
      </c>
    </row>
    <row r="1560" ht="12.75" customHeight="1">
      <c r="A1560" s="1" t="s">
        <v>2229</v>
      </c>
      <c r="B1560" s="2" t="s">
        <v>2044</v>
      </c>
      <c r="C1560" s="60" t="str">
        <f t="shared" si="334"/>
        <v>B.044.01.286</v>
      </c>
      <c r="D1560" s="51" t="s">
        <v>2042</v>
      </c>
      <c r="E1560" s="62" t="s">
        <v>896</v>
      </c>
      <c r="F1560" s="63" t="str">
        <f t="shared" si="335"/>
        <v>Electricity Yemen production</v>
      </c>
      <c r="G1560" s="64">
        <v>0.042972603215999994</v>
      </c>
      <c r="H1560" s="10">
        <f t="shared" si="328"/>
        <v>0.04297260322</v>
      </c>
      <c r="I1560" s="65">
        <v>0.0031159450999999998</v>
      </c>
      <c r="J1560" s="65">
        <v>0.0080091653</v>
      </c>
      <c r="K1560" s="65">
        <v>5.5407816E-5</v>
      </c>
      <c r="L1560" s="65">
        <v>0.031792085</v>
      </c>
      <c r="N1560" s="66">
        <v>0.21194723333333332</v>
      </c>
      <c r="O1560" s="10">
        <f t="shared" si="329"/>
        <v>0.2119472333</v>
      </c>
      <c r="Q1560" s="67">
        <v>2.8382335</v>
      </c>
      <c r="S1560" s="68">
        <v>0.0057774735</v>
      </c>
      <c r="T1560" s="68">
        <v>0.005400124</v>
      </c>
      <c r="U1560" s="68">
        <v>1.971953E-4</v>
      </c>
      <c r="V1560" s="68">
        <v>1.8015424E-4</v>
      </c>
      <c r="X1560" s="69">
        <v>1.2178942E-5</v>
      </c>
    </row>
    <row r="1561" ht="12.75" customHeight="1">
      <c r="A1561" s="1" t="s">
        <v>2230</v>
      </c>
      <c r="B1561" s="2" t="s">
        <v>2044</v>
      </c>
      <c r="C1561" s="60" t="str">
        <f t="shared" si="334"/>
        <v>B.044.01.287</v>
      </c>
      <c r="D1561" s="51" t="s">
        <v>2042</v>
      </c>
      <c r="E1561" s="62" t="s">
        <v>896</v>
      </c>
      <c r="F1561" s="63" t="str">
        <f t="shared" si="335"/>
        <v>Electricity Zambia production</v>
      </c>
      <c r="G1561" s="64">
        <v>0.00662385477</v>
      </c>
      <c r="H1561" s="10">
        <f t="shared" si="328"/>
        <v>0.00662385477</v>
      </c>
      <c r="I1561" s="65">
        <v>4.7474872E-4</v>
      </c>
      <c r="J1561" s="65">
        <v>6.774161E-4</v>
      </c>
      <c r="K1561" s="65">
        <v>1.9311165E-4</v>
      </c>
      <c r="L1561" s="65">
        <v>0.0052785783</v>
      </c>
      <c r="N1561" s="66">
        <v>0.035190522</v>
      </c>
      <c r="O1561" s="10">
        <f t="shared" si="329"/>
        <v>0.035190522</v>
      </c>
      <c r="Q1561" s="67">
        <v>1.3719537</v>
      </c>
      <c r="S1561" s="68">
        <v>7.335644E-4</v>
      </c>
      <c r="T1561" s="68">
        <v>6.9978206E-4</v>
      </c>
      <c r="U1561" s="68">
        <v>2.9087027E-5</v>
      </c>
      <c r="V1561" s="68">
        <v>4.6953136E-6</v>
      </c>
      <c r="X1561" s="69">
        <v>1.7324735E-6</v>
      </c>
    </row>
    <row r="1562" ht="12.75" customHeight="1">
      <c r="A1562" s="1" t="s">
        <v>2231</v>
      </c>
      <c r="B1562" s="2" t="s">
        <v>2044</v>
      </c>
      <c r="C1562" s="60" t="str">
        <f t="shared" si="334"/>
        <v>B.044.01.288</v>
      </c>
      <c r="D1562" s="51" t="s">
        <v>2042</v>
      </c>
      <c r="E1562" s="62" t="s">
        <v>896</v>
      </c>
      <c r="F1562" s="63" t="str">
        <f t="shared" si="335"/>
        <v>Electricity Zimbabwe production</v>
      </c>
      <c r="G1562" s="64">
        <v>0.02112405768</v>
      </c>
      <c r="H1562" s="10">
        <f t="shared" si="328"/>
        <v>0.02112405768</v>
      </c>
      <c r="I1562" s="65">
        <v>0.00159835229</v>
      </c>
      <c r="J1562" s="65">
        <v>0.0022936901</v>
      </c>
      <c r="K1562" s="65">
        <v>1.6434329E-4</v>
      </c>
      <c r="L1562" s="65">
        <v>0.017067672</v>
      </c>
      <c r="N1562" s="66">
        <v>0.11378448</v>
      </c>
      <c r="O1562" s="10">
        <f t="shared" si="329"/>
        <v>0.11378448</v>
      </c>
      <c r="Q1562" s="67">
        <v>2.1157518</v>
      </c>
      <c r="S1562" s="68">
        <v>0.0023912125</v>
      </c>
      <c r="T1562" s="68">
        <v>0.0022813991</v>
      </c>
      <c r="U1562" s="68">
        <v>9.4401329E-5</v>
      </c>
      <c r="V1562" s="68">
        <v>1.5412086E-5</v>
      </c>
      <c r="X1562" s="69">
        <v>5.699574E-6</v>
      </c>
    </row>
    <row r="1563" ht="12.75" customHeight="1">
      <c r="A1563" s="1" t="s">
        <v>2232</v>
      </c>
      <c r="B1563" s="2" t="s">
        <v>2044</v>
      </c>
      <c r="C1563" s="60" t="str">
        <f t="shared" si="334"/>
        <v>B.044.01.289</v>
      </c>
      <c r="D1563" s="51" t="s">
        <v>2042</v>
      </c>
      <c r="E1563" s="62" t="s">
        <v>896</v>
      </c>
      <c r="F1563" s="63" t="str">
        <f t="shared" si="335"/>
        <v>Electricity Asia production</v>
      </c>
      <c r="G1563" s="64">
        <v>0.035611459022</v>
      </c>
      <c r="H1563" s="10">
        <f t="shared" si="328"/>
        <v>0.03561145902</v>
      </c>
      <c r="I1563" s="65">
        <v>0.0028040175</v>
      </c>
      <c r="J1563" s="65">
        <v>0.0041925287</v>
      </c>
      <c r="K1563" s="65">
        <v>0.001296901822</v>
      </c>
      <c r="L1563" s="65">
        <v>0.027318011</v>
      </c>
      <c r="N1563" s="66">
        <v>0.18212007333333333</v>
      </c>
      <c r="O1563" s="10">
        <f t="shared" si="329"/>
        <v>0.1821200733</v>
      </c>
      <c r="Q1563" s="67">
        <v>2.4674719</v>
      </c>
      <c r="S1563" s="68">
        <v>0.0039521124</v>
      </c>
      <c r="T1563" s="68">
        <v>0.0037523081</v>
      </c>
      <c r="U1563" s="68">
        <v>1.5319452E-4</v>
      </c>
      <c r="V1563" s="68">
        <v>4.6609721E-5</v>
      </c>
      <c r="X1563" s="69">
        <v>9.5513291E-6</v>
      </c>
    </row>
    <row r="1564" ht="12.75" customHeight="1">
      <c r="A1564" s="1" t="s">
        <v>2233</v>
      </c>
      <c r="B1564" s="2" t="s">
        <v>2044</v>
      </c>
      <c r="C1564" s="60" t="str">
        <f t="shared" si="334"/>
        <v>B.044.01.290</v>
      </c>
      <c r="D1564" s="51" t="s">
        <v>2042</v>
      </c>
      <c r="E1564" s="62" t="s">
        <v>896</v>
      </c>
      <c r="F1564" s="63" t="str">
        <f t="shared" si="335"/>
        <v>Electricity British Virgin Islands production</v>
      </c>
      <c r="G1564" s="64">
        <v>0.0489239564</v>
      </c>
      <c r="H1564" s="10">
        <f t="shared" si="328"/>
        <v>0.0489239564</v>
      </c>
      <c r="I1564" s="65">
        <v>0.0031456087</v>
      </c>
      <c r="J1564" s="65">
        <v>0.0095782817</v>
      </c>
      <c r="K1564" s="65">
        <v>0.0</v>
      </c>
      <c r="L1564" s="65">
        <v>0.036200066</v>
      </c>
      <c r="N1564" s="66">
        <v>0.24133377333333336</v>
      </c>
      <c r="O1564" s="10">
        <f t="shared" si="329"/>
        <v>0.2413337733</v>
      </c>
      <c r="Q1564" s="67">
        <v>3.0561601</v>
      </c>
      <c r="S1564" s="68">
        <v>0.0068456299</v>
      </c>
      <c r="T1564" s="68">
        <v>0.0063986587</v>
      </c>
      <c r="U1564" s="68">
        <v>2.2876138E-4</v>
      </c>
      <c r="V1564" s="68">
        <v>2.1820983E-4</v>
      </c>
      <c r="X1564" s="69">
        <v>1.4111385E-5</v>
      </c>
    </row>
    <row r="1565" ht="12.75" customHeight="1">
      <c r="A1565" s="1" t="s">
        <v>2234</v>
      </c>
      <c r="B1565" s="2" t="s">
        <v>2044</v>
      </c>
      <c r="C1565" s="60" t="str">
        <f t="shared" si="334"/>
        <v>B.044.01.291</v>
      </c>
      <c r="D1565" s="51" t="s">
        <v>2042</v>
      </c>
      <c r="E1565" s="62" t="s">
        <v>896</v>
      </c>
      <c r="F1565" s="63" t="str">
        <f t="shared" si="335"/>
        <v>Electricity East Timor production</v>
      </c>
      <c r="G1565" s="64">
        <v>0.0441457285</v>
      </c>
      <c r="H1565" s="10">
        <f t="shared" si="328"/>
        <v>0.0441457285</v>
      </c>
      <c r="I1565" s="65">
        <v>0.0028383884</v>
      </c>
      <c r="J1565" s="65">
        <v>0.0086428051</v>
      </c>
      <c r="K1565" s="65">
        <v>0.0</v>
      </c>
      <c r="L1565" s="65">
        <v>0.032664535</v>
      </c>
      <c r="N1565" s="66">
        <v>0.21776356666666669</v>
      </c>
      <c r="O1565" s="10">
        <f t="shared" si="329"/>
        <v>0.2177635667</v>
      </c>
      <c r="Q1565" s="67">
        <v>2.7576758</v>
      </c>
      <c r="S1565" s="68">
        <v>0.0061770417</v>
      </c>
      <c r="T1565" s="68">
        <v>0.0057737246</v>
      </c>
      <c r="U1565" s="68">
        <v>2.0641908E-4</v>
      </c>
      <c r="V1565" s="68">
        <v>1.9689806E-4</v>
      </c>
      <c r="X1565" s="69">
        <v>1.2733176E-5</v>
      </c>
    </row>
    <row r="1566" ht="12.75" customHeight="1">
      <c r="A1566" s="1" t="s">
        <v>2235</v>
      </c>
      <c r="B1566" s="2" t="s">
        <v>2044</v>
      </c>
      <c r="C1566" s="60" t="str">
        <f t="shared" si="334"/>
        <v>B.044.01.292</v>
      </c>
      <c r="D1566" s="51" t="s">
        <v>2042</v>
      </c>
      <c r="E1566" s="62" t="s">
        <v>896</v>
      </c>
      <c r="F1566" s="63" t="str">
        <f t="shared" si="335"/>
        <v>Electricity Oceania production</v>
      </c>
      <c r="G1566" s="64">
        <v>0.028232570253</v>
      </c>
      <c r="H1566" s="10">
        <f t="shared" si="328"/>
        <v>0.02823257025</v>
      </c>
      <c r="I1566" s="65">
        <v>0.002309874</v>
      </c>
      <c r="J1566" s="65">
        <v>0.0034739666</v>
      </c>
      <c r="K1566" s="65">
        <v>9.8232653E-5</v>
      </c>
      <c r="L1566" s="65">
        <v>0.022350497</v>
      </c>
      <c r="N1566" s="66">
        <v>0.14900331333333333</v>
      </c>
      <c r="O1566" s="10">
        <f t="shared" si="329"/>
        <v>0.1490033133</v>
      </c>
      <c r="Q1566" s="67">
        <v>2.092276</v>
      </c>
      <c r="S1566" s="68">
        <v>0.0032454846</v>
      </c>
      <c r="T1566" s="68">
        <v>0.0030780536</v>
      </c>
      <c r="U1566" s="68">
        <v>1.2553061E-4</v>
      </c>
      <c r="V1566" s="68">
        <v>4.190041E-5</v>
      </c>
      <c r="X1566" s="69">
        <v>7.6432579E-6</v>
      </c>
    </row>
    <row r="1567" ht="12.75" customHeight="1">
      <c r="B1567" s="2"/>
      <c r="C1567" s="60"/>
      <c r="D1567" s="75" t="s">
        <v>2236</v>
      </c>
      <c r="E1567" s="62"/>
      <c r="G1567" s="10"/>
      <c r="H1567" s="10" t="str">
        <f t="shared" si="328"/>
        <v/>
      </c>
      <c r="I1567" s="10"/>
      <c r="J1567" s="10"/>
      <c r="K1567" s="10"/>
      <c r="L1567" s="10"/>
      <c r="N1567" s="10"/>
      <c r="O1567" s="10" t="str">
        <f t="shared" si="329"/>
        <v/>
      </c>
      <c r="Q1567" s="67"/>
    </row>
    <row r="1568" ht="12.75" customHeight="1">
      <c r="A1568" s="1" t="s">
        <v>2237</v>
      </c>
      <c r="B1568" s="2" t="s">
        <v>2238</v>
      </c>
      <c r="C1568" s="60" t="str">
        <f t="shared" ref="C1568:C1580" si="336">MID(A1568,1,12)</f>
        <v>B.046.02.101</v>
      </c>
      <c r="D1568" s="51" t="s">
        <v>2236</v>
      </c>
      <c r="E1568" s="62" t="s">
        <v>896</v>
      </c>
      <c r="F1568" s="63" t="str">
        <f t="shared" ref="F1568:F1580" si="337">MID(A1568, 21,85)</f>
        <v>Electricity Alberta production</v>
      </c>
      <c r="G1568" s="64">
        <v>0.033585664885</v>
      </c>
      <c r="H1568" s="10">
        <f t="shared" si="328"/>
        <v>0.03358566489</v>
      </c>
      <c r="I1568" s="65">
        <v>0.0034855403</v>
      </c>
      <c r="J1568" s="65">
        <v>0.0050286125</v>
      </c>
      <c r="K1568" s="65">
        <v>5.2136085E-5</v>
      </c>
      <c r="L1568" s="65">
        <v>0.025019376</v>
      </c>
      <c r="N1568" s="66">
        <v>0.16679584</v>
      </c>
      <c r="O1568" s="10">
        <f t="shared" si="329"/>
        <v>0.16679584</v>
      </c>
      <c r="Q1568" s="67">
        <v>2.2196194</v>
      </c>
      <c r="S1568" s="68">
        <v>0.0038368604</v>
      </c>
      <c r="T1568" s="68">
        <v>0.0035969557</v>
      </c>
      <c r="U1568" s="68">
        <v>1.4387455E-4</v>
      </c>
      <c r="V1568" s="68">
        <v>9.6030107E-5</v>
      </c>
      <c r="X1568" s="69">
        <v>9.0322178E-6</v>
      </c>
    </row>
    <row r="1569" ht="12.75" customHeight="1">
      <c r="A1569" s="1" t="s">
        <v>2239</v>
      </c>
      <c r="B1569" s="2" t="s">
        <v>2238</v>
      </c>
      <c r="C1569" s="60" t="str">
        <f t="shared" si="336"/>
        <v>B.046.02.102</v>
      </c>
      <c r="D1569" s="51" t="s">
        <v>2236</v>
      </c>
      <c r="E1569" s="62" t="s">
        <v>896</v>
      </c>
      <c r="F1569" s="63" t="str">
        <f t="shared" si="337"/>
        <v>Electricity British Columbia production</v>
      </c>
      <c r="G1569" s="64">
        <v>0.0024433387500000002</v>
      </c>
      <c r="H1569" s="10">
        <f t="shared" si="328"/>
        <v>0.00244333875</v>
      </c>
      <c r="I1569" s="65">
        <v>3.9758475E-4</v>
      </c>
      <c r="J1569" s="65">
        <v>5.7367132E-4</v>
      </c>
      <c r="K1569" s="65">
        <v>1.8625218E-4</v>
      </c>
      <c r="L1569" s="65">
        <v>0.0012858305</v>
      </c>
      <c r="N1569" s="66">
        <v>0.008572203333333334</v>
      </c>
      <c r="O1569" s="10">
        <f t="shared" si="329"/>
        <v>0.008572203333</v>
      </c>
      <c r="Q1569" s="67">
        <v>1.2668727</v>
      </c>
      <c r="S1569" s="68">
        <v>2.6935347000000003E-4</v>
      </c>
      <c r="T1569" s="68">
        <v>2.5712113E-4</v>
      </c>
      <c r="U1569" s="68">
        <v>8.523437E-6</v>
      </c>
      <c r="V1569" s="68">
        <v>3.7089094E-6</v>
      </c>
      <c r="X1569" s="69">
        <v>5.8037218E-7</v>
      </c>
    </row>
    <row r="1570" ht="12.75" customHeight="1">
      <c r="A1570" s="1" t="s">
        <v>2240</v>
      </c>
      <c r="B1570" s="2" t="s">
        <v>2238</v>
      </c>
      <c r="C1570" s="60" t="str">
        <f t="shared" si="336"/>
        <v>B.046.02.103</v>
      </c>
      <c r="D1570" s="51" t="s">
        <v>2236</v>
      </c>
      <c r="E1570" s="62" t="s">
        <v>896</v>
      </c>
      <c r="F1570" s="63" t="str">
        <f t="shared" si="337"/>
        <v>Electricity Manitoba production</v>
      </c>
      <c r="G1570" s="64">
        <v>7.279946299999999E-4</v>
      </c>
      <c r="H1570" s="10">
        <f t="shared" si="328"/>
        <v>0.00072799463</v>
      </c>
      <c r="I1570" s="65">
        <v>3.2441973E-5</v>
      </c>
      <c r="J1570" s="65">
        <v>4.4079577E-5</v>
      </c>
      <c r="K1570" s="65">
        <v>2.0388472E-4</v>
      </c>
      <c r="L1570" s="65">
        <v>4.4758836E-4</v>
      </c>
      <c r="N1570" s="66">
        <v>0.0029839224</v>
      </c>
      <c r="O1570" s="10">
        <f t="shared" si="329"/>
        <v>0.0029839224</v>
      </c>
      <c r="Q1570" s="67">
        <v>1.0658133</v>
      </c>
      <c r="S1570" s="68">
        <v>6.0727555E-5</v>
      </c>
      <c r="T1570" s="68">
        <v>5.7701253E-5</v>
      </c>
      <c r="U1570" s="68">
        <v>2.4288547E-6</v>
      </c>
      <c r="V1570" s="68">
        <v>5.9744646E-7</v>
      </c>
      <c r="X1570" s="69">
        <v>1.1743107E-7</v>
      </c>
    </row>
    <row r="1571" ht="12.75" customHeight="1">
      <c r="A1571" s="1" t="s">
        <v>2241</v>
      </c>
      <c r="B1571" s="2" t="s">
        <v>2238</v>
      </c>
      <c r="C1571" s="60" t="str">
        <f t="shared" si="336"/>
        <v>B.046.02.104</v>
      </c>
      <c r="D1571" s="51" t="s">
        <v>2236</v>
      </c>
      <c r="E1571" s="62" t="s">
        <v>896</v>
      </c>
      <c r="F1571" s="63" t="str">
        <f t="shared" si="337"/>
        <v>Electricity New Brunswick production</v>
      </c>
      <c r="G1571" s="64">
        <v>0.024596205418999997</v>
      </c>
      <c r="H1571" s="10">
        <f t="shared" si="328"/>
        <v>0.02459620542</v>
      </c>
      <c r="I1571" s="65">
        <v>0.00144684303</v>
      </c>
      <c r="J1571" s="65">
        <v>0.002402311</v>
      </c>
      <c r="K1571" s="65">
        <v>0.008933746389</v>
      </c>
      <c r="L1571" s="65">
        <v>0.011813305</v>
      </c>
      <c r="N1571" s="66">
        <v>0.07875536666666667</v>
      </c>
      <c r="O1571" s="10">
        <f t="shared" si="329"/>
        <v>0.07875536667</v>
      </c>
      <c r="Q1571" s="67">
        <v>2.5356509</v>
      </c>
      <c r="S1571" s="68">
        <v>0.0018563141</v>
      </c>
      <c r="T1571" s="68">
        <v>0.001754773</v>
      </c>
      <c r="U1571" s="68">
        <v>6.8788906E-5</v>
      </c>
      <c r="V1571" s="68">
        <v>3.2752242E-5</v>
      </c>
      <c r="X1571" s="69">
        <v>5.78016E-6</v>
      </c>
    </row>
    <row r="1572" ht="12.75" customHeight="1">
      <c r="A1572" s="1" t="s">
        <v>2242</v>
      </c>
      <c r="B1572" s="2" t="s">
        <v>2238</v>
      </c>
      <c r="C1572" s="60" t="str">
        <f t="shared" si="336"/>
        <v>B.046.02.105</v>
      </c>
      <c r="D1572" s="51" t="s">
        <v>2236</v>
      </c>
      <c r="E1572" s="62" t="s">
        <v>896</v>
      </c>
      <c r="F1572" s="63" t="str">
        <f t="shared" si="337"/>
        <v>Electricity Newfoundland and Labrador production</v>
      </c>
      <c r="G1572" s="64">
        <v>0.00160290242</v>
      </c>
      <c r="H1572" s="10">
        <f t="shared" si="328"/>
        <v>0.00160290242</v>
      </c>
      <c r="I1572" s="65">
        <v>9.1340048E-5</v>
      </c>
      <c r="J1572" s="65">
        <v>2.17399352E-4</v>
      </c>
      <c r="K1572" s="65">
        <v>1.9763682E-4</v>
      </c>
      <c r="L1572" s="65">
        <v>0.0010965262</v>
      </c>
      <c r="N1572" s="66">
        <v>0.007310174666666667</v>
      </c>
      <c r="O1572" s="10">
        <f t="shared" si="329"/>
        <v>0.007310174667</v>
      </c>
      <c r="Q1572" s="67">
        <v>1.097609</v>
      </c>
      <c r="S1572" s="68">
        <v>1.8371016E-4</v>
      </c>
      <c r="T1572" s="68">
        <v>1.7229337E-4</v>
      </c>
      <c r="U1572" s="68">
        <v>6.5302889E-6</v>
      </c>
      <c r="V1572" s="68">
        <v>4.8865048E-6</v>
      </c>
      <c r="X1572" s="69">
        <v>3.78731E-7</v>
      </c>
    </row>
    <row r="1573" ht="12.75" customHeight="1">
      <c r="A1573" s="1" t="s">
        <v>2243</v>
      </c>
      <c r="B1573" s="2" t="s">
        <v>2238</v>
      </c>
      <c r="C1573" s="60" t="str">
        <f t="shared" si="336"/>
        <v>B.046.02.106</v>
      </c>
      <c r="D1573" s="51" t="s">
        <v>2236</v>
      </c>
      <c r="E1573" s="62" t="s">
        <v>896</v>
      </c>
      <c r="F1573" s="63" t="str">
        <f t="shared" si="337"/>
        <v>Electricity Northwest Territories production</v>
      </c>
      <c r="G1573" s="64">
        <v>0.029034476772999997</v>
      </c>
      <c r="H1573" s="10">
        <f t="shared" si="328"/>
        <v>0.02903447677</v>
      </c>
      <c r="I1573" s="65">
        <v>0.0024648464</v>
      </c>
      <c r="J1573" s="65">
        <v>0.0064425551</v>
      </c>
      <c r="K1573" s="65">
        <v>4.7348273E-5</v>
      </c>
      <c r="L1573" s="65">
        <v>0.020079727</v>
      </c>
      <c r="N1573" s="66">
        <v>0.13386484666666668</v>
      </c>
      <c r="O1573" s="10">
        <f t="shared" si="329"/>
        <v>0.1338648467</v>
      </c>
      <c r="Q1573" s="67">
        <v>2.3451869</v>
      </c>
      <c r="S1573" s="68">
        <v>0.0040638513</v>
      </c>
      <c r="T1573" s="68">
        <v>0.0037874664</v>
      </c>
      <c r="U1573" s="68">
        <v>1.3105814E-4</v>
      </c>
      <c r="V1573" s="68">
        <v>1.4532682E-4</v>
      </c>
      <c r="X1573" s="69">
        <v>8.7729121E-6</v>
      </c>
    </row>
    <row r="1574" ht="12.75" customHeight="1">
      <c r="A1574" s="1" t="s">
        <v>2244</v>
      </c>
      <c r="B1574" s="2" t="s">
        <v>2238</v>
      </c>
      <c r="C1574" s="60" t="str">
        <f t="shared" si="336"/>
        <v>B.046.02.107</v>
      </c>
      <c r="D1574" s="51" t="s">
        <v>2236</v>
      </c>
      <c r="E1574" s="62" t="s">
        <v>896</v>
      </c>
      <c r="F1574" s="63" t="str">
        <f t="shared" si="337"/>
        <v>Electricity Nova Scotia production</v>
      </c>
      <c r="G1574" s="64">
        <v>0.034958874708</v>
      </c>
      <c r="H1574" s="10">
        <f t="shared" si="328"/>
        <v>0.03495887471</v>
      </c>
      <c r="I1574" s="65">
        <v>0.0029330668</v>
      </c>
      <c r="J1574" s="65">
        <v>0.0043084065000000005</v>
      </c>
      <c r="K1574" s="65">
        <v>6.8932408E-5</v>
      </c>
      <c r="L1574" s="65">
        <v>0.027648469</v>
      </c>
      <c r="N1574" s="66">
        <v>0.18432312666666667</v>
      </c>
      <c r="O1574" s="10">
        <f t="shared" si="329"/>
        <v>0.1843231267</v>
      </c>
      <c r="Q1574" s="67">
        <v>2.3786131</v>
      </c>
      <c r="S1574" s="68">
        <v>0.0040021685</v>
      </c>
      <c r="T1574" s="68">
        <v>0.0037965432</v>
      </c>
      <c r="U1574" s="68">
        <v>1.5508504E-4</v>
      </c>
      <c r="V1574" s="68">
        <v>5.0540227E-5</v>
      </c>
      <c r="X1574" s="69">
        <v>9.4366333E-6</v>
      </c>
    </row>
    <row r="1575" ht="12.75" customHeight="1">
      <c r="A1575" s="1" t="s">
        <v>2245</v>
      </c>
      <c r="B1575" s="2" t="s">
        <v>2238</v>
      </c>
      <c r="C1575" s="60" t="str">
        <f t="shared" si="336"/>
        <v>B.046.02.108</v>
      </c>
      <c r="D1575" s="51" t="s">
        <v>2236</v>
      </c>
      <c r="E1575" s="62" t="s">
        <v>896</v>
      </c>
      <c r="F1575" s="63" t="str">
        <f t="shared" si="337"/>
        <v>Electricity Nunavut production</v>
      </c>
      <c r="G1575" s="64">
        <v>0.04669522351263</v>
      </c>
      <c r="H1575" s="10">
        <f t="shared" si="328"/>
        <v>0.04669522351</v>
      </c>
      <c r="I1575" s="65">
        <v>0.0028719283</v>
      </c>
      <c r="J1575" s="65">
        <v>0.008744920199999999</v>
      </c>
      <c r="K1575" s="65">
        <v>1.3101263E-7</v>
      </c>
      <c r="L1575" s="65">
        <v>0.035078244</v>
      </c>
      <c r="N1575" s="66">
        <v>0.23385496000000003</v>
      </c>
      <c r="O1575" s="10">
        <f t="shared" si="329"/>
        <v>0.23385496</v>
      </c>
      <c r="Q1575" s="67">
        <v>2.7907391</v>
      </c>
      <c r="S1575" s="68">
        <v>0.0064695079</v>
      </c>
      <c r="T1575" s="68">
        <v>0.0060511911</v>
      </c>
      <c r="U1575" s="68">
        <v>2.190933E-4</v>
      </c>
      <c r="V1575" s="68">
        <v>1.9922354E-4</v>
      </c>
      <c r="X1575" s="69">
        <v>1.3260532E-5</v>
      </c>
    </row>
    <row r="1576" ht="12.75" customHeight="1">
      <c r="A1576" s="1" t="s">
        <v>2246</v>
      </c>
      <c r="B1576" s="2" t="s">
        <v>2238</v>
      </c>
      <c r="C1576" s="60" t="str">
        <f t="shared" si="336"/>
        <v>B.046.02.109</v>
      </c>
      <c r="D1576" s="51" t="s">
        <v>2236</v>
      </c>
      <c r="E1576" s="62" t="s">
        <v>896</v>
      </c>
      <c r="F1576" s="63" t="str">
        <f t="shared" si="337"/>
        <v>Electricity Ontario production</v>
      </c>
      <c r="G1576" s="64">
        <v>0.019190938105</v>
      </c>
      <c r="H1576" s="10">
        <f t="shared" si="328"/>
        <v>0.01919093811</v>
      </c>
      <c r="I1576" s="65">
        <v>6.830853E-4</v>
      </c>
      <c r="J1576" s="65">
        <v>0.0012114237199999998</v>
      </c>
      <c r="K1576" s="65">
        <v>0.013231322685</v>
      </c>
      <c r="L1576" s="65">
        <v>0.0040651064</v>
      </c>
      <c r="N1576" s="66">
        <v>0.027100709333333334</v>
      </c>
      <c r="O1576" s="10">
        <f t="shared" si="329"/>
        <v>0.02710070933</v>
      </c>
      <c r="Q1576" s="67">
        <v>2.5419816</v>
      </c>
      <c r="S1576" s="68">
        <v>7.190721E-4</v>
      </c>
      <c r="T1576" s="68">
        <v>6.7516979E-4</v>
      </c>
      <c r="U1576" s="68">
        <v>2.5165486E-5</v>
      </c>
      <c r="V1576" s="68">
        <v>1.8736824E-5</v>
      </c>
      <c r="X1576" s="69">
        <v>3.9283542E-6</v>
      </c>
    </row>
    <row r="1577" ht="12.75" customHeight="1">
      <c r="A1577" s="1" t="s">
        <v>2247</v>
      </c>
      <c r="B1577" s="2" t="s">
        <v>2238</v>
      </c>
      <c r="C1577" s="60" t="str">
        <f t="shared" si="336"/>
        <v>B.046.02.110</v>
      </c>
      <c r="D1577" s="51" t="s">
        <v>2236</v>
      </c>
      <c r="E1577" s="62" t="s">
        <v>896</v>
      </c>
      <c r="F1577" s="63" t="str">
        <f t="shared" si="337"/>
        <v>Electricity New Brunswick production</v>
      </c>
      <c r="G1577" s="64">
        <v>0.024596205418999997</v>
      </c>
      <c r="H1577" s="10">
        <f t="shared" si="328"/>
        <v>0.02459620542</v>
      </c>
      <c r="I1577" s="65">
        <v>0.00144684303</v>
      </c>
      <c r="J1577" s="65">
        <v>0.002402311</v>
      </c>
      <c r="K1577" s="65">
        <v>0.008933746389</v>
      </c>
      <c r="L1577" s="65">
        <v>0.011813305</v>
      </c>
      <c r="N1577" s="66">
        <v>0.07875536666666667</v>
      </c>
      <c r="O1577" s="10">
        <f t="shared" si="329"/>
        <v>0.07875536667</v>
      </c>
      <c r="Q1577" s="67">
        <v>2.5356509</v>
      </c>
      <c r="S1577" s="68">
        <v>0.0018563141</v>
      </c>
      <c r="T1577" s="68">
        <v>0.001754773</v>
      </c>
      <c r="U1577" s="68">
        <v>6.8788906E-5</v>
      </c>
      <c r="V1577" s="68">
        <v>3.2752242E-5</v>
      </c>
      <c r="X1577" s="69">
        <v>5.78016E-6</v>
      </c>
    </row>
    <row r="1578" ht="12.75" customHeight="1">
      <c r="A1578" s="1" t="s">
        <v>2248</v>
      </c>
      <c r="B1578" s="2" t="s">
        <v>2238</v>
      </c>
      <c r="C1578" s="60" t="str">
        <f t="shared" si="336"/>
        <v>B.046.02.111</v>
      </c>
      <c r="D1578" s="51" t="s">
        <v>2236</v>
      </c>
      <c r="E1578" s="62" t="s">
        <v>896</v>
      </c>
      <c r="F1578" s="63" t="str">
        <f t="shared" si="337"/>
        <v>Electricity Quebec production</v>
      </c>
      <c r="G1578" s="64">
        <v>7.34773806E-4</v>
      </c>
      <c r="H1578" s="10">
        <f t="shared" si="328"/>
        <v>0.000734773806</v>
      </c>
      <c r="I1578" s="65">
        <v>4.6143233E-5</v>
      </c>
      <c r="J1578" s="65">
        <v>7.1752503E-5</v>
      </c>
      <c r="K1578" s="65">
        <v>2.0548682E-4</v>
      </c>
      <c r="L1578" s="65">
        <v>4.1139125E-4</v>
      </c>
      <c r="N1578" s="66">
        <v>0.0027426083333333337</v>
      </c>
      <c r="O1578" s="10">
        <f t="shared" si="329"/>
        <v>0.002742608333</v>
      </c>
      <c r="Q1578" s="67">
        <v>1.0766309</v>
      </c>
      <c r="S1578" s="68">
        <v>6.3914844E-5</v>
      </c>
      <c r="T1578" s="68">
        <v>6.0947315E-5</v>
      </c>
      <c r="U1578" s="68">
        <v>2.3623981E-6</v>
      </c>
      <c r="V1578" s="68">
        <v>6.051305E-7</v>
      </c>
      <c r="X1578" s="69">
        <v>1.2294245E-7</v>
      </c>
    </row>
    <row r="1579" ht="12.75" customHeight="1">
      <c r="A1579" s="1" t="s">
        <v>2249</v>
      </c>
      <c r="B1579" s="2" t="s">
        <v>2238</v>
      </c>
      <c r="C1579" s="60" t="str">
        <f t="shared" si="336"/>
        <v>B.046.02.112</v>
      </c>
      <c r="D1579" s="51" t="s">
        <v>2236</v>
      </c>
      <c r="E1579" s="62" t="s">
        <v>896</v>
      </c>
      <c r="F1579" s="63" t="str">
        <f t="shared" si="337"/>
        <v>Electricity Saskatchewan production</v>
      </c>
      <c r="G1579" s="64">
        <v>0.03985070072</v>
      </c>
      <c r="H1579" s="10">
        <f t="shared" si="328"/>
        <v>0.03985070072</v>
      </c>
      <c r="I1579" s="65">
        <v>0.0033167109000000004</v>
      </c>
      <c r="J1579" s="65">
        <v>0.0047768789999999995</v>
      </c>
      <c r="K1579" s="65">
        <v>4.731782E-5</v>
      </c>
      <c r="L1579" s="65">
        <v>0.031709793</v>
      </c>
      <c r="N1579" s="66">
        <v>0.21139862</v>
      </c>
      <c r="O1579" s="10">
        <f t="shared" si="329"/>
        <v>0.21139862</v>
      </c>
      <c r="Q1579" s="67">
        <v>2.3131324</v>
      </c>
      <c r="S1579" s="68">
        <v>0.0045214844</v>
      </c>
      <c r="T1579" s="68">
        <v>0.0042682529</v>
      </c>
      <c r="U1579" s="68">
        <v>1.7689275E-4</v>
      </c>
      <c r="V1579" s="68">
        <v>7.6338759E-5</v>
      </c>
      <c r="X1579" s="69">
        <v>1.0432632E-5</v>
      </c>
    </row>
    <row r="1580" ht="12.75" customHeight="1">
      <c r="A1580" s="1" t="s">
        <v>2250</v>
      </c>
      <c r="B1580" s="2" t="s">
        <v>2238</v>
      </c>
      <c r="C1580" s="60" t="str">
        <f t="shared" si="336"/>
        <v>B.046.02.113</v>
      </c>
      <c r="D1580" s="51" t="s">
        <v>2236</v>
      </c>
      <c r="E1580" s="62" t="s">
        <v>896</v>
      </c>
      <c r="F1580" s="63" t="str">
        <f t="shared" si="337"/>
        <v>Electricity Yukon production</v>
      </c>
      <c r="G1580" s="64">
        <v>0.0056273530700000005</v>
      </c>
      <c r="H1580" s="10">
        <f t="shared" si="328"/>
        <v>0.00562735307</v>
      </c>
      <c r="I1580" s="65">
        <v>4.5782325E-4</v>
      </c>
      <c r="J1580" s="65">
        <v>9.166517499999999E-4</v>
      </c>
      <c r="K1580" s="65">
        <v>1.7807797E-4</v>
      </c>
      <c r="L1580" s="65">
        <v>0.0040748001</v>
      </c>
      <c r="N1580" s="66">
        <v>0.027165334000000003</v>
      </c>
      <c r="O1580" s="10">
        <f t="shared" si="329"/>
        <v>0.027165334</v>
      </c>
      <c r="Q1580" s="67">
        <v>1.2408245</v>
      </c>
      <c r="S1580" s="68">
        <v>6.885048E-4</v>
      </c>
      <c r="T1580" s="68">
        <v>6.4376401E-4</v>
      </c>
      <c r="U1580" s="68">
        <v>2.442525E-5</v>
      </c>
      <c r="V1580" s="68">
        <v>2.0315535E-5</v>
      </c>
      <c r="X1580" s="69">
        <v>1.5014334E-6</v>
      </c>
    </row>
    <row r="1581" ht="12.75" customHeight="1">
      <c r="B1581" s="2"/>
      <c r="C1581" s="60"/>
      <c r="D1581" s="75" t="s">
        <v>2251</v>
      </c>
      <c r="E1581" s="62"/>
      <c r="G1581" s="10"/>
      <c r="H1581" s="10" t="str">
        <f t="shared" si="328"/>
        <v/>
      </c>
      <c r="I1581" s="10"/>
      <c r="J1581" s="10"/>
      <c r="K1581" s="10"/>
      <c r="L1581" s="10"/>
      <c r="N1581" s="10"/>
      <c r="O1581" s="10" t="str">
        <f t="shared" si="329"/>
        <v/>
      </c>
      <c r="Q1581" s="67"/>
    </row>
    <row r="1582" ht="12.75" customHeight="1">
      <c r="A1582" s="1" t="s">
        <v>2252</v>
      </c>
      <c r="B1582" s="2" t="s">
        <v>2253</v>
      </c>
      <c r="C1582" s="60" t="str">
        <f t="shared" ref="C1582:C1612" si="338">MID(A1582,1,12)</f>
        <v>B.046.04.101</v>
      </c>
      <c r="D1582" s="51" t="s">
        <v>2251</v>
      </c>
      <c r="E1582" s="62" t="s">
        <v>896</v>
      </c>
      <c r="F1582" s="63" t="str">
        <f t="shared" ref="F1582:F1612" si="339">MID(A1582, 21,85)</f>
        <v>Electricity Beijing production</v>
      </c>
      <c r="G1582" s="64">
        <v>0.0376248491749</v>
      </c>
      <c r="H1582" s="10">
        <f t="shared" si="328"/>
        <v>0.03762484917</v>
      </c>
      <c r="I1582" s="65">
        <v>3.7804043E-4</v>
      </c>
      <c r="J1582" s="65">
        <v>6.3543141E-4</v>
      </c>
      <c r="K1582" s="65">
        <v>7.8653349E-6</v>
      </c>
      <c r="L1582" s="65">
        <v>0.036603512</v>
      </c>
      <c r="N1582" s="66">
        <v>0.24402341333333333</v>
      </c>
      <c r="O1582" s="10">
        <f t="shared" si="329"/>
        <v>0.2440234133</v>
      </c>
      <c r="Q1582" s="67">
        <v>2.7709687</v>
      </c>
      <c r="S1582" s="68">
        <v>0.0041292091</v>
      </c>
      <c r="T1582" s="68">
        <v>0.0039022694</v>
      </c>
      <c r="U1582" s="68">
        <v>1.8714592E-4</v>
      </c>
      <c r="V1582" s="68">
        <v>3.9793776E-5</v>
      </c>
      <c r="X1582" s="69">
        <v>1.0197789E-5</v>
      </c>
    </row>
    <row r="1583" ht="12.75" customHeight="1">
      <c r="A1583" s="1" t="s">
        <v>2254</v>
      </c>
      <c r="B1583" s="2" t="s">
        <v>2253</v>
      </c>
      <c r="C1583" s="60" t="str">
        <f t="shared" si="338"/>
        <v>B.046.04.102</v>
      </c>
      <c r="D1583" s="51" t="s">
        <v>2251</v>
      </c>
      <c r="E1583" s="62" t="s">
        <v>896</v>
      </c>
      <c r="F1583" s="63" t="str">
        <f t="shared" si="339"/>
        <v>Electricity Tianjin production</v>
      </c>
      <c r="G1583" s="64">
        <v>0.035205230289</v>
      </c>
      <c r="H1583" s="10">
        <f t="shared" si="328"/>
        <v>0.03520523029</v>
      </c>
      <c r="I1583" s="65">
        <v>3.56193135E-4</v>
      </c>
      <c r="J1583" s="65">
        <v>6.021826499999999E-4</v>
      </c>
      <c r="K1583" s="65">
        <v>2.8296504E-5</v>
      </c>
      <c r="L1583" s="65">
        <v>0.034218558</v>
      </c>
      <c r="N1583" s="66">
        <v>0.22812372000000003</v>
      </c>
      <c r="O1583" s="10">
        <f t="shared" si="329"/>
        <v>0.22812372</v>
      </c>
      <c r="Q1583" s="67">
        <v>2.6561502</v>
      </c>
      <c r="S1583" s="68">
        <v>0.0038617929</v>
      </c>
      <c r="T1583" s="68">
        <v>0.0036496393</v>
      </c>
      <c r="U1583" s="68">
        <v>1.7498669E-4</v>
      </c>
      <c r="V1583" s="68">
        <v>3.716686E-5</v>
      </c>
      <c r="X1583" s="69">
        <v>9.5322421E-6</v>
      </c>
    </row>
    <row r="1584" ht="12.75" customHeight="1">
      <c r="A1584" s="1" t="s">
        <v>2255</v>
      </c>
      <c r="B1584" s="2" t="s">
        <v>2253</v>
      </c>
      <c r="C1584" s="60" t="str">
        <f t="shared" si="338"/>
        <v>B.046.04.103</v>
      </c>
      <c r="D1584" s="51" t="s">
        <v>2251</v>
      </c>
      <c r="E1584" s="62" t="s">
        <v>896</v>
      </c>
      <c r="F1584" s="63" t="str">
        <f t="shared" si="339"/>
        <v>Electricity Hebei production</v>
      </c>
      <c r="G1584" s="64">
        <v>0.028303431122</v>
      </c>
      <c r="H1584" s="10">
        <f t="shared" si="328"/>
        <v>0.02830343112</v>
      </c>
      <c r="I1584" s="65">
        <v>2.91547817E-4</v>
      </c>
      <c r="J1584" s="65">
        <v>5.0103791E-4</v>
      </c>
      <c r="K1584" s="65">
        <v>8.0044395E-5</v>
      </c>
      <c r="L1584" s="65">
        <v>0.027430801</v>
      </c>
      <c r="N1584" s="66">
        <v>0.18287200666666667</v>
      </c>
      <c r="O1584" s="10">
        <f t="shared" si="329"/>
        <v>0.1828720067</v>
      </c>
      <c r="Q1584" s="67">
        <v>2.330264</v>
      </c>
      <c r="S1584" s="68">
        <v>0.0030997706</v>
      </c>
      <c r="T1584" s="68">
        <v>0.0029297024</v>
      </c>
      <c r="U1584" s="68">
        <v>1.403589E-4</v>
      </c>
      <c r="V1584" s="68">
        <v>2.9709248E-5</v>
      </c>
      <c r="X1584" s="69">
        <v>7.6383583E-6</v>
      </c>
    </row>
    <row r="1585" ht="12.75" customHeight="1">
      <c r="A1585" s="1" t="s">
        <v>2256</v>
      </c>
      <c r="B1585" s="2" t="s">
        <v>2253</v>
      </c>
      <c r="C1585" s="60" t="str">
        <f t="shared" si="338"/>
        <v>B.046.04.104</v>
      </c>
      <c r="D1585" s="51" t="s">
        <v>2251</v>
      </c>
      <c r="E1585" s="62" t="s">
        <v>896</v>
      </c>
      <c r="F1585" s="63" t="str">
        <f t="shared" si="339"/>
        <v>Electricity Shanxi production</v>
      </c>
      <c r="G1585" s="64">
        <v>0.032105273457999996</v>
      </c>
      <c r="H1585" s="10">
        <f t="shared" si="328"/>
        <v>0.03210527346</v>
      </c>
      <c r="I1585" s="65">
        <v>3.2708389999999997E-4</v>
      </c>
      <c r="J1585" s="65">
        <v>5.569741500000001E-4</v>
      </c>
      <c r="K1585" s="65">
        <v>5.1641408E-5</v>
      </c>
      <c r="L1585" s="65">
        <v>0.031169574</v>
      </c>
      <c r="N1585" s="66">
        <v>0.20779716</v>
      </c>
      <c r="O1585" s="10">
        <f t="shared" si="329"/>
        <v>0.20779716</v>
      </c>
      <c r="Q1585" s="67">
        <v>2.5098319</v>
      </c>
      <c r="S1585" s="68">
        <v>0.0035196268</v>
      </c>
      <c r="T1585" s="68">
        <v>0.0033263734</v>
      </c>
      <c r="U1585" s="68">
        <v>1.5943484E-4</v>
      </c>
      <c r="V1585" s="68">
        <v>3.3818528E-5</v>
      </c>
      <c r="X1585" s="69">
        <v>8.6817209E-6</v>
      </c>
    </row>
    <row r="1586" ht="12.75" customHeight="1">
      <c r="A1586" s="1" t="s">
        <v>2257</v>
      </c>
      <c r="B1586" s="2" t="s">
        <v>2253</v>
      </c>
      <c r="C1586" s="60" t="str">
        <f t="shared" si="338"/>
        <v>B.046.04.105</v>
      </c>
      <c r="D1586" s="51" t="s">
        <v>2251</v>
      </c>
      <c r="E1586" s="62" t="s">
        <v>896</v>
      </c>
      <c r="F1586" s="63" t="str">
        <f t="shared" si="339"/>
        <v>Electricity Inner Mongolia production</v>
      </c>
      <c r="G1586" s="64">
        <v>0.028590138624</v>
      </c>
      <c r="H1586" s="10">
        <f t="shared" si="328"/>
        <v>0.02859013862</v>
      </c>
      <c r="I1586" s="65">
        <v>2.94499807E-4</v>
      </c>
      <c r="J1586" s="65">
        <v>5.0741338E-4</v>
      </c>
      <c r="K1586" s="65">
        <v>7.9709437E-5</v>
      </c>
      <c r="L1586" s="65">
        <v>0.027708516</v>
      </c>
      <c r="N1586" s="66">
        <v>0.18472344</v>
      </c>
      <c r="O1586" s="10">
        <f t="shared" si="329"/>
        <v>0.18472344</v>
      </c>
      <c r="Q1586" s="67">
        <v>2.3436247</v>
      </c>
      <c r="S1586" s="68">
        <v>0.0031315922</v>
      </c>
      <c r="T1586" s="68">
        <v>0.0029597873</v>
      </c>
      <c r="U1586" s="68">
        <v>1.417894E-4</v>
      </c>
      <c r="V1586" s="68">
        <v>3.0015483E-5</v>
      </c>
      <c r="X1586" s="69">
        <v>7.7164311E-6</v>
      </c>
    </row>
    <row r="1587" ht="12.75" customHeight="1">
      <c r="A1587" s="1" t="s">
        <v>2258</v>
      </c>
      <c r="B1587" s="2" t="s">
        <v>2253</v>
      </c>
      <c r="C1587" s="60" t="str">
        <f t="shared" si="338"/>
        <v>B.046.04.106</v>
      </c>
      <c r="D1587" s="51" t="s">
        <v>2251</v>
      </c>
      <c r="E1587" s="62" t="s">
        <v>896</v>
      </c>
      <c r="F1587" s="63" t="str">
        <f t="shared" si="339"/>
        <v>Electricity Liaoning production</v>
      </c>
      <c r="G1587" s="64">
        <v>0.028342036687</v>
      </c>
      <c r="H1587" s="10">
        <f t="shared" si="328"/>
        <v>0.02834203669</v>
      </c>
      <c r="I1587" s="65">
        <v>2.49633412E-4</v>
      </c>
      <c r="J1587" s="65">
        <v>5.228017E-4</v>
      </c>
      <c r="K1587" s="65">
        <v>0.005980535575</v>
      </c>
      <c r="L1587" s="65">
        <v>0.021589066</v>
      </c>
      <c r="N1587" s="66">
        <v>0.14392710666666667</v>
      </c>
      <c r="O1587" s="10">
        <f t="shared" si="329"/>
        <v>0.1439271067</v>
      </c>
      <c r="Q1587" s="67">
        <v>2.6311188</v>
      </c>
      <c r="S1587" s="68">
        <v>0.0024721125</v>
      </c>
      <c r="T1587" s="68">
        <v>0.0023376502</v>
      </c>
      <c r="U1587" s="68">
        <v>1.1110166E-4</v>
      </c>
      <c r="V1587" s="68">
        <v>2.3360678E-5</v>
      </c>
      <c r="X1587" s="69">
        <v>7.0884624E-6</v>
      </c>
    </row>
    <row r="1588" ht="12.75" customHeight="1">
      <c r="A1588" s="1" t="s">
        <v>2259</v>
      </c>
      <c r="B1588" s="2" t="s">
        <v>2253</v>
      </c>
      <c r="C1588" s="60" t="str">
        <f t="shared" si="338"/>
        <v>B.046.04.107</v>
      </c>
      <c r="D1588" s="51" t="s">
        <v>2251</v>
      </c>
      <c r="E1588" s="62" t="s">
        <v>896</v>
      </c>
      <c r="F1588" s="63" t="str">
        <f t="shared" si="339"/>
        <v>Electricity Jilin production</v>
      </c>
      <c r="G1588" s="64">
        <v>0.023755944175</v>
      </c>
      <c r="H1588" s="10">
        <f t="shared" si="328"/>
        <v>0.02375594418</v>
      </c>
      <c r="I1588" s="65">
        <v>2.47137115E-4</v>
      </c>
      <c r="J1588" s="65">
        <v>4.2888799000000003E-4</v>
      </c>
      <c r="K1588" s="65">
        <v>1.0861207E-4</v>
      </c>
      <c r="L1588" s="65">
        <v>0.022971307</v>
      </c>
      <c r="N1588" s="66">
        <v>0.15314204666666667</v>
      </c>
      <c r="O1588" s="10">
        <f t="shared" si="329"/>
        <v>0.1531420467</v>
      </c>
      <c r="Q1588" s="67">
        <v>2.1168081</v>
      </c>
      <c r="S1588" s="68">
        <v>0.0025981801</v>
      </c>
      <c r="T1588" s="68">
        <v>0.0024557698</v>
      </c>
      <c r="U1588" s="68">
        <v>1.1758724E-4</v>
      </c>
      <c r="V1588" s="68">
        <v>2.4823043E-5</v>
      </c>
      <c r="X1588" s="69">
        <v>6.3940877E-6</v>
      </c>
    </row>
    <row r="1589" ht="12.75" customHeight="1">
      <c r="A1589" s="1" t="s">
        <v>2260</v>
      </c>
      <c r="B1589" s="2" t="s">
        <v>2253</v>
      </c>
      <c r="C1589" s="60" t="str">
        <f t="shared" si="338"/>
        <v>B.046.04.108</v>
      </c>
      <c r="D1589" s="51" t="s">
        <v>2251</v>
      </c>
      <c r="E1589" s="62" t="s">
        <v>896</v>
      </c>
      <c r="F1589" s="63" t="str">
        <f t="shared" si="339"/>
        <v>Electricity Heilongjiang production</v>
      </c>
      <c r="G1589" s="64">
        <v>0.02834200223</v>
      </c>
      <c r="H1589" s="10">
        <f t="shared" si="328"/>
        <v>0.02834200223</v>
      </c>
      <c r="I1589" s="65">
        <v>2.91565371E-4</v>
      </c>
      <c r="J1589" s="65">
        <v>5.0124217E-4</v>
      </c>
      <c r="K1589" s="65">
        <v>7.9209689E-5</v>
      </c>
      <c r="L1589" s="65">
        <v>0.027469985</v>
      </c>
      <c r="N1589" s="66">
        <v>0.18313323333333334</v>
      </c>
      <c r="O1589" s="10">
        <f t="shared" si="329"/>
        <v>0.1831332333</v>
      </c>
      <c r="Q1589" s="67">
        <v>2.332329</v>
      </c>
      <c r="S1589" s="68">
        <v>0.0031042418</v>
      </c>
      <c r="T1589" s="68">
        <v>0.0029339254</v>
      </c>
      <c r="U1589" s="68">
        <v>1.4056E-4</v>
      </c>
      <c r="V1589" s="68">
        <v>2.9756363E-5</v>
      </c>
      <c r="X1589" s="69">
        <v>7.6495818E-6</v>
      </c>
    </row>
    <row r="1590" ht="12.75" customHeight="1">
      <c r="A1590" s="1" t="s">
        <v>2261</v>
      </c>
      <c r="B1590" s="2" t="s">
        <v>2253</v>
      </c>
      <c r="C1590" s="60" t="str">
        <f t="shared" si="338"/>
        <v>B.046.04.109</v>
      </c>
      <c r="D1590" s="51" t="s">
        <v>2251</v>
      </c>
      <c r="E1590" s="62" t="s">
        <v>896</v>
      </c>
      <c r="F1590" s="63" t="str">
        <f t="shared" si="339"/>
        <v>Electricity Shanghai production</v>
      </c>
      <c r="G1590" s="64">
        <v>0.037524100011000004</v>
      </c>
      <c r="H1590" s="10">
        <f t="shared" si="328"/>
        <v>0.03752410001</v>
      </c>
      <c r="I1590" s="65">
        <v>3.7780880300000003E-4</v>
      </c>
      <c r="J1590" s="65">
        <v>6.366318800000001E-4</v>
      </c>
      <c r="K1590" s="65">
        <v>1.1168328E-5</v>
      </c>
      <c r="L1590" s="65">
        <v>0.036498491</v>
      </c>
      <c r="N1590" s="66">
        <v>0.24332327333333334</v>
      </c>
      <c r="O1590" s="10">
        <f t="shared" si="329"/>
        <v>0.2433232733</v>
      </c>
      <c r="Q1590" s="67">
        <v>2.765719</v>
      </c>
      <c r="S1590" s="68">
        <v>0.0041179826</v>
      </c>
      <c r="T1590" s="68">
        <v>0.0038916857</v>
      </c>
      <c r="U1590" s="68">
        <v>1.8662261E-4</v>
      </c>
      <c r="V1590" s="68">
        <v>3.9674317E-5</v>
      </c>
      <c r="X1590" s="69">
        <v>1.0168712E-5</v>
      </c>
    </row>
    <row r="1591" ht="12.75" customHeight="1">
      <c r="A1591" s="1" t="s">
        <v>2262</v>
      </c>
      <c r="B1591" s="2" t="s">
        <v>2253</v>
      </c>
      <c r="C1591" s="60" t="str">
        <f t="shared" si="338"/>
        <v>B.046.04.110</v>
      </c>
      <c r="D1591" s="51" t="s">
        <v>2251</v>
      </c>
      <c r="E1591" s="62" t="s">
        <v>896</v>
      </c>
      <c r="F1591" s="63" t="str">
        <f t="shared" si="339"/>
        <v>Electricity Jiangsu production</v>
      </c>
      <c r="G1591" s="64">
        <v>0.033437008165999996</v>
      </c>
      <c r="H1591" s="10">
        <f t="shared" si="328"/>
        <v>0.03343700817</v>
      </c>
      <c r="I1591" s="65">
        <v>3.2478202500000003E-4</v>
      </c>
      <c r="J1591" s="65">
        <v>5.8446091E-4</v>
      </c>
      <c r="K1591" s="65">
        <v>0.002123841231</v>
      </c>
      <c r="L1591" s="65">
        <v>0.030403924</v>
      </c>
      <c r="N1591" s="66">
        <v>0.20269282666666666</v>
      </c>
      <c r="O1591" s="10">
        <f t="shared" si="329"/>
        <v>0.2026928267</v>
      </c>
      <c r="Q1591" s="67">
        <v>2.678111</v>
      </c>
      <c r="S1591" s="68">
        <v>0.0034437049</v>
      </c>
      <c r="T1591" s="68">
        <v>0.0032549807</v>
      </c>
      <c r="U1591" s="68">
        <v>1.5572313E-4</v>
      </c>
      <c r="V1591" s="68">
        <v>3.3001032E-5</v>
      </c>
      <c r="X1591" s="69">
        <v>8.8491447E-6</v>
      </c>
    </row>
    <row r="1592" ht="12.75" customHeight="1">
      <c r="A1592" s="1" t="s">
        <v>2263</v>
      </c>
      <c r="B1592" s="2" t="s">
        <v>2253</v>
      </c>
      <c r="C1592" s="60" t="str">
        <f t="shared" si="338"/>
        <v>B.046.04.111</v>
      </c>
      <c r="D1592" s="51" t="s">
        <v>2251</v>
      </c>
      <c r="E1592" s="62" t="s">
        <v>896</v>
      </c>
      <c r="F1592" s="63" t="str">
        <f t="shared" si="339"/>
        <v>Electricity Zhejiang production</v>
      </c>
      <c r="G1592" s="64">
        <v>0.03304214404</v>
      </c>
      <c r="H1592" s="10">
        <f t="shared" si="328"/>
        <v>0.03304214404</v>
      </c>
      <c r="I1592" s="65">
        <v>3.07513022E-4</v>
      </c>
      <c r="J1592" s="65">
        <v>5.8173123E-4</v>
      </c>
      <c r="K1592" s="65">
        <v>0.003924794788</v>
      </c>
      <c r="L1592" s="65">
        <v>0.028228105</v>
      </c>
      <c r="N1592" s="66">
        <v>0.18818736666666666</v>
      </c>
      <c r="O1592" s="10">
        <f t="shared" si="329"/>
        <v>0.1881873667</v>
      </c>
      <c r="Q1592" s="67">
        <v>2.7511931</v>
      </c>
      <c r="S1592" s="68">
        <v>0.0032071704</v>
      </c>
      <c r="T1592" s="68">
        <v>0.0030317663</v>
      </c>
      <c r="U1592" s="68">
        <v>1.4477066E-4</v>
      </c>
      <c r="V1592" s="68">
        <v>3.063353E-5</v>
      </c>
      <c r="X1592" s="69">
        <v>8.5711101E-6</v>
      </c>
    </row>
    <row r="1593" ht="12.75" customHeight="1">
      <c r="A1593" s="1" t="s">
        <v>2264</v>
      </c>
      <c r="B1593" s="2" t="s">
        <v>2253</v>
      </c>
      <c r="C1593" s="60" t="str">
        <f t="shared" si="338"/>
        <v>B.046.04.112</v>
      </c>
      <c r="D1593" s="51" t="s">
        <v>2251</v>
      </c>
      <c r="E1593" s="62" t="s">
        <v>896</v>
      </c>
      <c r="F1593" s="63" t="str">
        <f t="shared" si="339"/>
        <v>Electricity Anhui production</v>
      </c>
      <c r="G1593" s="64">
        <v>0.034650987786999994</v>
      </c>
      <c r="H1593" s="10">
        <f t="shared" si="328"/>
        <v>0.03465098779</v>
      </c>
      <c r="I1593" s="65">
        <v>3.5049399899999997E-4</v>
      </c>
      <c r="J1593" s="65">
        <v>5.9244313E-4</v>
      </c>
      <c r="K1593" s="65">
        <v>3.0849658E-5</v>
      </c>
      <c r="L1593" s="65">
        <v>0.033677201</v>
      </c>
      <c r="N1593" s="66">
        <v>0.22451467333333333</v>
      </c>
      <c r="O1593" s="10">
        <f t="shared" si="329"/>
        <v>0.2245146733</v>
      </c>
      <c r="Q1593" s="67">
        <v>2.6303334</v>
      </c>
      <c r="S1593" s="68">
        <v>0.0038007239</v>
      </c>
      <c r="T1593" s="68">
        <v>0.0035919299</v>
      </c>
      <c r="U1593" s="68">
        <v>1.7221833E-4</v>
      </c>
      <c r="V1593" s="68">
        <v>3.6575643E-5</v>
      </c>
      <c r="X1593" s="69">
        <v>9.3811605E-6</v>
      </c>
    </row>
    <row r="1594" ht="12.75" customHeight="1">
      <c r="A1594" s="1" t="s">
        <v>2265</v>
      </c>
      <c r="B1594" s="2" t="s">
        <v>2253</v>
      </c>
      <c r="C1594" s="60" t="str">
        <f t="shared" si="338"/>
        <v>B.046.04.113</v>
      </c>
      <c r="D1594" s="51" t="s">
        <v>2251</v>
      </c>
      <c r="E1594" s="62" t="s">
        <v>896</v>
      </c>
      <c r="F1594" s="63" t="str">
        <f t="shared" si="339"/>
        <v>Electricity Fujian production</v>
      </c>
      <c r="G1594" s="64">
        <v>0.029863934514999996</v>
      </c>
      <c r="H1594" s="10">
        <f t="shared" si="328"/>
        <v>0.02986393452</v>
      </c>
      <c r="I1594" s="65">
        <v>2.54239057E-4</v>
      </c>
      <c r="J1594" s="65">
        <v>5.442624499999999E-4</v>
      </c>
      <c r="K1594" s="65">
        <v>0.007131703008</v>
      </c>
      <c r="L1594" s="65">
        <v>0.02193373</v>
      </c>
      <c r="N1594" s="66">
        <v>0.14622486666666668</v>
      </c>
      <c r="O1594" s="10">
        <f t="shared" si="329"/>
        <v>0.1462248667</v>
      </c>
      <c r="Q1594" s="67">
        <v>2.7630236</v>
      </c>
      <c r="S1594" s="68">
        <v>0.0025152843</v>
      </c>
      <c r="T1594" s="68">
        <v>0.0023785806</v>
      </c>
      <c r="U1594" s="68">
        <v>1.1294361E-4</v>
      </c>
      <c r="V1594" s="68">
        <v>2.376004E-5</v>
      </c>
      <c r="X1594" s="69">
        <v>7.397795E-6</v>
      </c>
    </row>
    <row r="1595" ht="12.75" customHeight="1">
      <c r="A1595" s="1" t="s">
        <v>2266</v>
      </c>
      <c r="B1595" s="2" t="s">
        <v>2253</v>
      </c>
      <c r="C1595" s="60" t="str">
        <f t="shared" si="338"/>
        <v>B.046.04.114</v>
      </c>
      <c r="D1595" s="51" t="s">
        <v>2251</v>
      </c>
      <c r="E1595" s="62" t="s">
        <v>896</v>
      </c>
      <c r="F1595" s="63" t="str">
        <f t="shared" si="339"/>
        <v>Electricity Jiangxi production</v>
      </c>
      <c r="G1595" s="64">
        <v>0.032064392926</v>
      </c>
      <c r="H1595" s="10">
        <f t="shared" si="328"/>
        <v>0.03206439293</v>
      </c>
      <c r="I1595" s="65">
        <v>3.25820843E-4</v>
      </c>
      <c r="J1595" s="65">
        <v>5.525837200000001E-4</v>
      </c>
      <c r="K1595" s="65">
        <v>4.8444363E-5</v>
      </c>
      <c r="L1595" s="65">
        <v>0.031137544</v>
      </c>
      <c r="N1595" s="66">
        <v>0.20758362666666666</v>
      </c>
      <c r="O1595" s="10">
        <f t="shared" si="329"/>
        <v>0.2075836267</v>
      </c>
      <c r="Q1595" s="67">
        <v>2.5085075</v>
      </c>
      <c r="S1595" s="68">
        <v>0.0035151559</v>
      </c>
      <c r="T1595" s="68">
        <v>0.0033221163</v>
      </c>
      <c r="U1595" s="68">
        <v>1.5925232E-4</v>
      </c>
      <c r="V1595" s="68">
        <v>3.3787287E-5</v>
      </c>
      <c r="X1595" s="69">
        <v>8.6722995E-6</v>
      </c>
    </row>
    <row r="1596" ht="12.75" customHeight="1">
      <c r="A1596" s="1" t="s">
        <v>2267</v>
      </c>
      <c r="B1596" s="2" t="s">
        <v>2253</v>
      </c>
      <c r="C1596" s="60" t="str">
        <f t="shared" si="338"/>
        <v>B.046.04.115</v>
      </c>
      <c r="D1596" s="51" t="s">
        <v>2251</v>
      </c>
      <c r="E1596" s="62" t="s">
        <v>896</v>
      </c>
      <c r="F1596" s="63" t="str">
        <f t="shared" si="339"/>
        <v>Electricity Shandong production</v>
      </c>
      <c r="G1596" s="64">
        <v>0.033033449537</v>
      </c>
      <c r="H1596" s="10">
        <f t="shared" si="328"/>
        <v>0.03303344954</v>
      </c>
      <c r="I1596" s="65">
        <v>3.27933635E-4</v>
      </c>
      <c r="J1596" s="65">
        <v>5.7449268E-4</v>
      </c>
      <c r="K1596" s="65">
        <v>0.001143589222</v>
      </c>
      <c r="L1596" s="65">
        <v>0.030987434</v>
      </c>
      <c r="N1596" s="66">
        <v>0.20658289333333335</v>
      </c>
      <c r="O1596" s="10">
        <f t="shared" si="329"/>
        <v>0.2065828933</v>
      </c>
      <c r="Q1596" s="67">
        <v>2.609326</v>
      </c>
      <c r="S1596" s="68">
        <v>0.0035043942</v>
      </c>
      <c r="T1596" s="68">
        <v>0.0033121568</v>
      </c>
      <c r="U1596" s="68">
        <v>1.5860646E-4</v>
      </c>
      <c r="V1596" s="68">
        <v>3.3630902E-5</v>
      </c>
      <c r="X1596" s="69">
        <v>8.8319855E-6</v>
      </c>
    </row>
    <row r="1597" ht="12.75" customHeight="1">
      <c r="A1597" s="1" t="s">
        <v>2268</v>
      </c>
      <c r="B1597" s="2" t="s">
        <v>2253</v>
      </c>
      <c r="C1597" s="60" t="str">
        <f t="shared" si="338"/>
        <v>B.046.04.116</v>
      </c>
      <c r="D1597" s="51" t="s">
        <v>2251</v>
      </c>
      <c r="E1597" s="62" t="s">
        <v>896</v>
      </c>
      <c r="F1597" s="63" t="str">
        <f t="shared" si="339"/>
        <v>Electricity Henan production</v>
      </c>
      <c r="G1597" s="64">
        <v>0.031714799705</v>
      </c>
      <c r="H1597" s="10">
        <f t="shared" si="328"/>
        <v>0.03171479971</v>
      </c>
      <c r="I1597" s="65">
        <v>3.22638975E-4</v>
      </c>
      <c r="J1597" s="65">
        <v>5.4888037E-4</v>
      </c>
      <c r="K1597" s="65">
        <v>5.218436E-5</v>
      </c>
      <c r="L1597" s="65">
        <v>0.030791096</v>
      </c>
      <c r="N1597" s="66">
        <v>0.20527397333333333</v>
      </c>
      <c r="O1597" s="10">
        <f t="shared" si="329"/>
        <v>0.2052739733</v>
      </c>
      <c r="Q1597" s="67">
        <v>2.4919433</v>
      </c>
      <c r="S1597" s="68">
        <v>0.0034767318</v>
      </c>
      <c r="T1597" s="68">
        <v>0.0032858284</v>
      </c>
      <c r="U1597" s="68">
        <v>1.5749483E-4</v>
      </c>
      <c r="V1597" s="68">
        <v>3.3408534E-5</v>
      </c>
      <c r="X1597" s="69">
        <v>8.576124E-6</v>
      </c>
    </row>
    <row r="1598" ht="12.75" customHeight="1">
      <c r="A1598" s="1" t="s">
        <v>2269</v>
      </c>
      <c r="B1598" s="2" t="s">
        <v>2253</v>
      </c>
      <c r="C1598" s="60" t="str">
        <f t="shared" si="338"/>
        <v>B.046.04.117</v>
      </c>
      <c r="D1598" s="51" t="s">
        <v>2251</v>
      </c>
      <c r="E1598" s="62" t="s">
        <v>896</v>
      </c>
      <c r="F1598" s="63" t="str">
        <f t="shared" si="339"/>
        <v>Electricity Hubei production</v>
      </c>
      <c r="G1598" s="64">
        <v>0.020538355388</v>
      </c>
      <c r="H1598" s="10">
        <f t="shared" si="328"/>
        <v>0.02053835539</v>
      </c>
      <c r="I1598" s="65">
        <v>2.09800598E-4</v>
      </c>
      <c r="J1598" s="65">
        <v>3.5280836999999996E-4</v>
      </c>
      <c r="K1598" s="65">
        <v>1.0561142E-4</v>
      </c>
      <c r="L1598" s="65">
        <v>0.019870135</v>
      </c>
      <c r="N1598" s="66">
        <v>0.13246756666666668</v>
      </c>
      <c r="O1598" s="10">
        <f t="shared" si="329"/>
        <v>0.1324675667</v>
      </c>
      <c r="Q1598" s="67">
        <v>1.96985</v>
      </c>
      <c r="S1598" s="68">
        <v>0.0022436428</v>
      </c>
      <c r="T1598" s="68">
        <v>0.0021205637</v>
      </c>
      <c r="U1598" s="68">
        <v>1.0162628E-4</v>
      </c>
      <c r="V1598" s="68">
        <v>2.145283E-5</v>
      </c>
      <c r="X1598" s="69">
        <v>5.5257449E-6</v>
      </c>
    </row>
    <row r="1599" ht="12.75" customHeight="1">
      <c r="A1599" s="1" t="s">
        <v>2270</v>
      </c>
      <c r="B1599" s="2" t="s">
        <v>2253</v>
      </c>
      <c r="C1599" s="60" t="str">
        <f t="shared" si="338"/>
        <v>B.046.04.118</v>
      </c>
      <c r="D1599" s="51" t="s">
        <v>2251</v>
      </c>
      <c r="E1599" s="62" t="s">
        <v>896</v>
      </c>
      <c r="F1599" s="63" t="str">
        <f t="shared" si="339"/>
        <v>Electricity Hunan production</v>
      </c>
      <c r="G1599" s="64">
        <v>0.024154422371</v>
      </c>
      <c r="H1599" s="10">
        <f t="shared" si="328"/>
        <v>0.02415442237</v>
      </c>
      <c r="I1599" s="65">
        <v>2.47332675E-4</v>
      </c>
      <c r="J1599" s="65">
        <v>4.2068771E-4</v>
      </c>
      <c r="K1599" s="65">
        <v>9.2423986E-5</v>
      </c>
      <c r="L1599" s="65">
        <v>0.023393978</v>
      </c>
      <c r="N1599" s="66">
        <v>0.15595985333333334</v>
      </c>
      <c r="O1599" s="10">
        <f t="shared" si="329"/>
        <v>0.1559598533</v>
      </c>
      <c r="Q1599" s="67">
        <v>2.1380653</v>
      </c>
      <c r="S1599" s="68">
        <v>0.0026425565</v>
      </c>
      <c r="T1599" s="68">
        <v>0.0024975746</v>
      </c>
      <c r="U1599" s="68">
        <v>1.1967589E-4</v>
      </c>
      <c r="V1599" s="68">
        <v>2.5305988E-5</v>
      </c>
      <c r="X1599" s="69">
        <v>6.510584E-6</v>
      </c>
    </row>
    <row r="1600" ht="12.75" customHeight="1">
      <c r="A1600" s="1" t="s">
        <v>2271</v>
      </c>
      <c r="B1600" s="2" t="s">
        <v>2253</v>
      </c>
      <c r="C1600" s="60" t="str">
        <f t="shared" si="338"/>
        <v>B.046.04.119</v>
      </c>
      <c r="D1600" s="51" t="s">
        <v>2251</v>
      </c>
      <c r="E1600" s="62" t="s">
        <v>896</v>
      </c>
      <c r="F1600" s="63" t="str">
        <f t="shared" si="339"/>
        <v>Electricity Guangdong production</v>
      </c>
      <c r="G1600" s="64">
        <v>0.032706831234</v>
      </c>
      <c r="H1600" s="10">
        <f t="shared" si="328"/>
        <v>0.03270683123</v>
      </c>
      <c r="I1600" s="65">
        <v>2.99407417E-4</v>
      </c>
      <c r="J1600" s="65">
        <v>5.801329900000001E-4</v>
      </c>
      <c r="K1600" s="65">
        <v>0.004639765827</v>
      </c>
      <c r="L1600" s="65">
        <v>0.027187525</v>
      </c>
      <c r="N1600" s="66">
        <v>0.18125016666666668</v>
      </c>
      <c r="O1600" s="10">
        <f t="shared" si="329"/>
        <v>0.1812501667</v>
      </c>
      <c r="Q1600" s="67">
        <v>2.77134</v>
      </c>
      <c r="S1600" s="68">
        <v>0.0030939472</v>
      </c>
      <c r="T1600" s="68">
        <v>0.0029249167</v>
      </c>
      <c r="U1600" s="68">
        <v>1.3953212E-4</v>
      </c>
      <c r="V1600" s="68">
        <v>2.949846E-5</v>
      </c>
      <c r="X1600" s="69">
        <v>8.4112041E-6</v>
      </c>
    </row>
    <row r="1601" ht="12.75" customHeight="1">
      <c r="A1601" s="1" t="s">
        <v>2272</v>
      </c>
      <c r="B1601" s="2" t="s">
        <v>2253</v>
      </c>
      <c r="C1601" s="60" t="str">
        <f t="shared" si="338"/>
        <v>B.046.04.120</v>
      </c>
      <c r="D1601" s="51" t="s">
        <v>2251</v>
      </c>
      <c r="E1601" s="62" t="s">
        <v>896</v>
      </c>
      <c r="F1601" s="63" t="str">
        <f t="shared" si="339"/>
        <v>Electricity Guangxi production</v>
      </c>
      <c r="G1601" s="64">
        <v>0.021975670134</v>
      </c>
      <c r="H1601" s="10">
        <f t="shared" si="328"/>
        <v>0.02197567013</v>
      </c>
      <c r="I1601" s="65">
        <v>2.01343412E-4</v>
      </c>
      <c r="J1601" s="65">
        <v>4.0193366E-4</v>
      </c>
      <c r="K1601" s="65">
        <v>0.003717286062</v>
      </c>
      <c r="L1601" s="65">
        <v>0.017655107</v>
      </c>
      <c r="N1601" s="66">
        <v>0.11770071333333333</v>
      </c>
      <c r="O1601" s="10">
        <f t="shared" si="329"/>
        <v>0.1177007133</v>
      </c>
      <c r="Q1601" s="67">
        <v>2.2178482</v>
      </c>
      <c r="S1601" s="68">
        <v>0.0020154237</v>
      </c>
      <c r="T1601" s="68">
        <v>0.0019056532</v>
      </c>
      <c r="U1601" s="68">
        <v>9.0730417E-5</v>
      </c>
      <c r="V1601" s="68">
        <v>1.9040039E-5</v>
      </c>
      <c r="X1601" s="69">
        <v>5.5695068E-6</v>
      </c>
    </row>
    <row r="1602" ht="12.75" customHeight="1">
      <c r="A1602" s="1" t="s">
        <v>2273</v>
      </c>
      <c r="B1602" s="2" t="s">
        <v>2253</v>
      </c>
      <c r="C1602" s="60" t="str">
        <f t="shared" si="338"/>
        <v>B.046.04.121</v>
      </c>
      <c r="D1602" s="51" t="s">
        <v>2251</v>
      </c>
      <c r="E1602" s="62" t="s">
        <v>896</v>
      </c>
      <c r="F1602" s="63" t="str">
        <f t="shared" si="339"/>
        <v>Electricity Hainan production</v>
      </c>
      <c r="G1602" s="64">
        <v>0.030961707019</v>
      </c>
      <c r="H1602" s="10">
        <f t="shared" si="328"/>
        <v>0.03096170702</v>
      </c>
      <c r="I1602" s="65">
        <v>2.77676906E-4</v>
      </c>
      <c r="J1602" s="65">
        <v>5.5442476E-4</v>
      </c>
      <c r="K1602" s="65">
        <v>0.005354857353</v>
      </c>
      <c r="L1602" s="65">
        <v>0.024774748</v>
      </c>
      <c r="N1602" s="66">
        <v>0.16516498666666668</v>
      </c>
      <c r="O1602" s="10">
        <f t="shared" si="329"/>
        <v>0.1651649867</v>
      </c>
      <c r="Q1602" s="67">
        <v>2.7248541</v>
      </c>
      <c r="S1602" s="68">
        <v>0.0028256577</v>
      </c>
      <c r="T1602" s="68">
        <v>0.0026715314</v>
      </c>
      <c r="U1602" s="68">
        <v>1.2727161E-4</v>
      </c>
      <c r="V1602" s="68">
        <v>2.6854706E-5</v>
      </c>
      <c r="X1602" s="69">
        <v>7.8662009E-6</v>
      </c>
    </row>
    <row r="1603" ht="12.75" customHeight="1">
      <c r="A1603" s="1" t="s">
        <v>2274</v>
      </c>
      <c r="B1603" s="2" t="s">
        <v>2253</v>
      </c>
      <c r="C1603" s="60" t="str">
        <f t="shared" si="338"/>
        <v>B.046.04.122</v>
      </c>
      <c r="D1603" s="51" t="s">
        <v>2251</v>
      </c>
      <c r="E1603" s="62" t="s">
        <v>896</v>
      </c>
      <c r="F1603" s="63" t="str">
        <f t="shared" si="339"/>
        <v>Electricity Chongqing production</v>
      </c>
      <c r="G1603" s="64">
        <v>0.031266252936</v>
      </c>
      <c r="H1603" s="10">
        <f t="shared" si="328"/>
        <v>0.03126625294</v>
      </c>
      <c r="I1603" s="65">
        <v>3.15446162E-4</v>
      </c>
      <c r="J1603" s="65">
        <v>5.3079537E-4</v>
      </c>
      <c r="K1603" s="65">
        <v>4.4649404E-5</v>
      </c>
      <c r="L1603" s="65">
        <v>0.030375362</v>
      </c>
      <c r="N1603" s="66">
        <v>0.20250241333333333</v>
      </c>
      <c r="O1603" s="10">
        <f t="shared" si="329"/>
        <v>0.2025024133</v>
      </c>
      <c r="Q1603" s="67">
        <v>2.4728319</v>
      </c>
      <c r="S1603" s="68">
        <v>0.0034275939</v>
      </c>
      <c r="T1603" s="68">
        <v>0.003239306</v>
      </c>
      <c r="U1603" s="68">
        <v>1.5531959E-4</v>
      </c>
      <c r="V1603" s="68">
        <v>3.2968294E-5</v>
      </c>
      <c r="X1603" s="69">
        <v>8.4590704E-6</v>
      </c>
    </row>
    <row r="1604" ht="12.75" customHeight="1">
      <c r="A1604" s="1" t="s">
        <v>2275</v>
      </c>
      <c r="B1604" s="2" t="s">
        <v>2253</v>
      </c>
      <c r="C1604" s="60" t="str">
        <f t="shared" si="338"/>
        <v>B.046.04.123</v>
      </c>
      <c r="D1604" s="51" t="s">
        <v>2251</v>
      </c>
      <c r="E1604" s="62" t="s">
        <v>896</v>
      </c>
      <c r="F1604" s="63" t="str">
        <f t="shared" si="339"/>
        <v>Electricity Sichuan production</v>
      </c>
      <c r="G1604" s="64">
        <v>0.007534839143</v>
      </c>
      <c r="H1604" s="10">
        <f t="shared" si="328"/>
        <v>0.007534839143</v>
      </c>
      <c r="I1604" s="65">
        <v>7.8031102E-5</v>
      </c>
      <c r="J1604" s="65">
        <v>1.2508282100000002E-4</v>
      </c>
      <c r="K1604" s="65">
        <v>1.6767062E-4</v>
      </c>
      <c r="L1604" s="65">
        <v>0.0071640546</v>
      </c>
      <c r="N1604" s="66">
        <v>0.047760364</v>
      </c>
      <c r="O1604" s="10">
        <f t="shared" si="329"/>
        <v>0.047760364</v>
      </c>
      <c r="Q1604" s="67">
        <v>1.362757</v>
      </c>
      <c r="S1604" s="68">
        <v>8.0943321E-4</v>
      </c>
      <c r="T1604" s="68">
        <v>7.6524827E-4</v>
      </c>
      <c r="U1604" s="68">
        <v>3.6634287E-5</v>
      </c>
      <c r="V1604" s="68">
        <v>7.550652E-6</v>
      </c>
      <c r="X1604" s="69">
        <v>1.9775562E-6</v>
      </c>
    </row>
    <row r="1605" ht="12.75" customHeight="1">
      <c r="A1605" s="1" t="s">
        <v>2276</v>
      </c>
      <c r="B1605" s="2" t="s">
        <v>2253</v>
      </c>
      <c r="C1605" s="60" t="str">
        <f t="shared" si="338"/>
        <v>B.046.04.124</v>
      </c>
      <c r="D1605" s="51" t="s">
        <v>2251</v>
      </c>
      <c r="E1605" s="62" t="s">
        <v>896</v>
      </c>
      <c r="F1605" s="63" t="str">
        <f t="shared" si="339"/>
        <v>Electricity Guizhou production</v>
      </c>
      <c r="G1605" s="64">
        <v>0.026026285504</v>
      </c>
      <c r="H1605" s="10">
        <f t="shared" si="328"/>
        <v>0.0260262855</v>
      </c>
      <c r="I1605" s="65">
        <v>2.64695552E-4</v>
      </c>
      <c r="J1605" s="65">
        <v>4.4649899E-4</v>
      </c>
      <c r="K1605" s="65">
        <v>7.7059962E-5</v>
      </c>
      <c r="L1605" s="65">
        <v>0.025238031</v>
      </c>
      <c r="N1605" s="66">
        <v>0.16825354</v>
      </c>
      <c r="O1605" s="10">
        <f t="shared" si="329"/>
        <v>0.16825354</v>
      </c>
      <c r="Q1605" s="67">
        <v>2.2265614</v>
      </c>
      <c r="S1605" s="68">
        <v>0.0028490801</v>
      </c>
      <c r="T1605" s="68">
        <v>0.0026926766</v>
      </c>
      <c r="U1605" s="68">
        <v>1.2907276E-4</v>
      </c>
      <c r="V1605" s="68">
        <v>2.7330782E-5</v>
      </c>
      <c r="X1605" s="69">
        <v>7.0246273E-6</v>
      </c>
    </row>
    <row r="1606" ht="12.75" customHeight="1">
      <c r="A1606" s="1" t="s">
        <v>2277</v>
      </c>
      <c r="B1606" s="2" t="s">
        <v>2253</v>
      </c>
      <c r="C1606" s="60" t="str">
        <f t="shared" si="338"/>
        <v>B.046.04.125</v>
      </c>
      <c r="D1606" s="51" t="s">
        <v>2251</v>
      </c>
      <c r="E1606" s="62" t="s">
        <v>896</v>
      </c>
      <c r="F1606" s="63" t="str">
        <f t="shared" si="339"/>
        <v>Electricity Yunnan production</v>
      </c>
      <c r="G1606" s="64">
        <v>0.005638801537999999</v>
      </c>
      <c r="H1606" s="10">
        <f t="shared" si="328"/>
        <v>0.005638801538</v>
      </c>
      <c r="I1606" s="65">
        <v>6.146871799999999E-5</v>
      </c>
      <c r="J1606" s="65">
        <v>1.0094264E-4</v>
      </c>
      <c r="K1606" s="65">
        <v>1.8554148E-4</v>
      </c>
      <c r="L1606" s="65">
        <v>0.0052908487</v>
      </c>
      <c r="N1606" s="66">
        <v>0.03527232466666667</v>
      </c>
      <c r="O1606" s="10">
        <f t="shared" si="329"/>
        <v>0.03527232467</v>
      </c>
      <c r="Q1606" s="67">
        <v>1.2723973</v>
      </c>
      <c r="S1606" s="68">
        <v>5.9977096E-4</v>
      </c>
      <c r="T1606" s="68">
        <v>5.6719471E-4</v>
      </c>
      <c r="U1606" s="68">
        <v>2.7092434E-5</v>
      </c>
      <c r="V1606" s="68">
        <v>5.4838168E-6</v>
      </c>
      <c r="X1606" s="69">
        <v>1.4549163E-6</v>
      </c>
    </row>
    <row r="1607" ht="12.75" customHeight="1">
      <c r="A1607" s="1" t="s">
        <v>2278</v>
      </c>
      <c r="B1607" s="2" t="s">
        <v>2253</v>
      </c>
      <c r="C1607" s="60" t="str">
        <f t="shared" si="338"/>
        <v>B.046.04.126</v>
      </c>
      <c r="D1607" s="51" t="s">
        <v>2251</v>
      </c>
      <c r="E1607" s="62" t="s">
        <v>896</v>
      </c>
      <c r="F1607" s="63" t="str">
        <f t="shared" si="339"/>
        <v>Electricity Tibet production</v>
      </c>
      <c r="G1607" s="64">
        <v>0.0016718520698</v>
      </c>
      <c r="H1607" s="10">
        <f t="shared" si="328"/>
        <v>0.00167185207</v>
      </c>
      <c r="I1607" s="65">
        <v>1.99262398E-5</v>
      </c>
      <c r="J1607" s="65">
        <v>2.583768E-5</v>
      </c>
      <c r="K1607" s="65">
        <v>1.9923855E-4</v>
      </c>
      <c r="L1607" s="65">
        <v>0.0014268496</v>
      </c>
      <c r="N1607" s="66">
        <v>0.009512330666666667</v>
      </c>
      <c r="O1607" s="10">
        <f t="shared" si="329"/>
        <v>0.009512330667</v>
      </c>
      <c r="Q1607" s="67">
        <v>1.088119</v>
      </c>
      <c r="S1607" s="68">
        <v>1.6233277E-4</v>
      </c>
      <c r="T1607" s="68">
        <v>1.5377046E-4</v>
      </c>
      <c r="U1607" s="68">
        <v>7.2997945E-6</v>
      </c>
      <c r="V1607" s="68">
        <v>1.2625136E-6</v>
      </c>
      <c r="X1607" s="69">
        <v>3.7521364E-7</v>
      </c>
    </row>
    <row r="1608" ht="12.75" customHeight="1">
      <c r="A1608" s="1" t="s">
        <v>2279</v>
      </c>
      <c r="B1608" s="2" t="s">
        <v>2253</v>
      </c>
      <c r="C1608" s="60" t="str">
        <f t="shared" si="338"/>
        <v>B.046.04.127</v>
      </c>
      <c r="D1608" s="51" t="s">
        <v>2251</v>
      </c>
      <c r="E1608" s="62" t="s">
        <v>896</v>
      </c>
      <c r="F1608" s="63" t="str">
        <f t="shared" si="339"/>
        <v>Electricity Shaanxi production</v>
      </c>
      <c r="G1608" s="64">
        <v>0.033967935403000006</v>
      </c>
      <c r="H1608" s="10">
        <f t="shared" si="328"/>
        <v>0.0339679354</v>
      </c>
      <c r="I1608" s="65">
        <v>3.4403750999999997E-4</v>
      </c>
      <c r="J1608" s="65">
        <v>5.8223232E-4</v>
      </c>
      <c r="K1608" s="65">
        <v>3.5775573E-5</v>
      </c>
      <c r="L1608" s="65">
        <v>0.03300589</v>
      </c>
      <c r="N1608" s="66">
        <v>0.2200392666666667</v>
      </c>
      <c r="O1608" s="10">
        <f t="shared" si="329"/>
        <v>0.2200392667</v>
      </c>
      <c r="Q1608" s="67">
        <v>2.5981221</v>
      </c>
      <c r="S1608" s="68">
        <v>0.0037253206</v>
      </c>
      <c r="T1608" s="68">
        <v>0.0035206894</v>
      </c>
      <c r="U1608" s="68">
        <v>1.6879277E-4</v>
      </c>
      <c r="V1608" s="68">
        <v>3.5838465E-5</v>
      </c>
      <c r="X1608" s="69">
        <v>9.193845E-6</v>
      </c>
    </row>
    <row r="1609" ht="12.75" customHeight="1">
      <c r="A1609" s="1" t="s">
        <v>2280</v>
      </c>
      <c r="B1609" s="2" t="s">
        <v>2253</v>
      </c>
      <c r="C1609" s="60" t="str">
        <f t="shared" si="338"/>
        <v>B.046.04.128</v>
      </c>
      <c r="D1609" s="51" t="s">
        <v>2251</v>
      </c>
      <c r="E1609" s="62" t="s">
        <v>896</v>
      </c>
      <c r="F1609" s="63" t="str">
        <f t="shared" si="339"/>
        <v>Electricity Gansu production</v>
      </c>
      <c r="G1609" s="64">
        <v>0.020731904290000002</v>
      </c>
      <c r="H1609" s="10">
        <f t="shared" si="328"/>
        <v>0.02073190429</v>
      </c>
      <c r="I1609" s="65">
        <v>2.1760864E-4</v>
      </c>
      <c r="J1609" s="65">
        <v>3.7800653999999997E-4</v>
      </c>
      <c r="K1609" s="65">
        <v>1.2548011E-4</v>
      </c>
      <c r="L1609" s="65">
        <v>0.020010809</v>
      </c>
      <c r="N1609" s="66">
        <v>0.13340539333333334</v>
      </c>
      <c r="O1609" s="10">
        <f t="shared" si="329"/>
        <v>0.1334053933</v>
      </c>
      <c r="Q1609" s="67">
        <v>1.9748403</v>
      </c>
      <c r="S1609" s="68">
        <v>0.0022641154</v>
      </c>
      <c r="T1609" s="68">
        <v>0.0021400953</v>
      </c>
      <c r="U1609" s="68">
        <v>1.0244739E-4</v>
      </c>
      <c r="V1609" s="68">
        <v>2.1572682E-5</v>
      </c>
      <c r="X1609" s="69">
        <v>5.5668115E-6</v>
      </c>
    </row>
    <row r="1610" ht="12.75" customHeight="1">
      <c r="A1610" s="1" t="s">
        <v>2281</v>
      </c>
      <c r="B1610" s="2" t="s">
        <v>2253</v>
      </c>
      <c r="C1610" s="60" t="str">
        <f t="shared" si="338"/>
        <v>B.046.04.129</v>
      </c>
      <c r="D1610" s="51" t="s">
        <v>2251</v>
      </c>
      <c r="E1610" s="62" t="s">
        <v>896</v>
      </c>
      <c r="F1610" s="63" t="str">
        <f t="shared" si="339"/>
        <v>Electricity Qinghai production</v>
      </c>
      <c r="G1610" s="64">
        <v>0.0051025645629999995</v>
      </c>
      <c r="H1610" s="10">
        <f t="shared" si="328"/>
        <v>0.005102564563</v>
      </c>
      <c r="I1610" s="65">
        <v>6.2777869E-5</v>
      </c>
      <c r="J1610" s="65">
        <v>1.13080194E-4</v>
      </c>
      <c r="K1610" s="65">
        <v>2.09418E-4</v>
      </c>
      <c r="L1610" s="65">
        <v>0.0047172885</v>
      </c>
      <c r="N1610" s="66">
        <v>0.03144859</v>
      </c>
      <c r="O1610" s="10">
        <f t="shared" si="329"/>
        <v>0.03144859</v>
      </c>
      <c r="Q1610" s="67">
        <v>1.2426729</v>
      </c>
      <c r="S1610" s="68">
        <v>5.3898434E-4</v>
      </c>
      <c r="T1610" s="68">
        <v>5.0992785E-4</v>
      </c>
      <c r="U1610" s="68">
        <v>2.4247645E-5</v>
      </c>
      <c r="V1610" s="68">
        <v>4.8088429E-6</v>
      </c>
      <c r="X1610" s="69">
        <v>1.2952507E-6</v>
      </c>
    </row>
    <row r="1611" ht="12.75" customHeight="1">
      <c r="A1611" s="1" t="s">
        <v>2282</v>
      </c>
      <c r="B1611" s="2" t="s">
        <v>2253</v>
      </c>
      <c r="C1611" s="60" t="str">
        <f t="shared" si="338"/>
        <v>B.046.04.130</v>
      </c>
      <c r="D1611" s="51" t="s">
        <v>2251</v>
      </c>
      <c r="E1611" s="62" t="s">
        <v>896</v>
      </c>
      <c r="F1611" s="63" t="str">
        <f t="shared" si="339"/>
        <v>Electricity Ningxia production</v>
      </c>
      <c r="G1611" s="64">
        <v>0.029182282291999997</v>
      </c>
      <c r="H1611" s="10">
        <f t="shared" si="328"/>
        <v>0.02918228229</v>
      </c>
      <c r="I1611" s="65">
        <v>2.99861855E-4</v>
      </c>
      <c r="J1611" s="65">
        <v>5.1295007E-4</v>
      </c>
      <c r="K1611" s="65">
        <v>7.2811367E-5</v>
      </c>
      <c r="L1611" s="65">
        <v>0.028296659</v>
      </c>
      <c r="N1611" s="66">
        <v>0.18864439333333333</v>
      </c>
      <c r="O1611" s="10">
        <f t="shared" si="329"/>
        <v>0.1886443933</v>
      </c>
      <c r="Q1611" s="67">
        <v>2.3716962</v>
      </c>
      <c r="S1611" s="68">
        <v>0.0031965685</v>
      </c>
      <c r="T1611" s="68">
        <v>0.0030211437</v>
      </c>
      <c r="U1611" s="68">
        <v>1.4476763E-4</v>
      </c>
      <c r="V1611" s="68">
        <v>3.0657206E-5</v>
      </c>
      <c r="X1611" s="69">
        <v>7.8794241E-6</v>
      </c>
    </row>
    <row r="1612" ht="12.75" customHeight="1">
      <c r="A1612" s="1" t="s">
        <v>2283</v>
      </c>
      <c r="B1612" s="2" t="s">
        <v>2253</v>
      </c>
      <c r="C1612" s="60" t="str">
        <f t="shared" si="338"/>
        <v>B.046.04.131</v>
      </c>
      <c r="D1612" s="51" t="s">
        <v>2251</v>
      </c>
      <c r="E1612" s="62" t="s">
        <v>896</v>
      </c>
      <c r="F1612" s="63" t="str">
        <f t="shared" si="339"/>
        <v>Electricity Xinjiang production</v>
      </c>
      <c r="G1612" s="64">
        <v>0.027974734986</v>
      </c>
      <c r="H1612" s="10">
        <f t="shared" si="328"/>
        <v>0.02797473499</v>
      </c>
      <c r="I1612" s="65">
        <v>2.86970988E-4</v>
      </c>
      <c r="J1612" s="65">
        <v>4.9037112E-4</v>
      </c>
      <c r="K1612" s="65">
        <v>7.6988878E-5</v>
      </c>
      <c r="L1612" s="65">
        <v>0.027120404</v>
      </c>
      <c r="N1612" s="66">
        <v>0.18080269333333335</v>
      </c>
      <c r="O1612" s="10">
        <f t="shared" si="329"/>
        <v>0.1808026933</v>
      </c>
      <c r="Q1612" s="67">
        <v>2.3157788</v>
      </c>
      <c r="S1612" s="68">
        <v>0.0030636578</v>
      </c>
      <c r="T1612" s="68">
        <v>0.002895534</v>
      </c>
      <c r="U1612" s="68">
        <v>1.3874753E-4</v>
      </c>
      <c r="V1612" s="68">
        <v>2.9376301E-5</v>
      </c>
      <c r="X1612" s="69">
        <v>7.5511868E-6</v>
      </c>
    </row>
    <row r="1613" ht="12.75" customHeight="1">
      <c r="B1613" s="2"/>
      <c r="C1613" s="60"/>
      <c r="D1613" s="75" t="s">
        <v>2284</v>
      </c>
      <c r="E1613" s="62"/>
      <c r="G1613" s="10"/>
      <c r="H1613" s="10" t="str">
        <f t="shared" si="328"/>
        <v/>
      </c>
      <c r="I1613" s="10"/>
      <c r="J1613" s="10"/>
      <c r="K1613" s="10"/>
      <c r="L1613" s="10"/>
      <c r="N1613" s="10"/>
      <c r="O1613" s="10" t="str">
        <f t="shared" si="329"/>
        <v/>
      </c>
      <c r="Q1613" s="67"/>
    </row>
    <row r="1614" ht="12.75" customHeight="1">
      <c r="A1614" s="1" t="s">
        <v>2285</v>
      </c>
      <c r="B1614" s="2" t="s">
        <v>2286</v>
      </c>
      <c r="C1614" s="60" t="str">
        <f t="shared" ref="C1614:C1643" si="340">MID(A1614,1,12)</f>
        <v>B.046.06.101</v>
      </c>
      <c r="D1614" s="51" t="s">
        <v>2284</v>
      </c>
      <c r="E1614" s="62" t="s">
        <v>896</v>
      </c>
      <c r="F1614" s="63" t="str">
        <f t="shared" ref="F1614:F1643" si="341">MID(A1614, 21,85)</f>
        <v>Electricity Andaman  &amp; Nicobar production</v>
      </c>
      <c r="G1614" s="64">
        <v>0.059237657434</v>
      </c>
      <c r="H1614" s="10">
        <f t="shared" si="328"/>
        <v>0.05923765743</v>
      </c>
      <c r="I1614" s="65">
        <v>0.00195080943</v>
      </c>
      <c r="J1614" s="65">
        <v>0.0114670556</v>
      </c>
      <c r="K1614" s="65">
        <v>3.0064404E-5</v>
      </c>
      <c r="L1614" s="65">
        <v>0.045789728</v>
      </c>
      <c r="N1614" s="66">
        <v>0.30526485333333336</v>
      </c>
      <c r="O1614" s="10">
        <f t="shared" si="329"/>
        <v>0.3052648533</v>
      </c>
      <c r="Q1614" s="67">
        <v>3.9870644</v>
      </c>
      <c r="S1614" s="68">
        <v>0.008265703</v>
      </c>
      <c r="T1614" s="68">
        <v>0.0077015711</v>
      </c>
      <c r="U1614" s="68">
        <v>2.8842813E-4</v>
      </c>
      <c r="V1614" s="68">
        <v>2.7570372E-4</v>
      </c>
      <c r="X1614" s="69">
        <v>1.640516E-5</v>
      </c>
    </row>
    <row r="1615" ht="12.75" customHeight="1">
      <c r="A1615" s="1" t="s">
        <v>2287</v>
      </c>
      <c r="B1615" s="2" t="s">
        <v>2286</v>
      </c>
      <c r="C1615" s="60" t="str">
        <f t="shared" si="340"/>
        <v>B.046.06.102</v>
      </c>
      <c r="D1615" s="51" t="s">
        <v>2284</v>
      </c>
      <c r="E1615" s="62" t="s">
        <v>896</v>
      </c>
      <c r="F1615" s="63" t="str">
        <f t="shared" si="341"/>
        <v>Electricity Andhra Pradesh production</v>
      </c>
      <c r="G1615" s="64">
        <v>0.043414161151</v>
      </c>
      <c r="H1615" s="10">
        <f t="shared" si="328"/>
        <v>0.04341416115</v>
      </c>
      <c r="I1615" s="65">
        <v>0.00143441591</v>
      </c>
      <c r="J1615" s="65">
        <v>0.00216702867</v>
      </c>
      <c r="K1615" s="65">
        <v>6.3345571E-5</v>
      </c>
      <c r="L1615" s="65">
        <v>0.039749371</v>
      </c>
      <c r="N1615" s="66">
        <v>0.26499580666666667</v>
      </c>
      <c r="O1615" s="10">
        <f t="shared" si="329"/>
        <v>0.2649958067</v>
      </c>
      <c r="Q1615" s="67">
        <v>3.0815872</v>
      </c>
      <c r="S1615" s="68">
        <v>0.0046037304</v>
      </c>
      <c r="T1615" s="68">
        <v>0.0043606868</v>
      </c>
      <c r="U1615" s="68">
        <v>2.067365E-4</v>
      </c>
      <c r="V1615" s="68">
        <v>3.6307052E-5</v>
      </c>
      <c r="X1615" s="69">
        <v>1.1400611E-5</v>
      </c>
    </row>
    <row r="1616" ht="12.75" customHeight="1">
      <c r="A1616" s="1" t="s">
        <v>2288</v>
      </c>
      <c r="B1616" s="2" t="s">
        <v>2286</v>
      </c>
      <c r="C1616" s="60" t="str">
        <f t="shared" si="340"/>
        <v>B.046.06.103</v>
      </c>
      <c r="D1616" s="51" t="s">
        <v>2284</v>
      </c>
      <c r="E1616" s="62" t="s">
        <v>896</v>
      </c>
      <c r="F1616" s="63" t="str">
        <f t="shared" si="341"/>
        <v>Electricity Arunachal Pradesh production</v>
      </c>
      <c r="G1616" s="64">
        <v>5.894626379279999E-4</v>
      </c>
      <c r="H1616" s="10">
        <f t="shared" si="328"/>
        <v>0.0005894626379</v>
      </c>
      <c r="I1616" s="65">
        <v>7.310563957E-6</v>
      </c>
      <c r="J1616" s="65">
        <v>2.8553971E-8</v>
      </c>
      <c r="K1616" s="65">
        <v>2.274047E-4</v>
      </c>
      <c r="L1616" s="65">
        <v>3.5471882E-4</v>
      </c>
      <c r="N1616" s="66">
        <v>0.002364792133333333</v>
      </c>
      <c r="O1616" s="10">
        <f t="shared" si="329"/>
        <v>0.002364792133</v>
      </c>
      <c r="Q1616" s="67">
        <v>1.1821713</v>
      </c>
      <c r="S1616" s="68">
        <v>4.0372249E-5</v>
      </c>
      <c r="T1616" s="68">
        <v>3.8519422E-5</v>
      </c>
      <c r="U1616" s="68">
        <v>1.7905861E-6</v>
      </c>
      <c r="V1616" s="68">
        <v>6.2240666E-8</v>
      </c>
      <c r="X1616" s="69">
        <v>7.247749E-8</v>
      </c>
    </row>
    <row r="1617" ht="12.75" customHeight="1">
      <c r="A1617" s="1" t="s">
        <v>2289</v>
      </c>
      <c r="B1617" s="2" t="s">
        <v>2286</v>
      </c>
      <c r="C1617" s="60" t="str">
        <f t="shared" si="340"/>
        <v>B.046.06.104</v>
      </c>
      <c r="D1617" s="51" t="s">
        <v>2284</v>
      </c>
      <c r="E1617" s="62" t="s">
        <v>896</v>
      </c>
      <c r="F1617" s="63" t="str">
        <f t="shared" si="341"/>
        <v>Electricity Assam production</v>
      </c>
      <c r="G1617" s="64">
        <v>0.042902450555</v>
      </c>
      <c r="H1617" s="10">
        <f t="shared" si="328"/>
        <v>0.04290245056</v>
      </c>
      <c r="I1617" s="65">
        <v>0.00196596178</v>
      </c>
      <c r="J1617" s="65">
        <v>0.00290425921</v>
      </c>
      <c r="K1617" s="65">
        <v>3.6470565E-5</v>
      </c>
      <c r="L1617" s="65">
        <v>0.037995759</v>
      </c>
      <c r="N1617" s="66">
        <v>0.25330505999999997</v>
      </c>
      <c r="O1617" s="10">
        <f t="shared" si="329"/>
        <v>0.25330506</v>
      </c>
      <c r="Q1617" s="67">
        <v>2.9610199</v>
      </c>
      <c r="S1617" s="68">
        <v>0.004557306</v>
      </c>
      <c r="T1617" s="68">
        <v>0.0042781513</v>
      </c>
      <c r="U1617" s="68">
        <v>2.0022445E-4</v>
      </c>
      <c r="V1617" s="68">
        <v>7.8930228E-5</v>
      </c>
      <c r="X1617" s="69">
        <v>1.1184447E-5</v>
      </c>
    </row>
    <row r="1618" ht="12.75" customHeight="1">
      <c r="A1618" s="1" t="s">
        <v>2290</v>
      </c>
      <c r="B1618" s="2" t="s">
        <v>2286</v>
      </c>
      <c r="C1618" s="60" t="str">
        <f t="shared" si="340"/>
        <v>B.046.06.105</v>
      </c>
      <c r="D1618" s="51" t="s">
        <v>2284</v>
      </c>
      <c r="E1618" s="62" t="s">
        <v>896</v>
      </c>
      <c r="F1618" s="63" t="str">
        <f t="shared" si="341"/>
        <v>Electricity Bihar production</v>
      </c>
      <c r="G1618" s="64">
        <v>0.054285988095300004</v>
      </c>
      <c r="H1618" s="10">
        <f t="shared" si="328"/>
        <v>0.0542859881</v>
      </c>
      <c r="I1618" s="65">
        <v>0.0017935324600000001</v>
      </c>
      <c r="J1618" s="65">
        <v>0.0026997364</v>
      </c>
      <c r="K1618" s="65">
        <v>1.5602353E-6</v>
      </c>
      <c r="L1618" s="65">
        <v>0.049791159</v>
      </c>
      <c r="N1618" s="66">
        <v>0.33194106</v>
      </c>
      <c r="O1618" s="10">
        <f t="shared" si="329"/>
        <v>0.33194106</v>
      </c>
      <c r="Q1618" s="67">
        <v>3.5689888</v>
      </c>
      <c r="S1618" s="68">
        <v>0.0057631012</v>
      </c>
      <c r="T1618" s="68">
        <v>0.0054586966</v>
      </c>
      <c r="U1618" s="68">
        <v>2.5889024E-4</v>
      </c>
      <c r="V1618" s="68">
        <v>4.5514387E-5</v>
      </c>
      <c r="X1618" s="69">
        <v>1.4288009E-5</v>
      </c>
    </row>
    <row r="1619" ht="12.75" customHeight="1">
      <c r="A1619" s="1" t="s">
        <v>2291</v>
      </c>
      <c r="B1619" s="2" t="s">
        <v>2286</v>
      </c>
      <c r="C1619" s="60" t="str">
        <f t="shared" si="340"/>
        <v>B.046.06.106</v>
      </c>
      <c r="D1619" s="51" t="s">
        <v>2284</v>
      </c>
      <c r="E1619" s="62" t="s">
        <v>896</v>
      </c>
      <c r="F1619" s="63" t="str">
        <f t="shared" si="341"/>
        <v>Electricity Chandigarh production</v>
      </c>
      <c r="G1619" s="64">
        <v>0.0010294137157</v>
      </c>
      <c r="H1619" s="10">
        <f t="shared" si="328"/>
        <v>0.001029413716</v>
      </c>
      <c r="I1619" s="65">
        <v>4.1244014700000006E-5</v>
      </c>
      <c r="J1619" s="65">
        <v>9.5179901E-5</v>
      </c>
      <c r="K1619" s="65">
        <v>3.1359464E-4</v>
      </c>
      <c r="L1619" s="65">
        <v>5.7939516E-4</v>
      </c>
      <c r="N1619" s="66">
        <v>0.0038626344000000003</v>
      </c>
      <c r="O1619" s="10">
        <f t="shared" si="329"/>
        <v>0.0038626344</v>
      </c>
      <c r="Q1619" s="67">
        <v>1.1821713</v>
      </c>
      <c r="S1619" s="68">
        <v>8.0549424E-5</v>
      </c>
      <c r="T1619" s="68">
        <v>7.7186515E-5</v>
      </c>
      <c r="U1619" s="68">
        <v>3.2770784E-6</v>
      </c>
      <c r="V1619" s="68">
        <v>8.5830852E-8</v>
      </c>
      <c r="X1619" s="69">
        <v>1.3455549E-7</v>
      </c>
    </row>
    <row r="1620" ht="12.75" customHeight="1">
      <c r="A1620" s="1" t="s">
        <v>2292</v>
      </c>
      <c r="B1620" s="2" t="s">
        <v>2286</v>
      </c>
      <c r="C1620" s="60" t="str">
        <f t="shared" si="340"/>
        <v>B.046.06.107</v>
      </c>
      <c r="D1620" s="51" t="s">
        <v>2284</v>
      </c>
      <c r="E1620" s="62" t="s">
        <v>896</v>
      </c>
      <c r="F1620" s="63" t="str">
        <f t="shared" si="341"/>
        <v>Electricity Chhattisgarh production</v>
      </c>
      <c r="G1620" s="64">
        <v>0.0536351597072</v>
      </c>
      <c r="H1620" s="10">
        <f t="shared" si="328"/>
        <v>0.05363515971</v>
      </c>
      <c r="I1620" s="65">
        <v>0.0018003478</v>
      </c>
      <c r="J1620" s="65">
        <v>0.00270853211</v>
      </c>
      <c r="K1620" s="65">
        <v>3.3427972E-6</v>
      </c>
      <c r="L1620" s="65">
        <v>0.049122937</v>
      </c>
      <c r="N1620" s="66">
        <v>0.32748624666666665</v>
      </c>
      <c r="O1620" s="10">
        <f t="shared" si="329"/>
        <v>0.3274862467</v>
      </c>
      <c r="Q1620" s="67">
        <v>3.5567583</v>
      </c>
      <c r="S1620" s="68">
        <v>0.0056958021</v>
      </c>
      <c r="T1620" s="68">
        <v>0.005395326</v>
      </c>
      <c r="U1620" s="68">
        <v>2.5557526E-4</v>
      </c>
      <c r="V1620" s="68">
        <v>4.4900874E-5</v>
      </c>
      <c r="X1620" s="69">
        <v>1.4116403E-5</v>
      </c>
    </row>
    <row r="1621" ht="12.75" customHeight="1">
      <c r="A1621" s="1" t="s">
        <v>2293</v>
      </c>
      <c r="B1621" s="2" t="s">
        <v>2286</v>
      </c>
      <c r="C1621" s="60" t="str">
        <f t="shared" si="340"/>
        <v>B.046.06.108</v>
      </c>
      <c r="D1621" s="51" t="s">
        <v>2284</v>
      </c>
      <c r="E1621" s="62" t="s">
        <v>896</v>
      </c>
      <c r="F1621" s="63" t="str">
        <f t="shared" si="341"/>
        <v>Electricity Dadra &amp; Nagar Naveli production</v>
      </c>
      <c r="G1621" s="64">
        <v>0.005323581530000001</v>
      </c>
      <c r="H1621" s="10">
        <f t="shared" si="328"/>
        <v>0.00532358153</v>
      </c>
      <c r="I1621" s="65">
        <v>0.0019474478600000002</v>
      </c>
      <c r="J1621" s="65">
        <v>0.0028527761</v>
      </c>
      <c r="K1621" s="65">
        <v>1.7668716E-4</v>
      </c>
      <c r="L1621" s="65">
        <v>3.4667041E-4</v>
      </c>
      <c r="N1621" s="66">
        <v>0.0023111360666666666</v>
      </c>
      <c r="O1621" s="10">
        <f t="shared" si="329"/>
        <v>0.002311136067</v>
      </c>
      <c r="Q1621" s="67">
        <v>2.4282981</v>
      </c>
      <c r="S1621" s="68">
        <v>6.7147706E-4</v>
      </c>
      <c r="T1621" s="68">
        <v>6.5958007E-4</v>
      </c>
      <c r="U1621" s="68">
        <v>1.184863E-5</v>
      </c>
      <c r="V1621" s="68">
        <v>4.8359276E-8</v>
      </c>
      <c r="X1621" s="69">
        <v>1.3513083E-6</v>
      </c>
    </row>
    <row r="1622" ht="12.75" customHeight="1">
      <c r="A1622" s="1" t="s">
        <v>2294</v>
      </c>
      <c r="B1622" s="2" t="s">
        <v>2286</v>
      </c>
      <c r="C1622" s="60" t="str">
        <f t="shared" si="340"/>
        <v>B.046.06.109</v>
      </c>
      <c r="D1622" s="51" t="s">
        <v>2284</v>
      </c>
      <c r="E1622" s="62" t="s">
        <v>896</v>
      </c>
      <c r="F1622" s="63" t="str">
        <f t="shared" si="341"/>
        <v>Electricity Delhi production</v>
      </c>
      <c r="G1622" s="64">
        <v>0.037324734358</v>
      </c>
      <c r="H1622" s="10">
        <f t="shared" si="328"/>
        <v>0.03732473436</v>
      </c>
      <c r="I1622" s="65">
        <v>0.0025636350399999997</v>
      </c>
      <c r="J1622" s="65">
        <v>0.0037282565000000003</v>
      </c>
      <c r="K1622" s="65">
        <v>1.2982818E-5</v>
      </c>
      <c r="L1622" s="65">
        <v>0.03101986</v>
      </c>
      <c r="N1622" s="66">
        <v>0.20679906666666667</v>
      </c>
      <c r="O1622" s="10">
        <f t="shared" si="329"/>
        <v>0.2067990667</v>
      </c>
      <c r="Q1622" s="67">
        <v>2.5777928</v>
      </c>
      <c r="S1622" s="68">
        <v>0.0039765852</v>
      </c>
      <c r="T1622" s="68">
        <v>0.0036741051</v>
      </c>
      <c r="U1622" s="68">
        <v>1.6774956E-4</v>
      </c>
      <c r="V1622" s="68">
        <v>1.3473055E-4</v>
      </c>
      <c r="X1622" s="69">
        <v>9.5927401E-6</v>
      </c>
    </row>
    <row r="1623" ht="12.75" customHeight="1">
      <c r="A1623" s="1" t="s">
        <v>2295</v>
      </c>
      <c r="B1623" s="2" t="s">
        <v>2286</v>
      </c>
      <c r="C1623" s="60" t="str">
        <f t="shared" si="340"/>
        <v>B.046.06.110</v>
      </c>
      <c r="D1623" s="51" t="s">
        <v>2284</v>
      </c>
      <c r="E1623" s="62" t="s">
        <v>896</v>
      </c>
      <c r="F1623" s="63" t="str">
        <f t="shared" si="341"/>
        <v>Electricity Goa production</v>
      </c>
      <c r="G1623" s="64">
        <v>9.010458131E-4</v>
      </c>
      <c r="H1623" s="10">
        <f t="shared" si="328"/>
        <v>0.0009010458131</v>
      </c>
      <c r="I1623" s="65">
        <v>3.61008861E-5</v>
      </c>
      <c r="J1623" s="65">
        <v>8.3310967E-5</v>
      </c>
      <c r="K1623" s="65">
        <v>2.7448938E-4</v>
      </c>
      <c r="L1623" s="65">
        <v>5.0714458E-4</v>
      </c>
      <c r="N1623" s="66">
        <v>0.003380963866666667</v>
      </c>
      <c r="O1623" s="10">
        <f t="shared" si="329"/>
        <v>0.003380963867</v>
      </c>
      <c r="Q1623" s="67">
        <v>1.1821713</v>
      </c>
      <c r="S1623" s="68">
        <v>7.0504911E-5</v>
      </c>
      <c r="T1623" s="68">
        <v>6.7561356E-5</v>
      </c>
      <c r="U1623" s="68">
        <v>2.8684267E-6</v>
      </c>
      <c r="V1623" s="68">
        <v>7.5127745E-8</v>
      </c>
      <c r="X1623" s="69">
        <v>1.1777642E-7</v>
      </c>
    </row>
    <row r="1624" ht="12.75" customHeight="1">
      <c r="A1624" s="1" t="s">
        <v>2296</v>
      </c>
      <c r="B1624" s="2" t="s">
        <v>2286</v>
      </c>
      <c r="C1624" s="60" t="str">
        <f t="shared" si="340"/>
        <v>B.046.06.111</v>
      </c>
      <c r="D1624" s="51" t="s">
        <v>2284</v>
      </c>
      <c r="E1624" s="62" t="s">
        <v>896</v>
      </c>
      <c r="F1624" s="63" t="str">
        <f t="shared" si="341"/>
        <v>Electricity Gujarat production</v>
      </c>
      <c r="G1624" s="64">
        <v>0.035373102909</v>
      </c>
      <c r="H1624" s="10">
        <f t="shared" si="328"/>
        <v>0.03537310291</v>
      </c>
      <c r="I1624" s="65">
        <v>0.00120479555</v>
      </c>
      <c r="J1624" s="65">
        <v>0.0018521468</v>
      </c>
      <c r="K1624" s="65">
        <v>0.002169506559</v>
      </c>
      <c r="L1624" s="65">
        <v>0.030146654</v>
      </c>
      <c r="N1624" s="66">
        <v>0.20097769333333332</v>
      </c>
      <c r="O1624" s="10">
        <f t="shared" si="329"/>
        <v>0.2009776933</v>
      </c>
      <c r="Q1624" s="67">
        <v>2.8120848</v>
      </c>
      <c r="S1624" s="68">
        <v>0.0035345794</v>
      </c>
      <c r="T1624" s="68">
        <v>0.0033415522</v>
      </c>
      <c r="U1624" s="68">
        <v>1.5755443E-4</v>
      </c>
      <c r="V1624" s="68">
        <v>3.5472746E-5</v>
      </c>
      <c r="X1624" s="69">
        <v>9.0697885E-6</v>
      </c>
    </row>
    <row r="1625" ht="12.75" customHeight="1">
      <c r="A1625" s="1" t="s">
        <v>2297</v>
      </c>
      <c r="B1625" s="2" t="s">
        <v>2286</v>
      </c>
      <c r="C1625" s="60" t="str">
        <f t="shared" si="340"/>
        <v>B.046.06.112</v>
      </c>
      <c r="D1625" s="51" t="s">
        <v>2284</v>
      </c>
      <c r="E1625" s="62" t="s">
        <v>896</v>
      </c>
      <c r="F1625" s="63" t="str">
        <f t="shared" si="341"/>
        <v>Electricity Haryana production</v>
      </c>
      <c r="G1625" s="64">
        <v>0.051202394639</v>
      </c>
      <c r="H1625" s="10">
        <f t="shared" si="328"/>
        <v>0.05120239464</v>
      </c>
      <c r="I1625" s="65">
        <v>0.00174599832</v>
      </c>
      <c r="J1625" s="65">
        <v>0.00262594522</v>
      </c>
      <c r="K1625" s="65">
        <v>1.5283099E-5</v>
      </c>
      <c r="L1625" s="65">
        <v>0.046815168</v>
      </c>
      <c r="N1625" s="66">
        <v>0.31210112</v>
      </c>
      <c r="O1625" s="10">
        <f t="shared" si="329"/>
        <v>0.31210112</v>
      </c>
      <c r="Q1625" s="67">
        <v>3.4553884</v>
      </c>
      <c r="S1625" s="68">
        <v>0.0054376183</v>
      </c>
      <c r="T1625" s="68">
        <v>0.0051502925</v>
      </c>
      <c r="U1625" s="68">
        <v>2.437218E-4</v>
      </c>
      <c r="V1625" s="68">
        <v>4.3603968E-5</v>
      </c>
      <c r="X1625" s="69">
        <v>1.3469429E-5</v>
      </c>
    </row>
    <row r="1626" ht="12.75" customHeight="1">
      <c r="A1626" s="1" t="s">
        <v>2298</v>
      </c>
      <c r="B1626" s="2" t="s">
        <v>2286</v>
      </c>
      <c r="C1626" s="60" t="str">
        <f t="shared" si="340"/>
        <v>B.046.06.113</v>
      </c>
      <c r="D1626" s="51" t="s">
        <v>2284</v>
      </c>
      <c r="E1626" s="62" t="s">
        <v>896</v>
      </c>
      <c r="F1626" s="63" t="str">
        <f t="shared" si="341"/>
        <v>Electricity Himachal Pradesh production</v>
      </c>
      <c r="G1626" s="64">
        <v>5.90210777912E-4</v>
      </c>
      <c r="H1626" s="10">
        <f t="shared" si="328"/>
        <v>0.0005902107779</v>
      </c>
      <c r="I1626" s="65">
        <v>7.368268114E-6</v>
      </c>
      <c r="J1626" s="65">
        <v>1.9035979799999997E-7</v>
      </c>
      <c r="K1626" s="65">
        <v>2.2755126E-4</v>
      </c>
      <c r="L1626" s="65">
        <v>3.5510089E-4</v>
      </c>
      <c r="N1626" s="66">
        <v>0.0023673392666666666</v>
      </c>
      <c r="O1626" s="10">
        <f t="shared" si="329"/>
        <v>0.002367339267</v>
      </c>
      <c r="Q1626" s="67">
        <v>1.1821713</v>
      </c>
      <c r="S1626" s="68">
        <v>4.044057E-5</v>
      </c>
      <c r="T1626" s="68">
        <v>3.8585176E-5</v>
      </c>
      <c r="U1626" s="68">
        <v>1.7931139E-6</v>
      </c>
      <c r="V1626" s="68">
        <v>6.2280781E-8</v>
      </c>
      <c r="X1626" s="69">
        <v>7.2583054E-8</v>
      </c>
    </row>
    <row r="1627" ht="12.75" customHeight="1">
      <c r="A1627" s="1" t="s">
        <v>2299</v>
      </c>
      <c r="B1627" s="2" t="s">
        <v>2286</v>
      </c>
      <c r="C1627" s="60" t="str">
        <f t="shared" si="340"/>
        <v>B.046.06.114</v>
      </c>
      <c r="D1627" s="51" t="s">
        <v>2284</v>
      </c>
      <c r="E1627" s="62" t="s">
        <v>896</v>
      </c>
      <c r="F1627" s="63" t="str">
        <f t="shared" si="341"/>
        <v>Electricity Jammu &amp; Kashmir and Ladajh production</v>
      </c>
      <c r="G1627" s="64">
        <v>5.893306108E-4</v>
      </c>
      <c r="H1627" s="10">
        <f t="shared" si="328"/>
        <v>0.0005893306108</v>
      </c>
      <c r="I1627" s="65">
        <v>7.3003808E-6</v>
      </c>
      <c r="J1627" s="65">
        <v>0.0</v>
      </c>
      <c r="K1627" s="65">
        <v>2.2737883E-4</v>
      </c>
      <c r="L1627" s="65">
        <v>3.546514E-4</v>
      </c>
      <c r="N1627" s="66">
        <v>0.002364342666666667</v>
      </c>
      <c r="O1627" s="10">
        <f t="shared" si="329"/>
        <v>0.002364342667</v>
      </c>
      <c r="Q1627" s="67">
        <v>1.1821713</v>
      </c>
      <c r="S1627" s="68">
        <v>4.0360192E-5</v>
      </c>
      <c r="T1627" s="68">
        <v>3.8507818E-5</v>
      </c>
      <c r="U1627" s="68">
        <v>1.79014E-6</v>
      </c>
      <c r="V1627" s="68">
        <v>6.2233587E-8</v>
      </c>
      <c r="X1627" s="69">
        <v>7.2458861E-8</v>
      </c>
    </row>
    <row r="1628" ht="12.75" customHeight="1">
      <c r="A1628" s="1" t="s">
        <v>2300</v>
      </c>
      <c r="B1628" s="2" t="s">
        <v>2286</v>
      </c>
      <c r="C1628" s="60" t="str">
        <f t="shared" si="340"/>
        <v>B.046.06.115</v>
      </c>
      <c r="D1628" s="51" t="s">
        <v>2284</v>
      </c>
      <c r="E1628" s="62" t="s">
        <v>896</v>
      </c>
      <c r="F1628" s="63" t="str">
        <f t="shared" si="341"/>
        <v>Electricity Jharkhand production</v>
      </c>
      <c r="G1628" s="64">
        <v>0.054261476382400003</v>
      </c>
      <c r="H1628" s="10">
        <f t="shared" si="328"/>
        <v>0.05426147638</v>
      </c>
      <c r="I1628" s="65">
        <v>0.0017858560299999998</v>
      </c>
      <c r="J1628" s="65">
        <v>0.00268833869</v>
      </c>
      <c r="K1628" s="65">
        <v>1.5806624E-6</v>
      </c>
      <c r="L1628" s="65">
        <v>0.049785701</v>
      </c>
      <c r="N1628" s="66">
        <v>0.33190467333333334</v>
      </c>
      <c r="O1628" s="10">
        <f t="shared" si="329"/>
        <v>0.3319046733</v>
      </c>
      <c r="Q1628" s="67">
        <v>3.5639831</v>
      </c>
      <c r="S1628" s="68">
        <v>0.0057600201</v>
      </c>
      <c r="T1628" s="68">
        <v>0.0054556878</v>
      </c>
      <c r="U1628" s="68">
        <v>2.5882251E-4</v>
      </c>
      <c r="V1628" s="68">
        <v>4.5509811E-5</v>
      </c>
      <c r="X1628" s="69">
        <v>1.4281546E-5</v>
      </c>
    </row>
    <row r="1629" ht="12.75" customHeight="1">
      <c r="A1629" s="1" t="s">
        <v>2301</v>
      </c>
      <c r="B1629" s="2" t="s">
        <v>2286</v>
      </c>
      <c r="C1629" s="60" t="str">
        <f t="shared" si="340"/>
        <v>B.046.06.116</v>
      </c>
      <c r="D1629" s="51" t="s">
        <v>2284</v>
      </c>
      <c r="E1629" s="62" t="s">
        <v>896</v>
      </c>
      <c r="F1629" s="63" t="str">
        <f t="shared" si="341"/>
        <v>Electricity Karnataka production</v>
      </c>
      <c r="G1629" s="64">
        <v>0.02805990042</v>
      </c>
      <c r="H1629" s="10">
        <f t="shared" si="328"/>
        <v>0.02805990042</v>
      </c>
      <c r="I1629" s="65">
        <v>9.5615007E-4</v>
      </c>
      <c r="J1629" s="65">
        <v>0.0014851243599999999</v>
      </c>
      <c r="K1629" s="65">
        <v>0.00245211599</v>
      </c>
      <c r="L1629" s="65">
        <v>0.02316651</v>
      </c>
      <c r="N1629" s="66">
        <v>0.1544434</v>
      </c>
      <c r="O1629" s="10">
        <f t="shared" si="329"/>
        <v>0.1544434</v>
      </c>
      <c r="Q1629" s="67">
        <v>2.5789126</v>
      </c>
      <c r="S1629" s="68">
        <v>0.0027349249</v>
      </c>
      <c r="T1629" s="68">
        <v>0.0025925495</v>
      </c>
      <c r="U1629" s="68">
        <v>1.2136699E-4</v>
      </c>
      <c r="V1629" s="68">
        <v>2.1008433E-5</v>
      </c>
      <c r="X1629" s="69">
        <v>7.1299148E-6</v>
      </c>
    </row>
    <row r="1630" ht="12.75" customHeight="1">
      <c r="A1630" s="1" t="s">
        <v>2302</v>
      </c>
      <c r="B1630" s="2" t="s">
        <v>2286</v>
      </c>
      <c r="C1630" s="60" t="str">
        <f t="shared" si="340"/>
        <v>B.046.06.117</v>
      </c>
      <c r="D1630" s="51" t="s">
        <v>2284</v>
      </c>
      <c r="E1630" s="62" t="s">
        <v>896</v>
      </c>
      <c r="F1630" s="63" t="str">
        <f t="shared" si="341"/>
        <v>Electricity Kerala production</v>
      </c>
      <c r="G1630" s="64">
        <v>7.21040328E-4</v>
      </c>
      <c r="H1630" s="10">
        <f t="shared" si="328"/>
        <v>0.000721040328</v>
      </c>
      <c r="I1630" s="65">
        <v>3.1592154999999996E-5</v>
      </c>
      <c r="J1630" s="65">
        <v>4.6088093000000004E-5</v>
      </c>
      <c r="K1630" s="65">
        <v>2.4131922E-4</v>
      </c>
      <c r="L1630" s="65">
        <v>4.0204086E-4</v>
      </c>
      <c r="N1630" s="66">
        <v>0.0026802724</v>
      </c>
      <c r="O1630" s="10">
        <f t="shared" si="329"/>
        <v>0.0026802724</v>
      </c>
      <c r="Q1630" s="67">
        <v>1.1942932</v>
      </c>
      <c r="S1630" s="68">
        <v>5.4995376E-5</v>
      </c>
      <c r="T1630" s="68">
        <v>5.2667009E-5</v>
      </c>
      <c r="U1630" s="68">
        <v>2.2006134E-6</v>
      </c>
      <c r="V1630" s="68">
        <v>1.2775352E-7</v>
      </c>
      <c r="X1630" s="69">
        <v>9.850222E-8</v>
      </c>
    </row>
    <row r="1631" ht="12.75" customHeight="1">
      <c r="A1631" s="1" t="s">
        <v>2303</v>
      </c>
      <c r="B1631" s="2" t="s">
        <v>2286</v>
      </c>
      <c r="C1631" s="60" t="str">
        <f t="shared" si="340"/>
        <v>B.046.06.118</v>
      </c>
      <c r="D1631" s="51" t="s">
        <v>2284</v>
      </c>
      <c r="E1631" s="62" t="s">
        <v>896</v>
      </c>
      <c r="F1631" s="63" t="str">
        <f t="shared" si="341"/>
        <v>Electricity Lakshadweep production</v>
      </c>
      <c r="G1631" s="64">
        <v>0.05455372987249</v>
      </c>
      <c r="H1631" s="10">
        <f t="shared" si="328"/>
        <v>0.05455372987</v>
      </c>
      <c r="I1631" s="65">
        <v>0.0017955597799999999</v>
      </c>
      <c r="J1631" s="65">
        <v>0.00270305006</v>
      </c>
      <c r="K1631" s="65">
        <v>4.3903249E-7</v>
      </c>
      <c r="L1631" s="65">
        <v>0.050054681</v>
      </c>
      <c r="N1631" s="66">
        <v>0.33369787333333334</v>
      </c>
      <c r="O1631" s="10">
        <f t="shared" si="329"/>
        <v>0.3336978733</v>
      </c>
      <c r="Q1631" s="67">
        <v>3.5769329</v>
      </c>
      <c r="S1631" s="68">
        <v>0.0057911579</v>
      </c>
      <c r="T1631" s="68">
        <v>0.0054851795</v>
      </c>
      <c r="U1631" s="68">
        <v>2.6022147E-4</v>
      </c>
      <c r="V1631" s="68">
        <v>4.5756931E-5</v>
      </c>
      <c r="X1631" s="69">
        <v>1.4358862E-5</v>
      </c>
    </row>
    <row r="1632" ht="12.75" customHeight="1">
      <c r="A1632" s="1" t="s">
        <v>2304</v>
      </c>
      <c r="B1632" s="2" t="s">
        <v>2286</v>
      </c>
      <c r="C1632" s="60" t="str">
        <f t="shared" si="340"/>
        <v>B.046.06.119</v>
      </c>
      <c r="D1632" s="51" t="s">
        <v>2284</v>
      </c>
      <c r="E1632" s="62" t="s">
        <v>896</v>
      </c>
      <c r="F1632" s="63" t="str">
        <f t="shared" si="341"/>
        <v>Electricity Madhya Pradesh production</v>
      </c>
      <c r="G1632" s="64">
        <v>0.04850378244</v>
      </c>
      <c r="H1632" s="10">
        <f t="shared" si="328"/>
        <v>0.04850378244</v>
      </c>
      <c r="I1632" s="65">
        <v>0.00160112558</v>
      </c>
      <c r="J1632" s="65">
        <v>0.00241262214</v>
      </c>
      <c r="K1632" s="65">
        <v>3.197272E-5</v>
      </c>
      <c r="L1632" s="65">
        <v>0.044458062</v>
      </c>
      <c r="N1632" s="66">
        <v>0.29638708</v>
      </c>
      <c r="O1632" s="10">
        <f t="shared" si="329"/>
        <v>0.29638708</v>
      </c>
      <c r="Q1632" s="67">
        <v>3.3100291</v>
      </c>
      <c r="S1632" s="68">
        <v>0.005146517</v>
      </c>
      <c r="T1632" s="68">
        <v>0.0048747408</v>
      </c>
      <c r="U1632" s="68">
        <v>2.3117465E-4</v>
      </c>
      <c r="V1632" s="68">
        <v>4.060154E-5</v>
      </c>
      <c r="X1632" s="69">
        <v>1.2753809E-5</v>
      </c>
    </row>
    <row r="1633" ht="12.75" customHeight="1">
      <c r="A1633" s="1" t="s">
        <v>2305</v>
      </c>
      <c r="B1633" s="2" t="s">
        <v>2286</v>
      </c>
      <c r="C1633" s="60" t="str">
        <f t="shared" si="340"/>
        <v>B.046.06.120</v>
      </c>
      <c r="D1633" s="51" t="s">
        <v>2284</v>
      </c>
      <c r="E1633" s="62" t="s">
        <v>896</v>
      </c>
      <c r="F1633" s="63" t="str">
        <f t="shared" si="341"/>
        <v>Electricity Maharashtra production</v>
      </c>
      <c r="G1633" s="64">
        <v>0.045576172867999996</v>
      </c>
      <c r="H1633" s="10">
        <f t="shared" si="328"/>
        <v>0.04557617287</v>
      </c>
      <c r="I1633" s="65">
        <v>0.00159278111</v>
      </c>
      <c r="J1633" s="65">
        <v>0.0024165596900000003</v>
      </c>
      <c r="K1633" s="65">
        <v>0.001515530068</v>
      </c>
      <c r="L1633" s="65">
        <v>0.040051302</v>
      </c>
      <c r="N1633" s="66">
        <v>0.26700868</v>
      </c>
      <c r="O1633" s="10">
        <f t="shared" si="329"/>
        <v>0.26700868</v>
      </c>
      <c r="Q1633" s="67">
        <v>3.2951276</v>
      </c>
      <c r="S1633" s="68">
        <v>0.0046888418</v>
      </c>
      <c r="T1633" s="68">
        <v>0.0044388931</v>
      </c>
      <c r="U1633" s="68">
        <v>2.0913813E-4</v>
      </c>
      <c r="V1633" s="68">
        <v>4.0810559E-5</v>
      </c>
      <c r="X1633" s="69">
        <v>1.1843112E-5</v>
      </c>
    </row>
    <row r="1634" ht="12.75" customHeight="1">
      <c r="A1634" s="1" t="s">
        <v>2306</v>
      </c>
      <c r="B1634" s="2" t="s">
        <v>2286</v>
      </c>
      <c r="C1634" s="60" t="str">
        <f t="shared" si="340"/>
        <v>B.046.06.121</v>
      </c>
      <c r="D1634" s="51" t="s">
        <v>2284</v>
      </c>
      <c r="E1634" s="62" t="s">
        <v>896</v>
      </c>
      <c r="F1634" s="63" t="str">
        <f t="shared" si="341"/>
        <v>Electricity Manipur production</v>
      </c>
      <c r="G1634" s="64">
        <v>5.9509569914E-4</v>
      </c>
      <c r="H1634" s="10">
        <f t="shared" si="328"/>
        <v>0.0005950956991</v>
      </c>
      <c r="I1634" s="65">
        <v>7.74504243E-6</v>
      </c>
      <c r="J1634" s="65">
        <v>1.24685671E-6</v>
      </c>
      <c r="K1634" s="65">
        <v>2.2850826E-4</v>
      </c>
      <c r="L1634" s="65">
        <v>3.5759554E-4</v>
      </c>
      <c r="N1634" s="66">
        <v>0.0023839702666666666</v>
      </c>
      <c r="O1634" s="10">
        <f t="shared" si="329"/>
        <v>0.002383970267</v>
      </c>
      <c r="Q1634" s="67">
        <v>1.1821713</v>
      </c>
      <c r="S1634" s="68">
        <v>4.0886671E-5</v>
      </c>
      <c r="T1634" s="68">
        <v>3.9014509E-5</v>
      </c>
      <c r="U1634" s="68">
        <v>1.8096189E-6</v>
      </c>
      <c r="V1634" s="68">
        <v>6.2542711E-8</v>
      </c>
      <c r="X1634" s="69">
        <v>7.3272327E-8</v>
      </c>
    </row>
    <row r="1635" ht="12.75" customHeight="1">
      <c r="A1635" s="1" t="s">
        <v>2307</v>
      </c>
      <c r="B1635" s="2" t="s">
        <v>2286</v>
      </c>
      <c r="C1635" s="60" t="str">
        <f t="shared" si="340"/>
        <v>B.046.06.122</v>
      </c>
      <c r="D1635" s="51" t="s">
        <v>2284</v>
      </c>
      <c r="E1635" s="62" t="s">
        <v>896</v>
      </c>
      <c r="F1635" s="63" t="str">
        <f t="shared" si="341"/>
        <v>Electricity Meghalaya production</v>
      </c>
      <c r="G1635" s="64">
        <v>5.893306108E-4</v>
      </c>
      <c r="H1635" s="10">
        <f t="shared" si="328"/>
        <v>0.0005893306108</v>
      </c>
      <c r="I1635" s="65">
        <v>7.3003808E-6</v>
      </c>
      <c r="J1635" s="65">
        <v>0.0</v>
      </c>
      <c r="K1635" s="65">
        <v>2.2737883E-4</v>
      </c>
      <c r="L1635" s="65">
        <v>3.546514E-4</v>
      </c>
      <c r="N1635" s="66">
        <v>0.002364342666666667</v>
      </c>
      <c r="O1635" s="10">
        <f t="shared" si="329"/>
        <v>0.002364342667</v>
      </c>
      <c r="Q1635" s="67">
        <v>1.1821713</v>
      </c>
      <c r="S1635" s="68">
        <v>4.0360192E-5</v>
      </c>
      <c r="T1635" s="68">
        <v>3.8507818E-5</v>
      </c>
      <c r="U1635" s="68">
        <v>1.79014E-6</v>
      </c>
      <c r="V1635" s="68">
        <v>6.2233587E-8</v>
      </c>
      <c r="X1635" s="69">
        <v>7.2458861E-8</v>
      </c>
    </row>
    <row r="1636" ht="12.75" customHeight="1">
      <c r="A1636" s="1" t="s">
        <v>2308</v>
      </c>
      <c r="B1636" s="2" t="s">
        <v>2286</v>
      </c>
      <c r="C1636" s="60" t="str">
        <f t="shared" si="340"/>
        <v>B.046.06.123</v>
      </c>
      <c r="D1636" s="51" t="s">
        <v>2284</v>
      </c>
      <c r="E1636" s="62" t="s">
        <v>896</v>
      </c>
      <c r="F1636" s="63" t="str">
        <f t="shared" si="341"/>
        <v>Electricity Mizoram production</v>
      </c>
      <c r="G1636" s="64">
        <v>6.119508906E-4</v>
      </c>
      <c r="H1636" s="10">
        <f t="shared" si="328"/>
        <v>0.0006119508906</v>
      </c>
      <c r="I1636" s="65">
        <v>9.0450837E-6</v>
      </c>
      <c r="J1636" s="65">
        <v>4.8922469E-6</v>
      </c>
      <c r="K1636" s="65">
        <v>2.3181033E-4</v>
      </c>
      <c r="L1636" s="65">
        <v>3.6620323E-4</v>
      </c>
      <c r="N1636" s="66">
        <v>0.002441354866666667</v>
      </c>
      <c r="O1636" s="10">
        <f t="shared" si="329"/>
        <v>0.002441354867</v>
      </c>
      <c r="Q1636" s="67">
        <v>1.1821713</v>
      </c>
      <c r="S1636" s="68">
        <v>4.2425918E-5</v>
      </c>
      <c r="T1636" s="68">
        <v>4.0495903E-5</v>
      </c>
      <c r="U1636" s="68">
        <v>1.8665687E-6</v>
      </c>
      <c r="V1636" s="68">
        <v>6.3446486E-8</v>
      </c>
      <c r="X1636" s="69">
        <v>7.5650628E-8</v>
      </c>
    </row>
    <row r="1637" ht="12.75" customHeight="1">
      <c r="A1637" s="1" t="s">
        <v>2309</v>
      </c>
      <c r="B1637" s="2" t="s">
        <v>2286</v>
      </c>
      <c r="C1637" s="60" t="str">
        <f t="shared" si="340"/>
        <v>B.046.06.124</v>
      </c>
      <c r="D1637" s="51" t="s">
        <v>2284</v>
      </c>
      <c r="E1637" s="62" t="s">
        <v>896</v>
      </c>
      <c r="F1637" s="63" t="str">
        <f t="shared" si="341"/>
        <v>Electricity Nagaland production</v>
      </c>
      <c r="G1637" s="64">
        <v>5.893306108E-4</v>
      </c>
      <c r="H1637" s="10">
        <f t="shared" si="328"/>
        <v>0.0005893306108</v>
      </c>
      <c r="I1637" s="65">
        <v>7.3003808E-6</v>
      </c>
      <c r="J1637" s="65">
        <v>0.0</v>
      </c>
      <c r="K1637" s="65">
        <v>2.2737883E-4</v>
      </c>
      <c r="L1637" s="65">
        <v>3.546514E-4</v>
      </c>
      <c r="N1637" s="66">
        <v>0.002364342666666667</v>
      </c>
      <c r="O1637" s="10">
        <f t="shared" si="329"/>
        <v>0.002364342667</v>
      </c>
      <c r="Q1637" s="67">
        <v>1.1821713</v>
      </c>
      <c r="S1637" s="68">
        <v>4.0360192E-5</v>
      </c>
      <c r="T1637" s="68">
        <v>3.8507818E-5</v>
      </c>
      <c r="U1637" s="68">
        <v>1.79014E-6</v>
      </c>
      <c r="V1637" s="68">
        <v>6.2233587E-8</v>
      </c>
      <c r="X1637" s="69">
        <v>7.2458861E-8</v>
      </c>
    </row>
    <row r="1638" ht="12.75" customHeight="1">
      <c r="A1638" s="1" t="s">
        <v>2310</v>
      </c>
      <c r="B1638" s="2" t="s">
        <v>2286</v>
      </c>
      <c r="C1638" s="60" t="str">
        <f t="shared" si="340"/>
        <v>B.046.06.125</v>
      </c>
      <c r="D1638" s="51" t="s">
        <v>2284</v>
      </c>
      <c r="E1638" s="62" t="s">
        <v>896</v>
      </c>
      <c r="F1638" s="63" t="str">
        <f t="shared" si="341"/>
        <v>Electricity Odisha production</v>
      </c>
      <c r="G1638" s="64">
        <v>0.049163861907</v>
      </c>
      <c r="H1638" s="10">
        <f t="shared" si="328"/>
        <v>0.04916386191</v>
      </c>
      <c r="I1638" s="65">
        <v>0.0016211131399999999</v>
      </c>
      <c r="J1638" s="65">
        <v>0.00243952558</v>
      </c>
      <c r="K1638" s="65">
        <v>2.3745187E-5</v>
      </c>
      <c r="L1638" s="65">
        <v>0.045079478</v>
      </c>
      <c r="N1638" s="66">
        <v>0.3005298533333333</v>
      </c>
      <c r="O1638" s="10">
        <f t="shared" si="329"/>
        <v>0.3005298533</v>
      </c>
      <c r="Q1638" s="67">
        <v>3.3400427</v>
      </c>
      <c r="S1638" s="68">
        <v>0.0052170088</v>
      </c>
      <c r="T1638" s="68">
        <v>0.0049414511</v>
      </c>
      <c r="U1638" s="68">
        <v>2.343765E-4</v>
      </c>
      <c r="V1638" s="68">
        <v>4.1181214E-5</v>
      </c>
      <c r="X1638" s="69">
        <v>1.2931587E-5</v>
      </c>
    </row>
    <row r="1639" ht="12.75" customHeight="1">
      <c r="A1639" s="1" t="s">
        <v>2311</v>
      </c>
      <c r="B1639" s="2" t="s">
        <v>2286</v>
      </c>
      <c r="C1639" s="60" t="str">
        <f t="shared" si="340"/>
        <v>B.046.06.126</v>
      </c>
      <c r="D1639" s="51" t="s">
        <v>2284</v>
      </c>
      <c r="E1639" s="62" t="s">
        <v>896</v>
      </c>
      <c r="F1639" s="63" t="str">
        <f t="shared" si="341"/>
        <v>Electricity Puducherry production</v>
      </c>
      <c r="G1639" s="64">
        <v>0.041612418057</v>
      </c>
      <c r="H1639" s="10">
        <f t="shared" si="328"/>
        <v>0.04161241806</v>
      </c>
      <c r="I1639" s="65">
        <v>0.00285782786</v>
      </c>
      <c r="J1639" s="65">
        <v>0.0041564611</v>
      </c>
      <c r="K1639" s="65">
        <v>1.7718097E-5</v>
      </c>
      <c r="L1639" s="65">
        <v>0.034580411</v>
      </c>
      <c r="N1639" s="66">
        <v>0.23053607333333334</v>
      </c>
      <c r="O1639" s="10">
        <f t="shared" si="329"/>
        <v>0.2305360733</v>
      </c>
      <c r="Q1639" s="67">
        <v>2.7378481</v>
      </c>
      <c r="S1639" s="68">
        <v>0.0044330943</v>
      </c>
      <c r="T1639" s="68">
        <v>0.0040959183</v>
      </c>
      <c r="U1639" s="68">
        <v>1.8700584E-4</v>
      </c>
      <c r="V1639" s="68">
        <v>1.5017014E-4</v>
      </c>
      <c r="X1639" s="69">
        <v>1.0693361E-5</v>
      </c>
    </row>
    <row r="1640" ht="12.75" customHeight="1">
      <c r="A1640" s="1" t="s">
        <v>2312</v>
      </c>
      <c r="B1640" s="2" t="s">
        <v>2286</v>
      </c>
      <c r="C1640" s="60" t="str">
        <f t="shared" si="340"/>
        <v>B.046.06.127</v>
      </c>
      <c r="D1640" s="51" t="s">
        <v>2284</v>
      </c>
      <c r="E1640" s="62" t="s">
        <v>896</v>
      </c>
      <c r="F1640" s="63" t="str">
        <f t="shared" si="341"/>
        <v>Electricity Punjab production</v>
      </c>
      <c r="G1640" s="64">
        <v>0.04534183181</v>
      </c>
      <c r="H1640" s="10">
        <f t="shared" si="328"/>
        <v>0.04534183181</v>
      </c>
      <c r="I1640" s="65">
        <v>0.0015865918400000002</v>
      </c>
      <c r="J1640" s="65">
        <v>0.00238289499</v>
      </c>
      <c r="K1640" s="65">
        <v>3.758798E-5</v>
      </c>
      <c r="L1640" s="65">
        <v>0.041334757</v>
      </c>
      <c r="N1640" s="66">
        <v>0.2755650466666667</v>
      </c>
      <c r="O1640" s="10">
        <f t="shared" si="329"/>
        <v>0.2755650467</v>
      </c>
      <c r="Q1640" s="67">
        <v>3.2241832</v>
      </c>
      <c r="S1640" s="68">
        <v>0.0048163079</v>
      </c>
      <c r="T1640" s="68">
        <v>0.0045631437</v>
      </c>
      <c r="U1640" s="68">
        <v>2.1542491E-4</v>
      </c>
      <c r="V1640" s="68">
        <v>3.7739267E-5</v>
      </c>
      <c r="X1640" s="69">
        <v>1.1921466E-5</v>
      </c>
    </row>
    <row r="1641" ht="12.75" customHeight="1">
      <c r="A1641" s="1" t="s">
        <v>2313</v>
      </c>
      <c r="B1641" s="2" t="s">
        <v>2286</v>
      </c>
      <c r="C1641" s="60" t="str">
        <f t="shared" si="340"/>
        <v>B.046.06.128</v>
      </c>
      <c r="D1641" s="51" t="s">
        <v>2284</v>
      </c>
      <c r="E1641" s="62" t="s">
        <v>896</v>
      </c>
      <c r="F1641" s="63" t="str">
        <f t="shared" si="341"/>
        <v>Electricity Rajasthan production</v>
      </c>
      <c r="G1641" s="64">
        <v>0.03023504011</v>
      </c>
      <c r="H1641" s="10">
        <f t="shared" si="328"/>
        <v>0.03023504011</v>
      </c>
      <c r="I1641" s="65">
        <v>9.6834997E-4</v>
      </c>
      <c r="J1641" s="65">
        <v>0.00150059911</v>
      </c>
      <c r="K1641" s="65">
        <v>0.00187513003</v>
      </c>
      <c r="L1641" s="65">
        <v>0.025890961</v>
      </c>
      <c r="N1641" s="66">
        <v>0.17260640666666668</v>
      </c>
      <c r="O1641" s="10">
        <f t="shared" si="329"/>
        <v>0.1726064067</v>
      </c>
      <c r="Q1641" s="67">
        <v>2.586763</v>
      </c>
      <c r="S1641" s="68">
        <v>0.0030189132</v>
      </c>
      <c r="T1641" s="68">
        <v>0.0028595211</v>
      </c>
      <c r="U1641" s="68">
        <v>1.3503344E-4</v>
      </c>
      <c r="V1641" s="68">
        <v>2.4358658E-5</v>
      </c>
      <c r="X1641" s="69">
        <v>7.7453547E-6</v>
      </c>
    </row>
    <row r="1642" ht="12.75" customHeight="1">
      <c r="A1642" s="1" t="s">
        <v>2314</v>
      </c>
      <c r="B1642" s="2" t="s">
        <v>2286</v>
      </c>
      <c r="C1642" s="60" t="str">
        <f t="shared" si="340"/>
        <v>B.046.06.129</v>
      </c>
      <c r="D1642" s="51" t="s">
        <v>2284</v>
      </c>
      <c r="E1642" s="62" t="s">
        <v>896</v>
      </c>
      <c r="F1642" s="63" t="str">
        <f t="shared" si="341"/>
        <v>Electricity Sikkim production</v>
      </c>
      <c r="G1642" s="64">
        <v>5.893306108E-4</v>
      </c>
      <c r="H1642" s="10">
        <f t="shared" si="328"/>
        <v>0.0005893306108</v>
      </c>
      <c r="I1642" s="65">
        <v>7.3003808E-6</v>
      </c>
      <c r="J1642" s="65">
        <v>0.0</v>
      </c>
      <c r="K1642" s="65">
        <v>2.2737883E-4</v>
      </c>
      <c r="L1642" s="65">
        <v>3.546514E-4</v>
      </c>
      <c r="N1642" s="66">
        <v>0.002364342666666667</v>
      </c>
      <c r="O1642" s="10">
        <f t="shared" si="329"/>
        <v>0.002364342667</v>
      </c>
      <c r="Q1642" s="67">
        <v>1.1821713</v>
      </c>
      <c r="S1642" s="68">
        <v>4.0360192E-5</v>
      </c>
      <c r="T1642" s="68">
        <v>3.8507818E-5</v>
      </c>
      <c r="U1642" s="68">
        <v>1.79014E-6</v>
      </c>
      <c r="V1642" s="68">
        <v>6.2233587E-8</v>
      </c>
      <c r="X1642" s="69">
        <v>7.2458861E-8</v>
      </c>
    </row>
    <row r="1643" ht="12.75" customHeight="1">
      <c r="A1643" s="1" t="s">
        <v>2315</v>
      </c>
      <c r="B1643" s="2" t="s">
        <v>2286</v>
      </c>
      <c r="C1643" s="60" t="str">
        <f t="shared" si="340"/>
        <v>B.046.06.130</v>
      </c>
      <c r="D1643" s="51" t="s">
        <v>2284</v>
      </c>
      <c r="E1643" s="62" t="s">
        <v>896</v>
      </c>
      <c r="F1643" s="63" t="str">
        <f t="shared" si="341"/>
        <v>Electricity Tamil Nadu production</v>
      </c>
      <c r="G1643" s="64">
        <v>0.036445211025</v>
      </c>
      <c r="H1643" s="10">
        <f t="shared" si="328"/>
        <v>0.03644521103</v>
      </c>
      <c r="I1643" s="65">
        <v>0.00112923527</v>
      </c>
      <c r="J1643" s="65">
        <v>0.0017694452799999999</v>
      </c>
      <c r="K1643" s="65">
        <v>0.0037267364750000003</v>
      </c>
      <c r="L1643" s="65">
        <v>0.029819794</v>
      </c>
      <c r="N1643" s="66">
        <v>0.19879862666666667</v>
      </c>
      <c r="O1643" s="10">
        <f t="shared" si="329"/>
        <v>0.1987986267</v>
      </c>
      <c r="Q1643" s="67">
        <v>2.966878</v>
      </c>
      <c r="S1643" s="68">
        <v>0.0034873795</v>
      </c>
      <c r="T1643" s="68">
        <v>0.0033027791</v>
      </c>
      <c r="U1643" s="68">
        <v>1.5571407E-4</v>
      </c>
      <c r="V1643" s="68">
        <v>2.8886382E-5</v>
      </c>
      <c r="X1643" s="69">
        <v>9.2323021E-6</v>
      </c>
    </row>
    <row r="1644" ht="12.75" customHeight="1">
      <c r="B1644" s="2"/>
      <c r="C1644" s="60"/>
      <c r="D1644" s="75" t="s">
        <v>2316</v>
      </c>
      <c r="E1644" s="62"/>
      <c r="G1644" s="10"/>
      <c r="H1644" s="10" t="str">
        <f t="shared" si="328"/>
        <v/>
      </c>
      <c r="I1644" s="10"/>
      <c r="J1644" s="10"/>
      <c r="K1644" s="10"/>
      <c r="L1644" s="10"/>
      <c r="N1644" s="10"/>
      <c r="O1644" s="10" t="str">
        <f t="shared" si="329"/>
        <v/>
      </c>
      <c r="Q1644" s="67"/>
    </row>
    <row r="1645" ht="12.75" customHeight="1">
      <c r="A1645" s="1" t="s">
        <v>2317</v>
      </c>
      <c r="B1645" s="2" t="s">
        <v>2318</v>
      </c>
      <c r="C1645" s="60" t="str">
        <f t="shared" ref="C1645:C1695" si="342">MID(A1645,1,12)</f>
        <v>B.046.08.101</v>
      </c>
      <c r="D1645" s="51" t="s">
        <v>2316</v>
      </c>
      <c r="E1645" s="62" t="s">
        <v>896</v>
      </c>
      <c r="F1645" s="63" t="str">
        <f t="shared" ref="F1645:F1695" si="343">MID(A1645, 21,85)</f>
        <v>Electricity Alabama production</v>
      </c>
      <c r="G1645" s="64">
        <v>0.031453917655</v>
      </c>
      <c r="H1645" s="10">
        <f t="shared" si="328"/>
        <v>0.03145391766</v>
      </c>
      <c r="I1645" s="65">
        <v>0.0010642440800000001</v>
      </c>
      <c r="J1645" s="65">
        <v>0.00203970634</v>
      </c>
      <c r="K1645" s="65">
        <v>0.008741490235</v>
      </c>
      <c r="L1645" s="65">
        <v>0.019608477</v>
      </c>
      <c r="N1645" s="66">
        <v>0.13072318</v>
      </c>
      <c r="O1645" s="10">
        <f t="shared" si="329"/>
        <v>0.13072318</v>
      </c>
      <c r="Q1645" s="67">
        <v>2.9456785</v>
      </c>
      <c r="S1645" s="68">
        <v>0.002554178</v>
      </c>
      <c r="T1645" s="68">
        <v>0.0023753942</v>
      </c>
      <c r="U1645" s="68">
        <v>1.0656481E-4</v>
      </c>
      <c r="V1645" s="68">
        <v>7.2218995E-5</v>
      </c>
      <c r="X1645" s="69">
        <v>7.7158542E-6</v>
      </c>
    </row>
    <row r="1646" ht="12.75" customHeight="1">
      <c r="A1646" s="1" t="s">
        <v>2319</v>
      </c>
      <c r="B1646" s="2" t="s">
        <v>2318</v>
      </c>
      <c r="C1646" s="60" t="str">
        <f t="shared" si="342"/>
        <v>B.046.08.102</v>
      </c>
      <c r="D1646" s="51" t="s">
        <v>2316</v>
      </c>
      <c r="E1646" s="62" t="s">
        <v>896</v>
      </c>
      <c r="F1646" s="63" t="str">
        <f t="shared" si="343"/>
        <v>Electricity Alaska production</v>
      </c>
      <c r="G1646" s="64">
        <v>0.043945444508</v>
      </c>
      <c r="H1646" s="10">
        <f t="shared" si="328"/>
        <v>0.04394544451</v>
      </c>
      <c r="I1646" s="65">
        <v>0.006215624360000001</v>
      </c>
      <c r="J1646" s="65">
        <v>0.0083011813</v>
      </c>
      <c r="K1646" s="65">
        <v>5.6702848E-5</v>
      </c>
      <c r="L1646" s="65">
        <v>0.029371936</v>
      </c>
      <c r="N1646" s="66">
        <v>0.19581290666666668</v>
      </c>
      <c r="O1646" s="10">
        <f t="shared" si="329"/>
        <v>0.1958129067</v>
      </c>
      <c r="Q1646" s="67">
        <v>2.4052456</v>
      </c>
      <c r="S1646" s="68">
        <v>0.0037204603</v>
      </c>
      <c r="T1646" s="68">
        <v>0.0034423246</v>
      </c>
      <c r="U1646" s="68">
        <v>1.6531772E-4</v>
      </c>
      <c r="V1646" s="68">
        <v>1.1281798E-4</v>
      </c>
      <c r="X1646" s="69">
        <v>9.585737E-6</v>
      </c>
    </row>
    <row r="1647" ht="12.75" customHeight="1">
      <c r="A1647" s="1" t="s">
        <v>2320</v>
      </c>
      <c r="B1647" s="2" t="s">
        <v>2318</v>
      </c>
      <c r="C1647" s="60" t="str">
        <f t="shared" si="342"/>
        <v>B.046.08.103</v>
      </c>
      <c r="D1647" s="51" t="s">
        <v>2316</v>
      </c>
      <c r="E1647" s="62" t="s">
        <v>896</v>
      </c>
      <c r="F1647" s="63" t="str">
        <f t="shared" si="343"/>
        <v>Electricity Arizona production</v>
      </c>
      <c r="G1647" s="64">
        <v>0.029188152419</v>
      </c>
      <c r="H1647" s="10">
        <f t="shared" si="328"/>
        <v>0.02918815242</v>
      </c>
      <c r="I1647" s="65">
        <v>0.00116075386</v>
      </c>
      <c r="J1647" s="65">
        <v>0.00177830293</v>
      </c>
      <c r="K1647" s="65">
        <v>0.007324292629</v>
      </c>
      <c r="L1647" s="65">
        <v>0.018924803</v>
      </c>
      <c r="N1647" s="66">
        <v>0.12616535333333334</v>
      </c>
      <c r="O1647" s="10">
        <f t="shared" si="329"/>
        <v>0.1261653533</v>
      </c>
      <c r="Q1647" s="67">
        <v>2.7668257</v>
      </c>
      <c r="S1647" s="68">
        <v>0.0023715985</v>
      </c>
      <c r="T1647" s="68">
        <v>0.0021959695</v>
      </c>
      <c r="U1647" s="68">
        <v>1.0118199E-4</v>
      </c>
      <c r="V1647" s="68">
        <v>7.4447084E-5</v>
      </c>
      <c r="X1647" s="69">
        <v>7.1909496E-6</v>
      </c>
    </row>
    <row r="1648" ht="12.75" customHeight="1">
      <c r="A1648" s="1" t="s">
        <v>2321</v>
      </c>
      <c r="B1648" s="2" t="s">
        <v>2318</v>
      </c>
      <c r="C1648" s="60" t="str">
        <f t="shared" si="342"/>
        <v>B.046.08.104</v>
      </c>
      <c r="D1648" s="51" t="s">
        <v>2316</v>
      </c>
      <c r="E1648" s="62" t="s">
        <v>896</v>
      </c>
      <c r="F1648" s="63" t="str">
        <f t="shared" si="343"/>
        <v>Electricity Arkansas production</v>
      </c>
      <c r="G1648" s="64">
        <v>0.035448464336</v>
      </c>
      <c r="H1648" s="10">
        <f t="shared" si="328"/>
        <v>0.03544846434</v>
      </c>
      <c r="I1648" s="65">
        <v>0.00122030725</v>
      </c>
      <c r="J1648" s="65">
        <v>0.0031149508</v>
      </c>
      <c r="K1648" s="65">
        <v>0.006228697286</v>
      </c>
      <c r="L1648" s="65">
        <v>0.024884509</v>
      </c>
      <c r="N1648" s="66">
        <v>0.16589672666666666</v>
      </c>
      <c r="O1648" s="10">
        <f t="shared" si="329"/>
        <v>0.1658967267</v>
      </c>
      <c r="Q1648" s="67">
        <v>2.9693384</v>
      </c>
      <c r="S1648" s="68">
        <v>0.003405244</v>
      </c>
      <c r="T1648" s="68">
        <v>0.003192299</v>
      </c>
      <c r="U1648" s="68">
        <v>1.3856014E-4</v>
      </c>
      <c r="V1648" s="68">
        <v>7.438482E-5</v>
      </c>
      <c r="X1648" s="69">
        <v>8.9922174E-6</v>
      </c>
    </row>
    <row r="1649" ht="12.75" customHeight="1">
      <c r="A1649" s="1" t="s">
        <v>2322</v>
      </c>
      <c r="B1649" s="2" t="s">
        <v>2318</v>
      </c>
      <c r="C1649" s="60" t="str">
        <f t="shared" si="342"/>
        <v>B.046.08.105</v>
      </c>
      <c r="D1649" s="51" t="s">
        <v>2316</v>
      </c>
      <c r="E1649" s="62" t="s">
        <v>896</v>
      </c>
      <c r="F1649" s="63" t="str">
        <f t="shared" si="343"/>
        <v>Electricity California production</v>
      </c>
      <c r="G1649" s="64">
        <v>0.01844850692</v>
      </c>
      <c r="H1649" s="10">
        <f t="shared" si="328"/>
        <v>0.01844850692</v>
      </c>
      <c r="I1649" s="65">
        <v>0.00123409877</v>
      </c>
      <c r="J1649" s="65">
        <v>0.0016455359000000001</v>
      </c>
      <c r="K1649" s="65">
        <v>0.0023616122499999998</v>
      </c>
      <c r="L1649" s="65">
        <v>0.01320726</v>
      </c>
      <c r="N1649" s="66">
        <v>0.0880484</v>
      </c>
      <c r="O1649" s="10">
        <f t="shared" si="329"/>
        <v>0.0880484</v>
      </c>
      <c r="Q1649" s="67">
        <v>1.9629626</v>
      </c>
      <c r="S1649" s="68">
        <v>0.0016655833</v>
      </c>
      <c r="T1649" s="68">
        <v>0.0015334092</v>
      </c>
      <c r="U1649" s="68">
        <v>7.1068104E-5</v>
      </c>
      <c r="V1649" s="68">
        <v>6.1105931E-5</v>
      </c>
      <c r="X1649" s="69">
        <v>4.5590398E-6</v>
      </c>
    </row>
    <row r="1650" ht="12.75" customHeight="1">
      <c r="A1650" s="1" t="s">
        <v>2323</v>
      </c>
      <c r="B1650" s="2" t="s">
        <v>2318</v>
      </c>
      <c r="C1650" s="60" t="str">
        <f t="shared" si="342"/>
        <v>B.046.08.106</v>
      </c>
      <c r="D1650" s="51" t="s">
        <v>2316</v>
      </c>
      <c r="E1650" s="62" t="s">
        <v>896</v>
      </c>
      <c r="F1650" s="63" t="str">
        <f t="shared" si="343"/>
        <v>Electricity Colorado production</v>
      </c>
      <c r="G1650" s="64">
        <v>0.027990878509999997</v>
      </c>
      <c r="H1650" s="10">
        <f t="shared" si="328"/>
        <v>0.02799087851</v>
      </c>
      <c r="I1650" s="65">
        <v>0.00100959592</v>
      </c>
      <c r="J1650" s="65">
        <v>0.00170499032</v>
      </c>
      <c r="K1650" s="65">
        <v>1.0769827E-4</v>
      </c>
      <c r="L1650" s="65">
        <v>0.025168594</v>
      </c>
      <c r="N1650" s="66">
        <v>0.16779062666666666</v>
      </c>
      <c r="O1650" s="10">
        <f t="shared" si="329"/>
        <v>0.1677906267</v>
      </c>
      <c r="Q1650" s="67">
        <v>2.3064175</v>
      </c>
      <c r="S1650" s="68">
        <v>0.0030384048</v>
      </c>
      <c r="T1650" s="68">
        <v>0.0028471963</v>
      </c>
      <c r="U1650" s="68">
        <v>1.3272259E-4</v>
      </c>
      <c r="V1650" s="68">
        <v>5.8485965E-5</v>
      </c>
      <c r="X1650" s="69">
        <v>7.4129185E-6</v>
      </c>
    </row>
    <row r="1651" ht="12.75" customHeight="1">
      <c r="A1651" s="1" t="s">
        <v>2324</v>
      </c>
      <c r="B1651" s="2" t="s">
        <v>2318</v>
      </c>
      <c r="C1651" s="60" t="str">
        <f t="shared" si="342"/>
        <v>B.046.08.107</v>
      </c>
      <c r="D1651" s="51" t="s">
        <v>2316</v>
      </c>
      <c r="E1651" s="62" t="s">
        <v>896</v>
      </c>
      <c r="F1651" s="63" t="str">
        <f t="shared" si="343"/>
        <v>Electricity Connecticut production</v>
      </c>
      <c r="G1651" s="64">
        <v>0.0297571707529</v>
      </c>
      <c r="H1651" s="10">
        <f t="shared" si="328"/>
        <v>0.02975717075</v>
      </c>
      <c r="I1651" s="65">
        <v>0.0012526118099999998</v>
      </c>
      <c r="J1651" s="65">
        <v>0.00183548232</v>
      </c>
      <c r="K1651" s="65">
        <v>0.008882851622900001</v>
      </c>
      <c r="L1651" s="65">
        <v>0.017786225</v>
      </c>
      <c r="N1651" s="66">
        <v>0.11857483333333334</v>
      </c>
      <c r="O1651" s="10">
        <f t="shared" si="329"/>
        <v>0.1185748333</v>
      </c>
      <c r="Q1651" s="67">
        <v>2.9112853</v>
      </c>
      <c r="S1651" s="68">
        <v>0.0022842109</v>
      </c>
      <c r="T1651" s="68">
        <v>0.0020986346</v>
      </c>
      <c r="U1651" s="68">
        <v>9.569545E-5</v>
      </c>
      <c r="V1651" s="68">
        <v>8.988087E-5</v>
      </c>
      <c r="X1651" s="69">
        <v>7.2782572E-6</v>
      </c>
    </row>
    <row r="1652" ht="12.75" customHeight="1">
      <c r="A1652" s="1" t="s">
        <v>2325</v>
      </c>
      <c r="B1652" s="2" t="s">
        <v>2318</v>
      </c>
      <c r="C1652" s="60" t="str">
        <f t="shared" si="342"/>
        <v>B.046.08.108</v>
      </c>
      <c r="D1652" s="51" t="s">
        <v>2316</v>
      </c>
      <c r="E1652" s="62" t="s">
        <v>896</v>
      </c>
      <c r="F1652" s="63" t="str">
        <f t="shared" si="343"/>
        <v>Electricity Delaware production</v>
      </c>
      <c r="G1652" s="64">
        <v>0.036275409862</v>
      </c>
      <c r="H1652" s="10">
        <f t="shared" si="328"/>
        <v>0.03627540986</v>
      </c>
      <c r="I1652" s="65">
        <v>0.0020676513299999998</v>
      </c>
      <c r="J1652" s="65">
        <v>0.00278794529</v>
      </c>
      <c r="K1652" s="65">
        <v>1.2203242E-5</v>
      </c>
      <c r="L1652" s="65">
        <v>0.03140761</v>
      </c>
      <c r="N1652" s="66">
        <v>0.2093840666666667</v>
      </c>
      <c r="O1652" s="10">
        <f t="shared" si="329"/>
        <v>0.2093840667</v>
      </c>
      <c r="Q1652" s="67">
        <v>2.5609637</v>
      </c>
      <c r="S1652" s="68">
        <v>0.0038845951</v>
      </c>
      <c r="T1652" s="68">
        <v>0.0035792911</v>
      </c>
      <c r="U1652" s="68">
        <v>1.6667316E-4</v>
      </c>
      <c r="V1652" s="68">
        <v>1.3863089E-4</v>
      </c>
      <c r="X1652" s="69">
        <v>9.4985086E-6</v>
      </c>
    </row>
    <row r="1653" ht="12.75" customHeight="1">
      <c r="A1653" s="1" t="s">
        <v>2326</v>
      </c>
      <c r="B1653" s="2" t="s">
        <v>2318</v>
      </c>
      <c r="C1653" s="60" t="str">
        <f t="shared" si="342"/>
        <v>B.046.08.109</v>
      </c>
      <c r="D1653" s="51" t="s">
        <v>2316</v>
      </c>
      <c r="E1653" s="62" t="s">
        <v>896</v>
      </c>
      <c r="F1653" s="63" t="str">
        <f t="shared" si="343"/>
        <v>Electricity District of Columbia production</v>
      </c>
      <c r="G1653" s="64">
        <v>0.0296861889542</v>
      </c>
      <c r="H1653" s="10">
        <f t="shared" si="328"/>
        <v>0.02968618895</v>
      </c>
      <c r="I1653" s="65">
        <v>0.0046905361962</v>
      </c>
      <c r="J1653" s="65">
        <v>0.005636844128</v>
      </c>
      <c r="K1653" s="65">
        <v>2.7776263E-4</v>
      </c>
      <c r="L1653" s="65">
        <v>0.019081046</v>
      </c>
      <c r="N1653" s="66">
        <v>0.12720697333333333</v>
      </c>
      <c r="O1653" s="10">
        <f t="shared" si="329"/>
        <v>0.1272069733</v>
      </c>
      <c r="Q1653" s="67">
        <v>1.0470938</v>
      </c>
      <c r="S1653" s="68">
        <v>0.0020957688</v>
      </c>
      <c r="T1653" s="68">
        <v>0.0019912866</v>
      </c>
      <c r="U1653" s="68">
        <v>1.044061E-4</v>
      </c>
      <c r="V1653" s="68">
        <v>7.6023631E-8</v>
      </c>
      <c r="X1653" s="69">
        <v>4.4735918E-6</v>
      </c>
    </row>
    <row r="1654" ht="12.75" customHeight="1">
      <c r="A1654" s="1" t="s">
        <v>2327</v>
      </c>
      <c r="B1654" s="2" t="s">
        <v>2318</v>
      </c>
      <c r="C1654" s="60" t="str">
        <f t="shared" si="342"/>
        <v>B.046.08.110</v>
      </c>
      <c r="D1654" s="51" t="s">
        <v>2316</v>
      </c>
      <c r="E1654" s="62" t="s">
        <v>896</v>
      </c>
      <c r="F1654" s="63" t="str">
        <f t="shared" si="343"/>
        <v>Electricity Florida production</v>
      </c>
      <c r="G1654" s="64">
        <v>0.030771559582</v>
      </c>
      <c r="H1654" s="10">
        <f t="shared" si="328"/>
        <v>0.03077155958</v>
      </c>
      <c r="I1654" s="65">
        <v>0.00155928513</v>
      </c>
      <c r="J1654" s="65">
        <v>0.00232137471</v>
      </c>
      <c r="K1654" s="65">
        <v>0.003043034742</v>
      </c>
      <c r="L1654" s="65">
        <v>0.023847865</v>
      </c>
      <c r="N1654" s="66">
        <v>0.15898576666666667</v>
      </c>
      <c r="O1654" s="10">
        <f t="shared" si="329"/>
        <v>0.1589857667</v>
      </c>
      <c r="Q1654" s="67">
        <v>2.6839201</v>
      </c>
      <c r="S1654" s="68">
        <v>0.0030380721</v>
      </c>
      <c r="T1654" s="68">
        <v>0.0027939781</v>
      </c>
      <c r="U1654" s="68">
        <v>1.2792053E-4</v>
      </c>
      <c r="V1654" s="68">
        <v>1.1617341E-4</v>
      </c>
      <c r="X1654" s="69">
        <v>8.1913507E-6</v>
      </c>
    </row>
    <row r="1655" ht="12.75" customHeight="1">
      <c r="A1655" s="1" t="s">
        <v>2328</v>
      </c>
      <c r="B1655" s="2" t="s">
        <v>2318</v>
      </c>
      <c r="C1655" s="60" t="str">
        <f t="shared" si="342"/>
        <v>B.046.08.111</v>
      </c>
      <c r="D1655" s="51" t="s">
        <v>2316</v>
      </c>
      <c r="E1655" s="62" t="s">
        <v>896</v>
      </c>
      <c r="F1655" s="63" t="str">
        <f t="shared" si="343"/>
        <v>Electricity Georgia production</v>
      </c>
      <c r="G1655" s="64">
        <v>0.031749578239</v>
      </c>
      <c r="H1655" s="10">
        <f t="shared" si="328"/>
        <v>0.03174957824</v>
      </c>
      <c r="I1655" s="65">
        <v>0.0013312434099999998</v>
      </c>
      <c r="J1655" s="65">
        <v>0.0027728731</v>
      </c>
      <c r="K1655" s="65">
        <v>0.0076992937289999995</v>
      </c>
      <c r="L1655" s="65">
        <v>0.019946168</v>
      </c>
      <c r="N1655" s="66">
        <v>0.13297445333333335</v>
      </c>
      <c r="O1655" s="10">
        <f t="shared" si="329"/>
        <v>0.1329744533</v>
      </c>
      <c r="Q1655" s="67">
        <v>2.8940033</v>
      </c>
      <c r="S1655" s="68">
        <v>0.0027409283</v>
      </c>
      <c r="T1655" s="68">
        <v>0.0025541988</v>
      </c>
      <c r="U1655" s="68">
        <v>1.1125758E-4</v>
      </c>
      <c r="V1655" s="68">
        <v>7.5471958E-5</v>
      </c>
      <c r="X1655" s="69">
        <v>7.8223146E-6</v>
      </c>
    </row>
    <row r="1656" ht="12.75" customHeight="1">
      <c r="A1656" s="1" t="s">
        <v>2329</v>
      </c>
      <c r="B1656" s="2" t="s">
        <v>2318</v>
      </c>
      <c r="C1656" s="60" t="str">
        <f t="shared" si="342"/>
        <v>B.046.08.112</v>
      </c>
      <c r="D1656" s="51" t="s">
        <v>2316</v>
      </c>
      <c r="E1656" s="62" t="s">
        <v>896</v>
      </c>
      <c r="F1656" s="63" t="str">
        <f t="shared" si="343"/>
        <v>Electricity Hawaii production</v>
      </c>
      <c r="G1656" s="64">
        <v>0.044107836053</v>
      </c>
      <c r="H1656" s="10">
        <f t="shared" si="328"/>
        <v>0.04410783605</v>
      </c>
      <c r="I1656" s="65">
        <v>0.003325904912</v>
      </c>
      <c r="J1656" s="65">
        <v>0.0093606079</v>
      </c>
      <c r="K1656" s="65">
        <v>4.3641241E-5</v>
      </c>
      <c r="L1656" s="65">
        <v>0.031377682</v>
      </c>
      <c r="N1656" s="66">
        <v>0.20918454666666667</v>
      </c>
      <c r="O1656" s="10">
        <f t="shared" si="329"/>
        <v>0.2091845467</v>
      </c>
      <c r="Q1656" s="67">
        <v>3.1977747</v>
      </c>
      <c r="S1656" s="68">
        <v>0.0053441356</v>
      </c>
      <c r="T1656" s="68">
        <v>0.0049375114</v>
      </c>
      <c r="U1656" s="68">
        <v>1.9539459E-4</v>
      </c>
      <c r="V1656" s="68">
        <v>2.1122964E-4</v>
      </c>
      <c r="X1656" s="69">
        <v>1.1629468E-5</v>
      </c>
    </row>
    <row r="1657" ht="12.75" customHeight="1">
      <c r="A1657" s="1" t="s">
        <v>2330</v>
      </c>
      <c r="B1657" s="2" t="s">
        <v>2318</v>
      </c>
      <c r="C1657" s="60" t="str">
        <f t="shared" si="342"/>
        <v>B.046.08.113</v>
      </c>
      <c r="D1657" s="51" t="s">
        <v>2316</v>
      </c>
      <c r="E1657" s="62" t="s">
        <v>896</v>
      </c>
      <c r="F1657" s="63" t="str">
        <f t="shared" si="343"/>
        <v>Electricity Idaho production</v>
      </c>
      <c r="G1657" s="64">
        <v>0.013616441548</v>
      </c>
      <c r="H1657" s="10">
        <f t="shared" si="328"/>
        <v>0.01361644155</v>
      </c>
      <c r="I1657" s="65">
        <v>9.13111898E-4</v>
      </c>
      <c r="J1657" s="65">
        <v>0.00168628177</v>
      </c>
      <c r="K1657" s="65">
        <v>1.5225688E-4</v>
      </c>
      <c r="L1657" s="65">
        <v>0.010864791</v>
      </c>
      <c r="N1657" s="66">
        <v>0.07243194</v>
      </c>
      <c r="O1657" s="10">
        <f t="shared" si="329"/>
        <v>0.07243194</v>
      </c>
      <c r="Q1657" s="67">
        <v>1.5610739</v>
      </c>
      <c r="S1657" s="68">
        <v>0.0014941684</v>
      </c>
      <c r="T1657" s="68">
        <v>0.0013862905</v>
      </c>
      <c r="U1657" s="68">
        <v>6.0770596E-5</v>
      </c>
      <c r="V1657" s="68">
        <v>4.7107296E-5</v>
      </c>
      <c r="X1657" s="69">
        <v>3.4426976E-6</v>
      </c>
    </row>
    <row r="1658" ht="12.75" customHeight="1">
      <c r="A1658" s="1" t="s">
        <v>2331</v>
      </c>
      <c r="B1658" s="2" t="s">
        <v>2318</v>
      </c>
      <c r="C1658" s="60" t="str">
        <f t="shared" si="342"/>
        <v>B.046.08.114</v>
      </c>
      <c r="D1658" s="51" t="s">
        <v>2316</v>
      </c>
      <c r="E1658" s="62" t="s">
        <v>896</v>
      </c>
      <c r="F1658" s="63" t="str">
        <f t="shared" si="343"/>
        <v>Electricity Illinois production</v>
      </c>
      <c r="G1658" s="64">
        <v>0.02899520915</v>
      </c>
      <c r="H1658" s="10">
        <f t="shared" si="328"/>
        <v>0.02899520915</v>
      </c>
      <c r="I1658" s="65">
        <v>5.12215685E-4</v>
      </c>
      <c r="J1658" s="65">
        <v>0.0013760749299999999</v>
      </c>
      <c r="K1658" s="65">
        <v>0.014414071535</v>
      </c>
      <c r="L1658" s="65">
        <v>0.012692847</v>
      </c>
      <c r="N1658" s="66">
        <v>0.08461898000000001</v>
      </c>
      <c r="O1658" s="10">
        <f t="shared" si="329"/>
        <v>0.08461898</v>
      </c>
      <c r="Q1658" s="67">
        <v>3.0608778</v>
      </c>
      <c r="S1658" s="68">
        <v>0.0016917282</v>
      </c>
      <c r="T1658" s="68">
        <v>0.0015922004</v>
      </c>
      <c r="U1658" s="68">
        <v>6.9884057E-5</v>
      </c>
      <c r="V1658" s="68">
        <v>2.9643724E-5</v>
      </c>
      <c r="X1658" s="69">
        <v>6.3804665E-6</v>
      </c>
    </row>
    <row r="1659" ht="12.75" customHeight="1">
      <c r="A1659" s="1" t="s">
        <v>2332</v>
      </c>
      <c r="B1659" s="2" t="s">
        <v>2318</v>
      </c>
      <c r="C1659" s="60" t="str">
        <f t="shared" si="342"/>
        <v>B.046.08.115</v>
      </c>
      <c r="D1659" s="51" t="s">
        <v>2316</v>
      </c>
      <c r="E1659" s="62" t="s">
        <v>896</v>
      </c>
      <c r="F1659" s="63" t="str">
        <f t="shared" si="343"/>
        <v>Electricity Indiana production</v>
      </c>
      <c r="G1659" s="64">
        <v>0.039397777098000006</v>
      </c>
      <c r="H1659" s="10">
        <f t="shared" si="328"/>
        <v>0.0393977771</v>
      </c>
      <c r="I1659" s="65">
        <v>0.00154916899</v>
      </c>
      <c r="J1659" s="65">
        <v>0.0026316992</v>
      </c>
      <c r="K1659" s="65">
        <v>3.8594908E-5</v>
      </c>
      <c r="L1659" s="65">
        <v>0.035178314</v>
      </c>
      <c r="N1659" s="66">
        <v>0.23452209333333335</v>
      </c>
      <c r="O1659" s="10">
        <f t="shared" si="329"/>
        <v>0.2345220933</v>
      </c>
      <c r="Q1659" s="67">
        <v>2.8094346</v>
      </c>
      <c r="S1659" s="68">
        <v>0.0042604034</v>
      </c>
      <c r="T1659" s="68">
        <v>0.003996488</v>
      </c>
      <c r="U1659" s="68">
        <v>1.8610835E-4</v>
      </c>
      <c r="V1659" s="68">
        <v>7.7807078E-5</v>
      </c>
      <c r="X1659" s="69">
        <v>1.0396645E-5</v>
      </c>
    </row>
    <row r="1660" ht="12.75" customHeight="1">
      <c r="A1660" s="1" t="s">
        <v>2333</v>
      </c>
      <c r="B1660" s="2" t="s">
        <v>2318</v>
      </c>
      <c r="C1660" s="60" t="str">
        <f t="shared" si="342"/>
        <v>B.046.08.116</v>
      </c>
      <c r="D1660" s="51" t="s">
        <v>2316</v>
      </c>
      <c r="E1660" s="62" t="s">
        <v>896</v>
      </c>
      <c r="F1660" s="63" t="str">
        <f t="shared" si="343"/>
        <v>Electricity Iowa production</v>
      </c>
      <c r="G1660" s="64">
        <v>0.020465751772</v>
      </c>
      <c r="H1660" s="10">
        <f t="shared" si="328"/>
        <v>0.02046575177</v>
      </c>
      <c r="I1660" s="65">
        <v>7.66151662E-4</v>
      </c>
      <c r="J1660" s="65">
        <v>0.0017104180299999999</v>
      </c>
      <c r="K1660" s="65">
        <v>1.8937808E-4</v>
      </c>
      <c r="L1660" s="65">
        <v>0.017799804</v>
      </c>
      <c r="N1660" s="66">
        <v>0.11866536</v>
      </c>
      <c r="O1660" s="10">
        <f t="shared" si="329"/>
        <v>0.11866536</v>
      </c>
      <c r="Q1660" s="67">
        <v>1.8080178</v>
      </c>
      <c r="S1660" s="68">
        <v>0.0022594211</v>
      </c>
      <c r="T1660" s="68">
        <v>0.0021323762</v>
      </c>
      <c r="U1660" s="68">
        <v>9.6303674E-5</v>
      </c>
      <c r="V1660" s="68">
        <v>3.0741228E-5</v>
      </c>
      <c r="X1660" s="69">
        <v>5.1058273E-6</v>
      </c>
    </row>
    <row r="1661" ht="12.75" customHeight="1">
      <c r="A1661" s="1" t="s">
        <v>2334</v>
      </c>
      <c r="B1661" s="2" t="s">
        <v>2318</v>
      </c>
      <c r="C1661" s="60" t="str">
        <f t="shared" si="342"/>
        <v>B.046.08.117</v>
      </c>
      <c r="D1661" s="51" t="s">
        <v>2316</v>
      </c>
      <c r="E1661" s="62" t="s">
        <v>896</v>
      </c>
      <c r="F1661" s="63" t="str">
        <f t="shared" si="343"/>
        <v>Electricity Kansas production</v>
      </c>
      <c r="G1661" s="64">
        <v>0.023364067944</v>
      </c>
      <c r="H1661" s="10">
        <f t="shared" si="328"/>
        <v>0.02336406794</v>
      </c>
      <c r="I1661" s="65">
        <v>6.31998334E-4</v>
      </c>
      <c r="J1661" s="65">
        <v>0.0010007555</v>
      </c>
      <c r="K1661" s="65">
        <v>0.00471593811</v>
      </c>
      <c r="L1661" s="65">
        <v>0.017015376</v>
      </c>
      <c r="N1661" s="66">
        <v>0.11343584</v>
      </c>
      <c r="O1661" s="10">
        <f t="shared" si="329"/>
        <v>0.11343584</v>
      </c>
      <c r="Q1661" s="67">
        <v>2.2795242</v>
      </c>
      <c r="S1661" s="68">
        <v>0.0019823396</v>
      </c>
      <c r="T1661" s="68">
        <v>0.0018706559</v>
      </c>
      <c r="U1661" s="68">
        <v>8.8796711E-5</v>
      </c>
      <c r="V1661" s="68">
        <v>2.2886997E-5</v>
      </c>
      <c r="X1661" s="69">
        <v>5.5984611E-6</v>
      </c>
    </row>
    <row r="1662" ht="12.75" customHeight="1">
      <c r="A1662" s="1" t="s">
        <v>2335</v>
      </c>
      <c r="B1662" s="2" t="s">
        <v>2318</v>
      </c>
      <c r="C1662" s="60" t="str">
        <f t="shared" si="342"/>
        <v>B.046.08.118</v>
      </c>
      <c r="D1662" s="51" t="s">
        <v>2316</v>
      </c>
      <c r="E1662" s="62" t="s">
        <v>896</v>
      </c>
      <c r="F1662" s="63" t="str">
        <f t="shared" si="343"/>
        <v>Electricity Kentucky production</v>
      </c>
      <c r="G1662" s="64">
        <v>0.043593982422</v>
      </c>
      <c r="H1662" s="10">
        <f t="shared" si="328"/>
        <v>0.04359398242</v>
      </c>
      <c r="I1662" s="65">
        <v>0.00130669528</v>
      </c>
      <c r="J1662" s="65">
        <v>0.0031093118</v>
      </c>
      <c r="K1662" s="65">
        <v>1.3397342E-5</v>
      </c>
      <c r="L1662" s="65">
        <v>0.039164578</v>
      </c>
      <c r="N1662" s="66">
        <v>0.26109718666666665</v>
      </c>
      <c r="O1662" s="10">
        <f t="shared" si="329"/>
        <v>0.2610971867</v>
      </c>
      <c r="Q1662" s="67">
        <v>3.0821735</v>
      </c>
      <c r="S1662" s="68">
        <v>0.004894096</v>
      </c>
      <c r="T1662" s="68">
        <v>0.0046184877</v>
      </c>
      <c r="U1662" s="68">
        <v>2.0992336E-4</v>
      </c>
      <c r="V1662" s="68">
        <v>6.5685019E-5</v>
      </c>
      <c r="X1662" s="69">
        <v>1.1710447E-5</v>
      </c>
    </row>
    <row r="1663" ht="12.75" customHeight="1">
      <c r="A1663" s="1" t="s">
        <v>2336</v>
      </c>
      <c r="B1663" s="2" t="s">
        <v>2318</v>
      </c>
      <c r="C1663" s="60" t="str">
        <f t="shared" si="342"/>
        <v>B.046.08.119</v>
      </c>
      <c r="D1663" s="51" t="s">
        <v>2316</v>
      </c>
      <c r="E1663" s="62" t="s">
        <v>896</v>
      </c>
      <c r="F1663" s="63" t="str">
        <f t="shared" si="343"/>
        <v>Electricity Louisiana production</v>
      </c>
      <c r="G1663" s="64">
        <v>0.0370929274148</v>
      </c>
      <c r="H1663" s="10">
        <f t="shared" si="328"/>
        <v>0.03709292741</v>
      </c>
      <c r="I1663" s="65">
        <v>0.0021329172</v>
      </c>
      <c r="J1663" s="65">
        <v>0.0034767924000000004</v>
      </c>
      <c r="K1663" s="65">
        <v>0.004642109814799999</v>
      </c>
      <c r="L1663" s="65">
        <v>0.026841108</v>
      </c>
      <c r="N1663" s="66">
        <v>0.17894072</v>
      </c>
      <c r="O1663" s="10">
        <f t="shared" si="329"/>
        <v>0.17894072</v>
      </c>
      <c r="Q1663" s="67">
        <v>2.8365129</v>
      </c>
      <c r="S1663" s="68">
        <v>0.0034910654</v>
      </c>
      <c r="T1663" s="68">
        <v>0.003232243</v>
      </c>
      <c r="U1663" s="68">
        <v>1.4652164E-4</v>
      </c>
      <c r="V1663" s="68">
        <v>1.1230067E-4</v>
      </c>
      <c r="X1663" s="69">
        <v>9.2472801E-6</v>
      </c>
    </row>
    <row r="1664" ht="12.75" customHeight="1">
      <c r="A1664" s="1" t="s">
        <v>2337</v>
      </c>
      <c r="B1664" s="2" t="s">
        <v>2318</v>
      </c>
      <c r="C1664" s="60" t="str">
        <f t="shared" si="342"/>
        <v>B.046.08.120</v>
      </c>
      <c r="D1664" s="51" t="s">
        <v>2316</v>
      </c>
      <c r="E1664" s="62" t="s">
        <v>896</v>
      </c>
      <c r="F1664" s="63" t="str">
        <f t="shared" si="343"/>
        <v>Electricity Maine production</v>
      </c>
      <c r="G1664" s="64">
        <v>0.01633696251</v>
      </c>
      <c r="H1664" s="10">
        <f t="shared" si="328"/>
        <v>0.01633696251</v>
      </c>
      <c r="I1664" s="65">
        <v>0.0013800192200000001</v>
      </c>
      <c r="J1664" s="65">
        <v>0.0027235843</v>
      </c>
      <c r="K1664" s="65">
        <v>1.4132899E-4</v>
      </c>
      <c r="L1664" s="65">
        <v>0.01209203</v>
      </c>
      <c r="N1664" s="66">
        <v>0.08061353333333333</v>
      </c>
      <c r="O1664" s="10">
        <f t="shared" si="329"/>
        <v>0.08061353333</v>
      </c>
      <c r="Q1664" s="67">
        <v>1.7628721</v>
      </c>
      <c r="S1664" s="68">
        <v>0.0018440282</v>
      </c>
      <c r="T1664" s="68">
        <v>0.0017235377</v>
      </c>
      <c r="U1664" s="68">
        <v>7.1036891E-5</v>
      </c>
      <c r="V1664" s="68">
        <v>4.9453589E-5</v>
      </c>
      <c r="X1664" s="69">
        <v>4.0558423E-6</v>
      </c>
    </row>
    <row r="1665" ht="12.75" customHeight="1">
      <c r="A1665" s="1" t="s">
        <v>2338</v>
      </c>
      <c r="B1665" s="2" t="s">
        <v>2318</v>
      </c>
      <c r="C1665" s="60" t="str">
        <f t="shared" si="342"/>
        <v>B.046.08.121</v>
      </c>
      <c r="D1665" s="51" t="s">
        <v>2316</v>
      </c>
      <c r="E1665" s="62" t="s">
        <v>896</v>
      </c>
      <c r="F1665" s="63" t="str">
        <f t="shared" si="343"/>
        <v>Electricity Maryland production</v>
      </c>
      <c r="G1665" s="64">
        <v>0.029182537612</v>
      </c>
      <c r="H1665" s="10">
        <f t="shared" si="328"/>
        <v>0.02918253761</v>
      </c>
      <c r="I1665" s="65">
        <v>9.764103499999999E-4</v>
      </c>
      <c r="J1665" s="65">
        <v>0.0015895713</v>
      </c>
      <c r="K1665" s="65">
        <v>0.010878544962</v>
      </c>
      <c r="L1665" s="65">
        <v>0.015738011</v>
      </c>
      <c r="N1665" s="66">
        <v>0.10492007333333334</v>
      </c>
      <c r="O1665" s="10">
        <f t="shared" si="329"/>
        <v>0.1049200733</v>
      </c>
      <c r="Q1665" s="67">
        <v>2.9119947</v>
      </c>
      <c r="S1665" s="68">
        <v>0.0020158936</v>
      </c>
      <c r="T1665" s="68">
        <v>0.0018665355</v>
      </c>
      <c r="U1665" s="68">
        <v>8.4830428E-5</v>
      </c>
      <c r="V1665" s="68">
        <v>6.4527646E-5</v>
      </c>
      <c r="X1665" s="69">
        <v>6.7904554E-6</v>
      </c>
    </row>
    <row r="1666" ht="12.75" customHeight="1">
      <c r="A1666" s="1" t="s">
        <v>2339</v>
      </c>
      <c r="B1666" s="2" t="s">
        <v>2318</v>
      </c>
      <c r="C1666" s="60" t="str">
        <f t="shared" si="342"/>
        <v>B.046.08.122</v>
      </c>
      <c r="D1666" s="51" t="s">
        <v>2316</v>
      </c>
      <c r="E1666" s="62" t="s">
        <v>896</v>
      </c>
      <c r="F1666" s="63" t="str">
        <f t="shared" si="343"/>
        <v>Electricity Massachusetts production</v>
      </c>
      <c r="G1666" s="64">
        <v>0.031181459704</v>
      </c>
      <c r="H1666" s="10">
        <f t="shared" si="328"/>
        <v>0.0311814597</v>
      </c>
      <c r="I1666" s="65">
        <v>0.00202404393</v>
      </c>
      <c r="J1666" s="65">
        <v>0.00286764953</v>
      </c>
      <c r="K1666" s="65">
        <v>4.6122244E-5</v>
      </c>
      <c r="L1666" s="65">
        <v>0.026243644</v>
      </c>
      <c r="N1666" s="66">
        <v>0.17495762666666667</v>
      </c>
      <c r="O1666" s="10">
        <f t="shared" si="329"/>
        <v>0.1749576267</v>
      </c>
      <c r="Q1666" s="67">
        <v>2.3239418</v>
      </c>
      <c r="S1666" s="68">
        <v>0.0033088792</v>
      </c>
      <c r="T1666" s="68">
        <v>0.0030542981</v>
      </c>
      <c r="U1666" s="68">
        <v>1.4085756E-4</v>
      </c>
      <c r="V1666" s="68">
        <v>1.1372362E-4</v>
      </c>
      <c r="X1666" s="69">
        <v>8.0145525E-6</v>
      </c>
    </row>
    <row r="1667" ht="12.75" customHeight="1">
      <c r="A1667" s="1" t="s">
        <v>2340</v>
      </c>
      <c r="B1667" s="2" t="s">
        <v>2318</v>
      </c>
      <c r="C1667" s="60" t="str">
        <f t="shared" si="342"/>
        <v>B.046.08.123</v>
      </c>
      <c r="D1667" s="51" t="s">
        <v>2316</v>
      </c>
      <c r="E1667" s="62" t="s">
        <v>896</v>
      </c>
      <c r="F1667" s="63" t="str">
        <f t="shared" si="343"/>
        <v>Electricity Michigan1 production</v>
      </c>
      <c r="G1667" s="64">
        <v>0.033586472624</v>
      </c>
      <c r="H1667" s="10">
        <f t="shared" si="328"/>
        <v>0.03358647262</v>
      </c>
      <c r="I1667" s="65">
        <v>0.00143789546</v>
      </c>
      <c r="J1667" s="65">
        <v>0.0026706858999999998</v>
      </c>
      <c r="K1667" s="65">
        <v>0.006068753264</v>
      </c>
      <c r="L1667" s="65">
        <v>0.023409138</v>
      </c>
      <c r="N1667" s="66">
        <v>0.15606092</v>
      </c>
      <c r="O1667" s="10">
        <f t="shared" si="329"/>
        <v>0.15606092</v>
      </c>
      <c r="Q1667" s="67">
        <v>2.8612844</v>
      </c>
      <c r="S1667" s="68">
        <v>0.0030422598</v>
      </c>
      <c r="T1667" s="68">
        <v>0.0028382406</v>
      </c>
      <c r="U1667" s="68">
        <v>1.2755484E-4</v>
      </c>
      <c r="V1667" s="68">
        <v>7.6464309E-5</v>
      </c>
      <c r="X1667" s="69">
        <v>8.3486911E-6</v>
      </c>
    </row>
    <row r="1668" ht="12.75" customHeight="1">
      <c r="A1668" s="1" t="s">
        <v>2341</v>
      </c>
      <c r="B1668" s="2" t="s">
        <v>2318</v>
      </c>
      <c r="C1668" s="60" t="str">
        <f t="shared" si="342"/>
        <v>B.046.08.124</v>
      </c>
      <c r="D1668" s="51" t="s">
        <v>2316</v>
      </c>
      <c r="E1668" s="62" t="s">
        <v>896</v>
      </c>
      <c r="F1668" s="63" t="str">
        <f t="shared" si="343"/>
        <v>Electricity Minnesota production</v>
      </c>
      <c r="G1668" s="64">
        <v>0.027868380582000002</v>
      </c>
      <c r="H1668" s="10">
        <f t="shared" si="328"/>
        <v>0.02786838058</v>
      </c>
      <c r="I1668" s="65">
        <v>0.001032838623</v>
      </c>
      <c r="J1668" s="65">
        <v>0.00196749552</v>
      </c>
      <c r="K1668" s="65">
        <v>0.005601310439</v>
      </c>
      <c r="L1668" s="65">
        <v>0.019266736</v>
      </c>
      <c r="N1668" s="66">
        <v>0.12844490666666666</v>
      </c>
      <c r="O1668" s="10">
        <f t="shared" si="329"/>
        <v>0.1284449067</v>
      </c>
      <c r="Q1668" s="67">
        <v>2.52434</v>
      </c>
      <c r="S1668" s="68">
        <v>0.0024427905</v>
      </c>
      <c r="T1668" s="68">
        <v>0.0022932111</v>
      </c>
      <c r="U1668" s="68">
        <v>1.0411348E-4</v>
      </c>
      <c r="V1668" s="68">
        <v>4.5465896E-5</v>
      </c>
      <c r="X1668" s="69">
        <v>6.7424306E-6</v>
      </c>
    </row>
    <row r="1669" ht="12.75" customHeight="1">
      <c r="A1669" s="1" t="s">
        <v>2342</v>
      </c>
      <c r="B1669" s="2" t="s">
        <v>2318</v>
      </c>
      <c r="C1669" s="60" t="str">
        <f t="shared" si="342"/>
        <v>B.046.08.125</v>
      </c>
      <c r="D1669" s="51" t="s">
        <v>2316</v>
      </c>
      <c r="E1669" s="62" t="s">
        <v>896</v>
      </c>
      <c r="F1669" s="63" t="str">
        <f t="shared" si="343"/>
        <v>Electricity Mississippi production</v>
      </c>
      <c r="G1669" s="64">
        <v>0.0327886251629</v>
      </c>
      <c r="H1669" s="10">
        <f t="shared" si="328"/>
        <v>0.03278862516</v>
      </c>
      <c r="I1669" s="65">
        <v>0.00159439473</v>
      </c>
      <c r="J1669" s="65">
        <v>0.00258149</v>
      </c>
      <c r="K1669" s="65">
        <v>0.0042688374329</v>
      </c>
      <c r="L1669" s="65">
        <v>0.024343903</v>
      </c>
      <c r="N1669" s="66">
        <v>0.16229268666666669</v>
      </c>
      <c r="O1669" s="10">
        <f t="shared" si="329"/>
        <v>0.1622926867</v>
      </c>
      <c r="Q1669" s="67">
        <v>2.8084972</v>
      </c>
      <c r="S1669" s="68">
        <v>0.0031544977</v>
      </c>
      <c r="T1669" s="68">
        <v>0.0029071152</v>
      </c>
      <c r="U1669" s="68">
        <v>1.3169917E-4</v>
      </c>
      <c r="V1669" s="68">
        <v>1.1568331E-4</v>
      </c>
      <c r="X1669" s="69">
        <v>8.5931235E-6</v>
      </c>
    </row>
    <row r="1670" ht="12.75" customHeight="1">
      <c r="A1670" s="1" t="s">
        <v>2343</v>
      </c>
      <c r="B1670" s="2" t="s">
        <v>2318</v>
      </c>
      <c r="C1670" s="60" t="str">
        <f t="shared" si="342"/>
        <v>B.046.08.126</v>
      </c>
      <c r="D1670" s="51" t="s">
        <v>2316</v>
      </c>
      <c r="E1670" s="62" t="s">
        <v>896</v>
      </c>
      <c r="F1670" s="63" t="str">
        <f t="shared" si="343"/>
        <v>Electricity Missouri production</v>
      </c>
      <c r="G1670" s="64">
        <v>0.042639622259000004</v>
      </c>
      <c r="H1670" s="10">
        <f t="shared" si="328"/>
        <v>0.04263962226</v>
      </c>
      <c r="I1670" s="65">
        <v>0.001225615254</v>
      </c>
      <c r="J1670" s="65">
        <v>0.0043796075</v>
      </c>
      <c r="K1670" s="65">
        <v>0.003592719505</v>
      </c>
      <c r="L1670" s="65">
        <v>0.03344168</v>
      </c>
      <c r="N1670" s="66">
        <v>0.22294453333333336</v>
      </c>
      <c r="O1670" s="10">
        <f t="shared" si="329"/>
        <v>0.2229445333</v>
      </c>
      <c r="Q1670" s="67">
        <v>3.0662187</v>
      </c>
      <c r="S1670" s="68">
        <v>0.0046476906</v>
      </c>
      <c r="T1670" s="68">
        <v>0.0044119989</v>
      </c>
      <c r="U1670" s="68">
        <v>1.8837204E-4</v>
      </c>
      <c r="V1670" s="68">
        <v>4.7319678E-5</v>
      </c>
      <c r="X1670" s="69">
        <v>1.0936045E-5</v>
      </c>
    </row>
    <row r="1671" ht="12.75" customHeight="1">
      <c r="A1671" s="1" t="s">
        <v>2344</v>
      </c>
      <c r="B1671" s="2" t="s">
        <v>2318</v>
      </c>
      <c r="C1671" s="60" t="str">
        <f t="shared" si="342"/>
        <v>B.046.08.127</v>
      </c>
      <c r="D1671" s="51" t="s">
        <v>2316</v>
      </c>
      <c r="E1671" s="62" t="s">
        <v>896</v>
      </c>
      <c r="F1671" s="63" t="str">
        <f t="shared" si="343"/>
        <v>Electricity Montana production</v>
      </c>
      <c r="G1671" s="64">
        <v>0.027332754088</v>
      </c>
      <c r="H1671" s="10">
        <f t="shared" si="328"/>
        <v>0.02733275409</v>
      </c>
      <c r="I1671" s="65">
        <v>9.185803080000001E-4</v>
      </c>
      <c r="J1671" s="65">
        <v>0.00197744022</v>
      </c>
      <c r="K1671" s="65">
        <v>1.1948456E-4</v>
      </c>
      <c r="L1671" s="65">
        <v>0.024317249</v>
      </c>
      <c r="N1671" s="66">
        <v>0.16211499333333335</v>
      </c>
      <c r="O1671" s="10">
        <f t="shared" si="329"/>
        <v>0.1621149933</v>
      </c>
      <c r="Q1671" s="67">
        <v>2.1806943</v>
      </c>
      <c r="S1671" s="68">
        <v>0.0029783271</v>
      </c>
      <c r="T1671" s="68">
        <v>0.002819384</v>
      </c>
      <c r="U1671" s="68">
        <v>1.2976493E-4</v>
      </c>
      <c r="V1671" s="68">
        <v>2.9178191E-5</v>
      </c>
      <c r="X1671" s="69">
        <v>6.9794028E-6</v>
      </c>
    </row>
    <row r="1672" ht="12.75" customHeight="1">
      <c r="A1672" s="1" t="s">
        <v>2345</v>
      </c>
      <c r="B1672" s="2" t="s">
        <v>2318</v>
      </c>
      <c r="C1672" s="60" t="str">
        <f t="shared" si="342"/>
        <v>B.046.08.128</v>
      </c>
      <c r="D1672" s="51" t="s">
        <v>2316</v>
      </c>
      <c r="E1672" s="62" t="s">
        <v>896</v>
      </c>
      <c r="F1672" s="63" t="str">
        <f t="shared" si="343"/>
        <v>Electricity Nebraska production</v>
      </c>
      <c r="G1672" s="64">
        <v>0.033594904231</v>
      </c>
      <c r="H1672" s="10">
        <f t="shared" si="328"/>
        <v>0.03359490423</v>
      </c>
      <c r="I1672" s="65">
        <v>9.948658700000002E-4</v>
      </c>
      <c r="J1672" s="65">
        <v>0.0040715291</v>
      </c>
      <c r="K1672" s="65">
        <v>0.0046638082610000004</v>
      </c>
      <c r="L1672" s="65">
        <v>0.023864701</v>
      </c>
      <c r="N1672" s="66">
        <v>0.15909800666666665</v>
      </c>
      <c r="O1672" s="10">
        <f t="shared" si="329"/>
        <v>0.1590980067</v>
      </c>
      <c r="Q1672" s="67">
        <v>2.6335193</v>
      </c>
      <c r="S1672" s="68">
        <v>0.0035452191</v>
      </c>
      <c r="T1672" s="68">
        <v>0.0033807484</v>
      </c>
      <c r="U1672" s="68">
        <v>1.3908055E-4</v>
      </c>
      <c r="V1672" s="68">
        <v>2.539018E-5</v>
      </c>
      <c r="X1672" s="69">
        <v>8.2777566E-6</v>
      </c>
    </row>
    <row r="1673" ht="12.75" customHeight="1">
      <c r="A1673" s="1" t="s">
        <v>2346</v>
      </c>
      <c r="B1673" s="2" t="s">
        <v>2318</v>
      </c>
      <c r="C1673" s="60" t="str">
        <f t="shared" si="342"/>
        <v>B.046.08.129</v>
      </c>
      <c r="D1673" s="51" t="s">
        <v>2316</v>
      </c>
      <c r="E1673" s="62" t="s">
        <v>896</v>
      </c>
      <c r="F1673" s="63" t="str">
        <f t="shared" si="343"/>
        <v>Electricity Nevada production</v>
      </c>
      <c r="G1673" s="64">
        <v>0.022555088531</v>
      </c>
      <c r="H1673" s="10">
        <f t="shared" si="328"/>
        <v>0.02255508853</v>
      </c>
      <c r="I1673" s="65">
        <v>0.00135222085</v>
      </c>
      <c r="J1673" s="65">
        <v>0.0019260205200000002</v>
      </c>
      <c r="K1673" s="65">
        <v>7.2932161E-5</v>
      </c>
      <c r="L1673" s="65">
        <v>0.019203915</v>
      </c>
      <c r="N1673" s="66">
        <v>0.1280261</v>
      </c>
      <c r="O1673" s="10">
        <f t="shared" si="329"/>
        <v>0.1280261</v>
      </c>
      <c r="Q1673" s="67">
        <v>2.0781811</v>
      </c>
      <c r="S1673" s="68">
        <v>0.0024114704</v>
      </c>
      <c r="T1673" s="68">
        <v>0.0022213464</v>
      </c>
      <c r="U1673" s="68">
        <v>1.0270955E-4</v>
      </c>
      <c r="V1673" s="68">
        <v>8.7414383E-5</v>
      </c>
      <c r="X1673" s="69">
        <v>6.0700143E-6</v>
      </c>
    </row>
    <row r="1674" ht="12.75" customHeight="1">
      <c r="A1674" s="1" t="s">
        <v>2347</v>
      </c>
      <c r="B1674" s="2" t="s">
        <v>2318</v>
      </c>
      <c r="C1674" s="60" t="str">
        <f t="shared" si="342"/>
        <v>B.046.08.130</v>
      </c>
      <c r="D1674" s="51" t="s">
        <v>2316</v>
      </c>
      <c r="E1674" s="62" t="s">
        <v>896</v>
      </c>
      <c r="F1674" s="63" t="str">
        <f t="shared" si="343"/>
        <v>Electricity New Hampshire production</v>
      </c>
      <c r="G1674" s="64">
        <v>0.025101523004999998</v>
      </c>
      <c r="H1674" s="10">
        <f t="shared" si="328"/>
        <v>0.02510152301</v>
      </c>
      <c r="I1674" s="65">
        <v>7.950272399999999E-4</v>
      </c>
      <c r="J1674" s="65">
        <v>0.00137672823</v>
      </c>
      <c r="K1674" s="65">
        <v>0.014720923835</v>
      </c>
      <c r="L1674" s="65">
        <v>0.0082088437</v>
      </c>
      <c r="N1674" s="66">
        <v>0.05472562466666667</v>
      </c>
      <c r="O1674" s="10">
        <f t="shared" si="329"/>
        <v>0.05472562467</v>
      </c>
      <c r="Q1674" s="67">
        <v>3.0208229</v>
      </c>
      <c r="S1674" s="68">
        <v>0.0011647383</v>
      </c>
      <c r="T1674" s="68">
        <v>0.0010801799</v>
      </c>
      <c r="U1674" s="68">
        <v>4.6297532E-5</v>
      </c>
      <c r="V1674" s="68">
        <v>3.8260874E-5</v>
      </c>
      <c r="X1674" s="69">
        <v>5.3657258E-6</v>
      </c>
    </row>
    <row r="1675" ht="12.75" customHeight="1">
      <c r="A1675" s="1" t="s">
        <v>2348</v>
      </c>
      <c r="B1675" s="2" t="s">
        <v>2318</v>
      </c>
      <c r="C1675" s="60" t="str">
        <f t="shared" si="342"/>
        <v>B.046.08.131</v>
      </c>
      <c r="D1675" s="51" t="s">
        <v>2316</v>
      </c>
      <c r="E1675" s="62" t="s">
        <v>896</v>
      </c>
      <c r="F1675" s="63" t="str">
        <f t="shared" si="343"/>
        <v>Electricity New Jersey production</v>
      </c>
      <c r="G1675" s="64">
        <v>0.0301735610757</v>
      </c>
      <c r="H1675" s="10">
        <f t="shared" si="328"/>
        <v>0.03017356108</v>
      </c>
      <c r="I1675" s="65">
        <v>0.00109766056</v>
      </c>
      <c r="J1675" s="65">
        <v>0.0016613316</v>
      </c>
      <c r="K1675" s="65">
        <v>0.0116609259157</v>
      </c>
      <c r="L1675" s="65">
        <v>0.015753643</v>
      </c>
      <c r="N1675" s="66">
        <v>0.10502428666666667</v>
      </c>
      <c r="O1675" s="10">
        <f t="shared" si="329"/>
        <v>0.1050242867</v>
      </c>
      <c r="Q1675" s="67">
        <v>3.0151011</v>
      </c>
      <c r="S1675" s="68">
        <v>0.0020235428</v>
      </c>
      <c r="T1675" s="68">
        <v>0.0018623014</v>
      </c>
      <c r="U1675" s="68">
        <v>8.4911047E-5</v>
      </c>
      <c r="V1675" s="68">
        <v>7.6330344E-5</v>
      </c>
      <c r="X1675" s="69">
        <v>7.0462055E-6</v>
      </c>
    </row>
    <row r="1676" ht="12.75" customHeight="1">
      <c r="A1676" s="1" t="s">
        <v>2349</v>
      </c>
      <c r="B1676" s="2" t="s">
        <v>2318</v>
      </c>
      <c r="C1676" s="60" t="str">
        <f t="shared" si="342"/>
        <v>B.046.08.132</v>
      </c>
      <c r="D1676" s="51" t="s">
        <v>2316</v>
      </c>
      <c r="E1676" s="62" t="s">
        <v>896</v>
      </c>
      <c r="F1676" s="63" t="str">
        <f t="shared" si="343"/>
        <v>Electricity New Mexico production</v>
      </c>
      <c r="G1676" s="64">
        <v>0.02195845835</v>
      </c>
      <c r="H1676" s="10">
        <f t="shared" si="328"/>
        <v>0.02195845835</v>
      </c>
      <c r="I1676" s="65">
        <v>9.411534599999999E-4</v>
      </c>
      <c r="J1676" s="65">
        <v>0.0013430274399999999</v>
      </c>
      <c r="K1676" s="65">
        <v>1.3407645E-4</v>
      </c>
      <c r="L1676" s="65">
        <v>0.019540201</v>
      </c>
      <c r="N1676" s="66">
        <v>0.13026800666666669</v>
      </c>
      <c r="O1676" s="10">
        <f t="shared" si="329"/>
        <v>0.1302680067</v>
      </c>
      <c r="Q1676" s="67">
        <v>2.0632866</v>
      </c>
      <c r="S1676" s="68">
        <v>0.0023489363</v>
      </c>
      <c r="T1676" s="68">
        <v>0.002185013</v>
      </c>
      <c r="U1676" s="68">
        <v>1.0266786E-4</v>
      </c>
      <c r="V1676" s="68">
        <v>6.1255486E-5</v>
      </c>
      <c r="X1676" s="69">
        <v>5.8837244E-6</v>
      </c>
    </row>
    <row r="1677" ht="12.75" customHeight="1">
      <c r="A1677" s="1" t="s">
        <v>2350</v>
      </c>
      <c r="B1677" s="2" t="s">
        <v>2318</v>
      </c>
      <c r="C1677" s="60" t="str">
        <f t="shared" si="342"/>
        <v>B.046.08.133</v>
      </c>
      <c r="D1677" s="51" t="s">
        <v>2316</v>
      </c>
      <c r="E1677" s="62" t="s">
        <v>896</v>
      </c>
      <c r="F1677" s="63" t="str">
        <f t="shared" si="343"/>
        <v>Electricity New York2 production</v>
      </c>
      <c r="G1677" s="64">
        <v>0.024177079761</v>
      </c>
      <c r="H1677" s="10">
        <f t="shared" si="328"/>
        <v>0.02417707976</v>
      </c>
      <c r="I1677" s="65">
        <v>0.00115624491</v>
      </c>
      <c r="J1677" s="65">
        <v>0.00174208936</v>
      </c>
      <c r="K1677" s="65">
        <v>0.005908624491</v>
      </c>
      <c r="L1677" s="65">
        <v>0.015370121</v>
      </c>
      <c r="N1677" s="66">
        <v>0.10246747333333334</v>
      </c>
      <c r="O1677" s="10">
        <f t="shared" si="329"/>
        <v>0.1024674733</v>
      </c>
      <c r="Q1677" s="67">
        <v>2.3838907</v>
      </c>
      <c r="S1677" s="68">
        <v>0.0019706639</v>
      </c>
      <c r="T1677" s="68">
        <v>0.0018175581</v>
      </c>
      <c r="U1677" s="68">
        <v>8.3022005E-5</v>
      </c>
      <c r="V1677" s="68">
        <v>7.008387E-5</v>
      </c>
      <c r="X1677" s="69">
        <v>5.8182758E-6</v>
      </c>
    </row>
    <row r="1678" ht="12.75" customHeight="1">
      <c r="A1678" s="1" t="s">
        <v>2351</v>
      </c>
      <c r="B1678" s="2" t="s">
        <v>2318</v>
      </c>
      <c r="C1678" s="60" t="str">
        <f t="shared" si="342"/>
        <v>B.046.08.134</v>
      </c>
      <c r="D1678" s="51" t="s">
        <v>2316</v>
      </c>
      <c r="E1678" s="62" t="s">
        <v>896</v>
      </c>
      <c r="F1678" s="63" t="str">
        <f t="shared" si="343"/>
        <v>Electricity North Carolina production</v>
      </c>
      <c r="G1678" s="64">
        <v>0.029618188623999998</v>
      </c>
      <c r="H1678" s="10">
        <f t="shared" si="328"/>
        <v>0.02961818862</v>
      </c>
      <c r="I1678" s="65">
        <v>0.00123825053</v>
      </c>
      <c r="J1678" s="65">
        <v>0.0021426788500000004</v>
      </c>
      <c r="K1678" s="65">
        <v>0.008783505244</v>
      </c>
      <c r="L1678" s="65">
        <v>0.017453754</v>
      </c>
      <c r="N1678" s="66">
        <v>0.11635836</v>
      </c>
      <c r="O1678" s="10">
        <f t="shared" si="329"/>
        <v>0.11635836</v>
      </c>
      <c r="Q1678" s="67">
        <v>2.8374166</v>
      </c>
      <c r="S1678" s="68">
        <v>0.0022773958</v>
      </c>
      <c r="T1678" s="68">
        <v>0.0021161495</v>
      </c>
      <c r="U1678" s="68">
        <v>9.5299524E-5</v>
      </c>
      <c r="V1678" s="68">
        <v>6.5946767E-5</v>
      </c>
      <c r="X1678" s="69">
        <v>7.0940306E-6</v>
      </c>
    </row>
    <row r="1679" ht="12.75" customHeight="1">
      <c r="A1679" s="1" t="s">
        <v>2352</v>
      </c>
      <c r="B1679" s="2" t="s">
        <v>2318</v>
      </c>
      <c r="C1679" s="60" t="str">
        <f t="shared" si="342"/>
        <v>B.046.08.135</v>
      </c>
      <c r="D1679" s="51" t="s">
        <v>2316</v>
      </c>
      <c r="E1679" s="62" t="s">
        <v>896</v>
      </c>
      <c r="F1679" s="63" t="str">
        <f t="shared" si="343"/>
        <v>Electricity North Dakota production</v>
      </c>
      <c r="G1679" s="64">
        <v>0.035923554539</v>
      </c>
      <c r="H1679" s="10">
        <f t="shared" si="328"/>
        <v>0.03592355454</v>
      </c>
      <c r="I1679" s="65">
        <v>0.001361869999</v>
      </c>
      <c r="J1679" s="65">
        <v>0.0038592833000000003</v>
      </c>
      <c r="K1679" s="65">
        <v>1.1429924E-4</v>
      </c>
      <c r="L1679" s="65">
        <v>0.030588102</v>
      </c>
      <c r="N1679" s="66">
        <v>0.20392068</v>
      </c>
      <c r="O1679" s="10">
        <f t="shared" si="329"/>
        <v>0.20392068</v>
      </c>
      <c r="Q1679" s="67">
        <v>2.4329276</v>
      </c>
      <c r="S1679" s="68">
        <v>0.0040935614</v>
      </c>
      <c r="T1679" s="68">
        <v>0.0038897273</v>
      </c>
      <c r="U1679" s="68">
        <v>1.7004922E-4</v>
      </c>
      <c r="V1679" s="68">
        <v>3.3784908E-5</v>
      </c>
      <c r="X1679" s="69">
        <v>9.071647E-6</v>
      </c>
    </row>
    <row r="1680" ht="12.75" customHeight="1">
      <c r="A1680" s="1" t="s">
        <v>2353</v>
      </c>
      <c r="B1680" s="2" t="s">
        <v>2318</v>
      </c>
      <c r="C1680" s="60" t="str">
        <f t="shared" si="342"/>
        <v>B.046.08.136</v>
      </c>
      <c r="D1680" s="51" t="s">
        <v>2316</v>
      </c>
      <c r="E1680" s="62" t="s">
        <v>896</v>
      </c>
      <c r="F1680" s="63" t="str">
        <f t="shared" si="343"/>
        <v>Electricity Ohio production</v>
      </c>
      <c r="G1680" s="64">
        <v>0.035297236612100005</v>
      </c>
      <c r="H1680" s="10">
        <f t="shared" si="328"/>
        <v>0.03529723661</v>
      </c>
      <c r="I1680" s="65">
        <v>0.00140274309</v>
      </c>
      <c r="J1680" s="65">
        <v>0.0031210457</v>
      </c>
      <c r="K1680" s="65">
        <v>0.0031697338220999997</v>
      </c>
      <c r="L1680" s="65">
        <v>0.027603714</v>
      </c>
      <c r="N1680" s="66">
        <v>0.18402476</v>
      </c>
      <c r="O1680" s="10">
        <f t="shared" si="329"/>
        <v>0.18402476</v>
      </c>
      <c r="Q1680" s="67">
        <v>2.8760024</v>
      </c>
      <c r="S1680" s="68">
        <v>0.003698899</v>
      </c>
      <c r="T1680" s="68">
        <v>0.0034475314</v>
      </c>
      <c r="U1680" s="68">
        <v>1.5185189E-4</v>
      </c>
      <c r="V1680" s="68">
        <v>9.9515682E-5</v>
      </c>
      <c r="X1680" s="69">
        <v>9.3884598E-6</v>
      </c>
    </row>
    <row r="1681" ht="12.75" customHeight="1">
      <c r="A1681" s="1" t="s">
        <v>2354</v>
      </c>
      <c r="B1681" s="2" t="s">
        <v>2318</v>
      </c>
      <c r="C1681" s="60" t="str">
        <f t="shared" si="342"/>
        <v>B.046.08.137</v>
      </c>
      <c r="D1681" s="51" t="s">
        <v>2316</v>
      </c>
      <c r="E1681" s="62" t="s">
        <v>896</v>
      </c>
      <c r="F1681" s="63" t="str">
        <f t="shared" si="343"/>
        <v>Electricity Oklahoma production</v>
      </c>
      <c r="G1681" s="64">
        <v>0.02169983107</v>
      </c>
      <c r="H1681" s="10">
        <f t="shared" si="328"/>
        <v>0.02169983107</v>
      </c>
      <c r="I1681" s="65">
        <v>0.00124310222</v>
      </c>
      <c r="J1681" s="65">
        <v>0.00189936307</v>
      </c>
      <c r="K1681" s="65">
        <v>1.2963878E-4</v>
      </c>
      <c r="L1681" s="65">
        <v>0.018427727</v>
      </c>
      <c r="N1681" s="66">
        <v>0.12285151333333334</v>
      </c>
      <c r="O1681" s="10">
        <f t="shared" si="329"/>
        <v>0.1228515133</v>
      </c>
      <c r="Q1681" s="67">
        <v>1.9810264</v>
      </c>
      <c r="S1681" s="68">
        <v>0.0023315843</v>
      </c>
      <c r="T1681" s="68">
        <v>0.0021555986</v>
      </c>
      <c r="U1681" s="68">
        <v>9.9010502E-5</v>
      </c>
      <c r="V1681" s="68">
        <v>7.6975161E-5</v>
      </c>
      <c r="X1681" s="69">
        <v>5.7233894E-6</v>
      </c>
    </row>
    <row r="1682" ht="12.75" customHeight="1">
      <c r="A1682" s="1" t="s">
        <v>2355</v>
      </c>
      <c r="B1682" s="2" t="s">
        <v>2318</v>
      </c>
      <c r="C1682" s="60" t="str">
        <f t="shared" si="342"/>
        <v>B.046.08.138</v>
      </c>
      <c r="D1682" s="51" t="s">
        <v>2316</v>
      </c>
      <c r="E1682" s="62" t="s">
        <v>896</v>
      </c>
      <c r="F1682" s="63" t="str">
        <f t="shared" si="343"/>
        <v>Electricity Oregon production</v>
      </c>
      <c r="G1682" s="64">
        <v>0.01413640716</v>
      </c>
      <c r="H1682" s="10">
        <f t="shared" si="328"/>
        <v>0.01413640716</v>
      </c>
      <c r="I1682" s="65">
        <v>0.0012680295500000001</v>
      </c>
      <c r="J1682" s="65">
        <v>0.0017816803299999999</v>
      </c>
      <c r="K1682" s="65">
        <v>1.3987428E-4</v>
      </c>
      <c r="L1682" s="65">
        <v>0.010946823</v>
      </c>
      <c r="N1682" s="66">
        <v>0.07297882</v>
      </c>
      <c r="O1682" s="10">
        <f t="shared" si="329"/>
        <v>0.07297882</v>
      </c>
      <c r="Q1682" s="67">
        <v>1.6605214</v>
      </c>
      <c r="S1682" s="68">
        <v>0.0014276416</v>
      </c>
      <c r="T1682" s="68">
        <v>0.0013114419</v>
      </c>
      <c r="U1682" s="68">
        <v>6.0087642E-5</v>
      </c>
      <c r="V1682" s="68">
        <v>5.6112023E-5</v>
      </c>
      <c r="X1682" s="69">
        <v>3.6428998E-6</v>
      </c>
    </row>
    <row r="1683" ht="12.75" customHeight="1">
      <c r="A1683" s="1" t="s">
        <v>2356</v>
      </c>
      <c r="B1683" s="2" t="s">
        <v>2318</v>
      </c>
      <c r="C1683" s="60" t="str">
        <f t="shared" si="342"/>
        <v>B.046.08.139</v>
      </c>
      <c r="D1683" s="51" t="s">
        <v>2316</v>
      </c>
      <c r="E1683" s="62" t="s">
        <v>896</v>
      </c>
      <c r="F1683" s="63" t="str">
        <f t="shared" si="343"/>
        <v>Electricity Pennsylvania production</v>
      </c>
      <c r="G1683" s="64">
        <v>0.030947630812600005</v>
      </c>
      <c r="H1683" s="10">
        <f t="shared" si="328"/>
        <v>0.03094763081</v>
      </c>
      <c r="I1683" s="65">
        <v>0.00122098153</v>
      </c>
      <c r="J1683" s="65">
        <v>0.00205362102</v>
      </c>
      <c r="K1683" s="65">
        <v>0.008368968262600002</v>
      </c>
      <c r="L1683" s="65">
        <v>0.01930406</v>
      </c>
      <c r="N1683" s="66">
        <v>0.12869373333333334</v>
      </c>
      <c r="O1683" s="10">
        <f t="shared" si="329"/>
        <v>0.1286937333</v>
      </c>
      <c r="Q1683" s="67">
        <v>2.928855</v>
      </c>
      <c r="S1683" s="68">
        <v>0.0025156995</v>
      </c>
      <c r="T1683" s="68">
        <v>0.0023222434</v>
      </c>
      <c r="U1683" s="68">
        <v>1.046705E-4</v>
      </c>
      <c r="V1683" s="68">
        <v>8.8785535E-5</v>
      </c>
      <c r="X1683" s="69">
        <v>7.6751547E-6</v>
      </c>
    </row>
    <row r="1684" ht="12.75" customHeight="1">
      <c r="A1684" s="1" t="s">
        <v>2357</v>
      </c>
      <c r="B1684" s="2" t="s">
        <v>2318</v>
      </c>
      <c r="C1684" s="60" t="str">
        <f t="shared" si="342"/>
        <v>B.046.08.140</v>
      </c>
      <c r="D1684" s="51" t="s">
        <v>2316</v>
      </c>
      <c r="E1684" s="62" t="s">
        <v>896</v>
      </c>
      <c r="F1684" s="63" t="str">
        <f t="shared" si="343"/>
        <v>Electricity Rhode Island production</v>
      </c>
      <c r="G1684" s="64">
        <v>0.030723651573</v>
      </c>
      <c r="H1684" s="10">
        <f t="shared" si="328"/>
        <v>0.03072365157</v>
      </c>
      <c r="I1684" s="65">
        <v>0.00193659872</v>
      </c>
      <c r="J1684" s="65">
        <v>0.00255043021</v>
      </c>
      <c r="K1684" s="65">
        <v>1.6573643E-5</v>
      </c>
      <c r="L1684" s="65">
        <v>0.026220049</v>
      </c>
      <c r="N1684" s="66">
        <v>0.17480032666666667</v>
      </c>
      <c r="O1684" s="10">
        <f t="shared" si="329"/>
        <v>0.1748003267</v>
      </c>
      <c r="Q1684" s="67">
        <v>2.5514577</v>
      </c>
      <c r="S1684" s="68">
        <v>0.003296215</v>
      </c>
      <c r="T1684" s="68">
        <v>0.0030210314</v>
      </c>
      <c r="U1684" s="68">
        <v>1.3979504E-4</v>
      </c>
      <c r="V1684" s="68">
        <v>1.3538852E-4</v>
      </c>
      <c r="X1684" s="69">
        <v>8.4271116E-6</v>
      </c>
    </row>
    <row r="1685" ht="12.75" customHeight="1">
      <c r="A1685" s="1" t="s">
        <v>2358</v>
      </c>
      <c r="B1685" s="2" t="s">
        <v>2318</v>
      </c>
      <c r="C1685" s="60" t="str">
        <f t="shared" si="342"/>
        <v>B.046.08.141</v>
      </c>
      <c r="D1685" s="51" t="s">
        <v>2316</v>
      </c>
      <c r="E1685" s="62" t="s">
        <v>896</v>
      </c>
      <c r="F1685" s="63" t="str">
        <f t="shared" si="343"/>
        <v>Electricity South Carolina production</v>
      </c>
      <c r="G1685" s="64">
        <v>0.031049357344000002</v>
      </c>
      <c r="H1685" s="10">
        <f t="shared" si="328"/>
        <v>0.03104935734</v>
      </c>
      <c r="I1685" s="65">
        <v>7.38321445E-4</v>
      </c>
      <c r="J1685" s="65">
        <v>0.0017244188199999999</v>
      </c>
      <c r="K1685" s="65">
        <v>0.014383512079</v>
      </c>
      <c r="L1685" s="65">
        <v>0.014203105</v>
      </c>
      <c r="N1685" s="66">
        <v>0.09468736666666668</v>
      </c>
      <c r="O1685" s="10">
        <f t="shared" si="329"/>
        <v>0.09468736667</v>
      </c>
      <c r="Q1685" s="67">
        <v>3.2014828</v>
      </c>
      <c r="S1685" s="68">
        <v>0.0019145316</v>
      </c>
      <c r="T1685" s="68">
        <v>0.0017941855</v>
      </c>
      <c r="U1685" s="68">
        <v>7.8587659E-5</v>
      </c>
      <c r="V1685" s="68">
        <v>4.1758466E-5</v>
      </c>
      <c r="X1685" s="69">
        <v>7.010963E-6</v>
      </c>
    </row>
    <row r="1686" ht="12.75" customHeight="1">
      <c r="A1686" s="1" t="s">
        <v>2359</v>
      </c>
      <c r="B1686" s="2" t="s">
        <v>2318</v>
      </c>
      <c r="C1686" s="60" t="str">
        <f t="shared" si="342"/>
        <v>B.046.08.142</v>
      </c>
      <c r="D1686" s="51" t="s">
        <v>2316</v>
      </c>
      <c r="E1686" s="62" t="s">
        <v>896</v>
      </c>
      <c r="F1686" s="63" t="str">
        <f t="shared" si="343"/>
        <v>Electricity South Dakota production</v>
      </c>
      <c r="G1686" s="64">
        <v>0.010619780339</v>
      </c>
      <c r="H1686" s="10">
        <f t="shared" si="328"/>
        <v>0.01061978034</v>
      </c>
      <c r="I1686" s="65">
        <v>4.88911369E-4</v>
      </c>
      <c r="J1686" s="65">
        <v>7.531453999999999E-4</v>
      </c>
      <c r="K1686" s="65">
        <v>2.1311737E-4</v>
      </c>
      <c r="L1686" s="65">
        <v>0.0091646062</v>
      </c>
      <c r="N1686" s="66">
        <v>0.06109737466666667</v>
      </c>
      <c r="O1686" s="10">
        <f t="shared" si="329"/>
        <v>0.06109737467</v>
      </c>
      <c r="Q1686" s="67">
        <v>1.4528538</v>
      </c>
      <c r="S1686" s="68">
        <v>0.0011062824</v>
      </c>
      <c r="T1686" s="68">
        <v>0.0010358568</v>
      </c>
      <c r="U1686" s="68">
        <v>4.8504144E-5</v>
      </c>
      <c r="V1686" s="68">
        <v>2.1921437E-5</v>
      </c>
      <c r="X1686" s="69">
        <v>2.6373315E-6</v>
      </c>
    </row>
    <row r="1687" ht="12.75" customHeight="1">
      <c r="A1687" s="1" t="s">
        <v>2360</v>
      </c>
      <c r="B1687" s="2" t="s">
        <v>2318</v>
      </c>
      <c r="C1687" s="60" t="str">
        <f t="shared" si="342"/>
        <v>B.046.08.143</v>
      </c>
      <c r="D1687" s="51" t="s">
        <v>2316</v>
      </c>
      <c r="E1687" s="62" t="s">
        <v>896</v>
      </c>
      <c r="F1687" s="63" t="str">
        <f t="shared" si="343"/>
        <v>Electricity Tennessee production</v>
      </c>
      <c r="G1687" s="64">
        <v>0.031947659441999995</v>
      </c>
      <c r="H1687" s="10">
        <f t="shared" si="328"/>
        <v>0.03194765944</v>
      </c>
      <c r="I1687" s="65">
        <v>6.19187672E-4</v>
      </c>
      <c r="J1687" s="65">
        <v>0.0015691527900000002</v>
      </c>
      <c r="K1687" s="65">
        <v>0.012856181979999999</v>
      </c>
      <c r="L1687" s="65">
        <v>0.016903137</v>
      </c>
      <c r="N1687" s="66">
        <v>0.11268758</v>
      </c>
      <c r="O1687" s="10">
        <f t="shared" si="329"/>
        <v>0.11268758</v>
      </c>
      <c r="Q1687" s="67">
        <v>3.0747438</v>
      </c>
      <c r="S1687" s="68">
        <v>0.0021830798</v>
      </c>
      <c r="T1687" s="68">
        <v>0.0020553707</v>
      </c>
      <c r="U1687" s="68">
        <v>9.1786952E-5</v>
      </c>
      <c r="V1687" s="68">
        <v>3.5922134E-5</v>
      </c>
      <c r="X1687" s="69">
        <v>7.2377591E-6</v>
      </c>
    </row>
    <row r="1688" ht="12.75" customHeight="1">
      <c r="A1688" s="1" t="s">
        <v>2361</v>
      </c>
      <c r="B1688" s="2" t="s">
        <v>2318</v>
      </c>
      <c r="C1688" s="60" t="str">
        <f t="shared" si="342"/>
        <v>B.046.08.144</v>
      </c>
      <c r="D1688" s="51" t="s">
        <v>2316</v>
      </c>
      <c r="E1688" s="62" t="s">
        <v>896</v>
      </c>
      <c r="F1688" s="63" t="str">
        <f t="shared" si="343"/>
        <v>Electricity Texas production</v>
      </c>
      <c r="G1688" s="64">
        <v>0.028172671602000002</v>
      </c>
      <c r="H1688" s="10">
        <f t="shared" si="328"/>
        <v>0.0281726716</v>
      </c>
      <c r="I1688" s="65">
        <v>0.0012906442</v>
      </c>
      <c r="J1688" s="65">
        <v>0.00222317003</v>
      </c>
      <c r="K1688" s="65">
        <v>0.002169960372</v>
      </c>
      <c r="L1688" s="65">
        <v>0.022488897</v>
      </c>
      <c r="N1688" s="66">
        <v>0.14992598000000001</v>
      </c>
      <c r="O1688" s="10">
        <f t="shared" si="329"/>
        <v>0.14992598</v>
      </c>
      <c r="Q1688" s="67">
        <v>2.3450651</v>
      </c>
      <c r="S1688" s="68">
        <v>0.0028529979</v>
      </c>
      <c r="T1688" s="68">
        <v>0.0026551146</v>
      </c>
      <c r="U1688" s="68">
        <v>1.2109222E-4</v>
      </c>
      <c r="V1688" s="68">
        <v>7.6791029E-5</v>
      </c>
      <c r="X1688" s="69">
        <v>7.1983016E-6</v>
      </c>
    </row>
    <row r="1689" ht="12.75" customHeight="1">
      <c r="A1689" s="1" t="s">
        <v>2362</v>
      </c>
      <c r="B1689" s="2" t="s">
        <v>2318</v>
      </c>
      <c r="C1689" s="60" t="str">
        <f t="shared" si="342"/>
        <v>B.046.08.145</v>
      </c>
      <c r="D1689" s="51" t="s">
        <v>2316</v>
      </c>
      <c r="E1689" s="62" t="s">
        <v>896</v>
      </c>
      <c r="F1689" s="63" t="str">
        <f t="shared" si="343"/>
        <v>Electricity Utah production</v>
      </c>
      <c r="G1689" s="64">
        <v>0.036259797295</v>
      </c>
      <c r="H1689" s="10">
        <f t="shared" si="328"/>
        <v>0.0362597973</v>
      </c>
      <c r="I1689" s="65">
        <v>0.00173442395</v>
      </c>
      <c r="J1689" s="65">
        <v>0.00247919331</v>
      </c>
      <c r="K1689" s="65">
        <v>4.3519035E-5</v>
      </c>
      <c r="L1689" s="65">
        <v>0.032002661</v>
      </c>
      <c r="N1689" s="66">
        <v>0.21335107333333336</v>
      </c>
      <c r="O1689" s="10">
        <f t="shared" si="329"/>
        <v>0.2133510733</v>
      </c>
      <c r="Q1689" s="67">
        <v>2.7295748</v>
      </c>
      <c r="S1689" s="68">
        <v>0.0037878601</v>
      </c>
      <c r="T1689" s="68">
        <v>0.0035472667</v>
      </c>
      <c r="U1689" s="68">
        <v>1.6814514E-4</v>
      </c>
      <c r="V1689" s="68">
        <v>7.2448329E-5</v>
      </c>
      <c r="X1689" s="69">
        <v>9.5799226E-6</v>
      </c>
    </row>
    <row r="1690" ht="12.75" customHeight="1">
      <c r="A1690" s="1" t="s">
        <v>2363</v>
      </c>
      <c r="B1690" s="2" t="s">
        <v>2318</v>
      </c>
      <c r="C1690" s="60" t="str">
        <f t="shared" si="342"/>
        <v>B.046.08.146</v>
      </c>
      <c r="D1690" s="51" t="s">
        <v>2316</v>
      </c>
      <c r="E1690" s="62" t="s">
        <v>896</v>
      </c>
      <c r="F1690" s="63" t="str">
        <f t="shared" si="343"/>
        <v>Electricity Vermont production</v>
      </c>
      <c r="G1690" s="64">
        <v>0.0037273468000000006</v>
      </c>
      <c r="H1690" s="10">
        <f t="shared" si="328"/>
        <v>0.0037273468</v>
      </c>
      <c r="I1690" s="65">
        <v>0.00129719257</v>
      </c>
      <c r="J1690" s="65">
        <v>0.00176766928</v>
      </c>
      <c r="K1690" s="65">
        <v>1.8867835E-4</v>
      </c>
      <c r="L1690" s="65">
        <v>4.738066E-4</v>
      </c>
      <c r="N1690" s="66">
        <v>0.0031587106666666667</v>
      </c>
      <c r="O1690" s="10">
        <f t="shared" si="329"/>
        <v>0.003158710667</v>
      </c>
      <c r="Q1690" s="67">
        <v>1.4529113</v>
      </c>
      <c r="S1690" s="68">
        <v>2.7652639E-4</v>
      </c>
      <c r="T1690" s="68">
        <v>2.6907872E-4</v>
      </c>
      <c r="U1690" s="68">
        <v>7.0805566E-6</v>
      </c>
      <c r="V1690" s="68">
        <v>3.6711327E-7</v>
      </c>
      <c r="X1690" s="69">
        <v>6.5653127E-7</v>
      </c>
    </row>
    <row r="1691" ht="12.75" customHeight="1">
      <c r="A1691" s="1" t="s">
        <v>2364</v>
      </c>
      <c r="B1691" s="2" t="s">
        <v>2318</v>
      </c>
      <c r="C1691" s="60" t="str">
        <f t="shared" si="342"/>
        <v>B.046.08.147</v>
      </c>
      <c r="D1691" s="51" t="s">
        <v>2316</v>
      </c>
      <c r="E1691" s="62" t="s">
        <v>896</v>
      </c>
      <c r="F1691" s="63" t="str">
        <f t="shared" si="343"/>
        <v>Electricity Virginia production</v>
      </c>
      <c r="G1691" s="64">
        <v>0.029708615681</v>
      </c>
      <c r="H1691" s="10">
        <f t="shared" si="328"/>
        <v>0.02970861568</v>
      </c>
      <c r="I1691" s="65">
        <v>0.00128968834</v>
      </c>
      <c r="J1691" s="65">
        <v>0.00215982078</v>
      </c>
      <c r="K1691" s="65">
        <v>0.008562686561</v>
      </c>
      <c r="L1691" s="65">
        <v>0.01769642</v>
      </c>
      <c r="N1691" s="66">
        <v>0.11797613333333334</v>
      </c>
      <c r="O1691" s="10">
        <f t="shared" si="329"/>
        <v>0.1179761333</v>
      </c>
      <c r="Q1691" s="67">
        <v>2.8461649</v>
      </c>
      <c r="S1691" s="68">
        <v>0.0023484904</v>
      </c>
      <c r="T1691" s="68">
        <v>0.0021688223</v>
      </c>
      <c r="U1691" s="68">
        <v>9.6816988E-5</v>
      </c>
      <c r="V1691" s="68">
        <v>8.2851099E-5</v>
      </c>
      <c r="X1691" s="69">
        <v>7.186081E-6</v>
      </c>
    </row>
    <row r="1692" ht="12.75" customHeight="1">
      <c r="A1692" s="1" t="s">
        <v>2365</v>
      </c>
      <c r="B1692" s="2" t="s">
        <v>2318</v>
      </c>
      <c r="C1692" s="60" t="str">
        <f t="shared" si="342"/>
        <v>B.046.08.148</v>
      </c>
      <c r="D1692" s="51" t="s">
        <v>2316</v>
      </c>
      <c r="E1692" s="62" t="s">
        <v>896</v>
      </c>
      <c r="F1692" s="63" t="str">
        <f t="shared" si="343"/>
        <v>Electricity Washington production</v>
      </c>
      <c r="G1692" s="64">
        <v>0.011946846785</v>
      </c>
      <c r="H1692" s="10">
        <f t="shared" si="328"/>
        <v>0.01194684679</v>
      </c>
      <c r="I1692" s="65">
        <v>5.54771465E-4</v>
      </c>
      <c r="J1692" s="65">
        <v>0.00102056355</v>
      </c>
      <c r="K1692" s="65">
        <v>0.00229980537</v>
      </c>
      <c r="L1692" s="65">
        <v>0.0080717064</v>
      </c>
      <c r="N1692" s="66">
        <v>0.053811376</v>
      </c>
      <c r="O1692" s="10">
        <f t="shared" si="329"/>
        <v>0.053811376</v>
      </c>
      <c r="Q1692" s="67">
        <v>1.6552933</v>
      </c>
      <c r="S1692" s="68">
        <v>0.001068816</v>
      </c>
      <c r="T1692" s="68">
        <v>9.9547649E-4</v>
      </c>
      <c r="U1692" s="68">
        <v>4.4340695E-5</v>
      </c>
      <c r="V1692" s="68">
        <v>2.899883E-5</v>
      </c>
      <c r="X1692" s="69">
        <v>2.8903696E-6</v>
      </c>
    </row>
    <row r="1693" ht="12.75" customHeight="1">
      <c r="A1693" s="1" t="s">
        <v>2366</v>
      </c>
      <c r="B1693" s="2" t="s">
        <v>2318</v>
      </c>
      <c r="C1693" s="60" t="str">
        <f t="shared" si="342"/>
        <v>B.046.08.149</v>
      </c>
      <c r="D1693" s="51" t="s">
        <v>2316</v>
      </c>
      <c r="E1693" s="62" t="s">
        <v>896</v>
      </c>
      <c r="F1693" s="63" t="str">
        <f t="shared" si="343"/>
        <v>Electricity West Virginia production</v>
      </c>
      <c r="G1693" s="64">
        <v>0.045871595082</v>
      </c>
      <c r="H1693" s="10">
        <f t="shared" si="328"/>
        <v>0.04587159508</v>
      </c>
      <c r="I1693" s="65">
        <v>0.001096580974</v>
      </c>
      <c r="J1693" s="65">
        <v>0.0032042729999999997</v>
      </c>
      <c r="K1693" s="65">
        <v>1.6569108E-5</v>
      </c>
      <c r="L1693" s="65">
        <v>0.041554172</v>
      </c>
      <c r="N1693" s="66">
        <v>0.2770278133333334</v>
      </c>
      <c r="O1693" s="10">
        <f t="shared" si="329"/>
        <v>0.2770278133</v>
      </c>
      <c r="Q1693" s="67">
        <v>3.240804</v>
      </c>
      <c r="S1693" s="68">
        <v>0.0052099575</v>
      </c>
      <c r="T1693" s="68">
        <v>0.0049386534</v>
      </c>
      <c r="U1693" s="68">
        <v>2.2321566E-4</v>
      </c>
      <c r="V1693" s="68">
        <v>4.8088363E-5</v>
      </c>
      <c r="X1693" s="69">
        <v>1.2396736E-5</v>
      </c>
    </row>
    <row r="1694" ht="12.75" customHeight="1">
      <c r="A1694" s="1" t="s">
        <v>2367</v>
      </c>
      <c r="B1694" s="2" t="s">
        <v>2318</v>
      </c>
      <c r="C1694" s="60" t="str">
        <f t="shared" si="342"/>
        <v>B.046.08.150</v>
      </c>
      <c r="D1694" s="51" t="s">
        <v>2316</v>
      </c>
      <c r="E1694" s="62" t="s">
        <v>896</v>
      </c>
      <c r="F1694" s="63" t="str">
        <f t="shared" si="343"/>
        <v>Electricity Wisconsin production</v>
      </c>
      <c r="G1694" s="64">
        <v>0.035591067937</v>
      </c>
      <c r="H1694" s="10">
        <f t="shared" si="328"/>
        <v>0.03559106794</v>
      </c>
      <c r="I1694" s="65">
        <v>0.0013290268</v>
      </c>
      <c r="J1694" s="65">
        <v>0.00205421428</v>
      </c>
      <c r="K1694" s="65">
        <v>0.004112657857</v>
      </c>
      <c r="L1694" s="65">
        <v>0.028095169</v>
      </c>
      <c r="N1694" s="66">
        <v>0.18730112666666668</v>
      </c>
      <c r="O1694" s="10">
        <f t="shared" si="329"/>
        <v>0.1873011267</v>
      </c>
      <c r="Q1694" s="67">
        <v>2.9363722</v>
      </c>
      <c r="S1694" s="68">
        <v>0.0033971291</v>
      </c>
      <c r="T1694" s="68">
        <v>0.0031738891</v>
      </c>
      <c r="U1694" s="68">
        <v>1.4822016E-4</v>
      </c>
      <c r="V1694" s="68">
        <v>7.5019834E-5</v>
      </c>
      <c r="X1694" s="69">
        <v>9.174217E-6</v>
      </c>
    </row>
    <row r="1695" ht="12.75" customHeight="1">
      <c r="A1695" s="1" t="s">
        <v>2368</v>
      </c>
      <c r="B1695" s="2" t="s">
        <v>2318</v>
      </c>
      <c r="C1695" s="60" t="str">
        <f t="shared" si="342"/>
        <v>B.046.08.151</v>
      </c>
      <c r="D1695" s="51" t="s">
        <v>2316</v>
      </c>
      <c r="E1695" s="62" t="s">
        <v>896</v>
      </c>
      <c r="F1695" s="63" t="str">
        <f t="shared" si="343"/>
        <v>Electricity Wyoming production</v>
      </c>
      <c r="G1695" s="64">
        <v>0.044131032673000004</v>
      </c>
      <c r="H1695" s="10">
        <f t="shared" si="328"/>
        <v>0.04413103267</v>
      </c>
      <c r="I1695" s="65">
        <v>0.0013381693330000001</v>
      </c>
      <c r="J1695" s="65">
        <v>0.0030158596000000003</v>
      </c>
      <c r="K1695" s="65">
        <v>6.804274E-5</v>
      </c>
      <c r="L1695" s="65">
        <v>0.039708961</v>
      </c>
      <c r="N1695" s="66">
        <v>0.2647264066666667</v>
      </c>
      <c r="O1695" s="10">
        <f t="shared" si="329"/>
        <v>0.2647264067</v>
      </c>
      <c r="Q1695" s="67">
        <v>2.8507145</v>
      </c>
      <c r="S1695" s="68">
        <v>0.0048377716</v>
      </c>
      <c r="T1695" s="68">
        <v>0.0045888503</v>
      </c>
      <c r="U1695" s="68">
        <v>2.1141549E-4</v>
      </c>
      <c r="V1695" s="68">
        <v>3.7505822E-5</v>
      </c>
      <c r="X1695" s="69">
        <v>1.1262687E-5</v>
      </c>
    </row>
    <row r="1696" ht="12.75" customHeight="1">
      <c r="B1696" s="2"/>
      <c r="C1696" s="60"/>
      <c r="D1696" s="51"/>
      <c r="E1696" s="62"/>
      <c r="G1696" s="10"/>
      <c r="H1696" s="10"/>
      <c r="I1696" s="10"/>
      <c r="J1696" s="10"/>
      <c r="K1696" s="10"/>
      <c r="L1696" s="10"/>
      <c r="N1696" s="10"/>
      <c r="O1696" s="10"/>
      <c r="Q1696" s="67"/>
    </row>
    <row r="1697" ht="12.75" customHeight="1">
      <c r="B1697" s="2"/>
      <c r="C1697" s="60"/>
      <c r="D1697" s="75" t="s">
        <v>2369</v>
      </c>
      <c r="E1697" s="62"/>
      <c r="G1697" s="10"/>
      <c r="H1697" s="10"/>
      <c r="I1697" s="10"/>
      <c r="J1697" s="10"/>
      <c r="K1697" s="10"/>
      <c r="L1697" s="10"/>
      <c r="N1697" s="10"/>
      <c r="O1697" s="10"/>
      <c r="Q1697" s="67"/>
    </row>
    <row r="1698" ht="12.75" customHeight="1">
      <c r="A1698" s="1" t="s">
        <v>2370</v>
      </c>
      <c r="B1698" s="2" t="s">
        <v>2371</v>
      </c>
      <c r="C1698" s="60" t="str">
        <f t="shared" ref="C1698:C1704" si="344">MID(A1698,1,12)</f>
        <v>B.050.01.101</v>
      </c>
      <c r="D1698" s="51" t="s">
        <v>2369</v>
      </c>
      <c r="E1698" s="62" t="s">
        <v>896</v>
      </c>
      <c r="F1698" s="63" t="str">
        <f t="shared" ref="F1698:F1704" si="345">MID(A1698, 21,85)</f>
        <v>Heat - General Industry</v>
      </c>
      <c r="G1698" s="64">
        <v>0.01874282724904</v>
      </c>
      <c r="H1698" s="10">
        <f t="shared" ref="H1698:H1704" si="346">G1698</f>
        <v>0.01874282725</v>
      </c>
      <c r="I1698" s="65">
        <v>0.0011358769961999997</v>
      </c>
      <c r="J1698" s="65">
        <v>0.00366011649484</v>
      </c>
      <c r="K1698" s="65">
        <v>8.0609758E-5</v>
      </c>
      <c r="L1698" s="65">
        <v>0.013866224</v>
      </c>
      <c r="N1698" s="66">
        <v>0.09244149333333333</v>
      </c>
      <c r="O1698" s="10">
        <f t="shared" ref="O1698:O1704" si="347">N1698</f>
        <v>0.09244149333</v>
      </c>
      <c r="Q1698" s="67">
        <v>1.2196726</v>
      </c>
      <c r="S1698" s="68">
        <v>0.0024525408</v>
      </c>
      <c r="T1698" s="68">
        <v>0.0022800987</v>
      </c>
      <c r="U1698" s="68">
        <v>8.6251528E-5</v>
      </c>
      <c r="V1698" s="68">
        <v>8.6190575E-5</v>
      </c>
      <c r="X1698" s="69">
        <v>5.2031424E-6</v>
      </c>
    </row>
    <row r="1699" ht="12.75" customHeight="1">
      <c r="A1699" s="1" t="s">
        <v>2372</v>
      </c>
      <c r="B1699" s="2" t="s">
        <v>2371</v>
      </c>
      <c r="C1699" s="60" t="str">
        <f t="shared" si="344"/>
        <v>B.050.01.102</v>
      </c>
      <c r="D1699" s="51" t="s">
        <v>2369</v>
      </c>
      <c r="E1699" s="62" t="s">
        <v>896</v>
      </c>
      <c r="F1699" s="63" t="str">
        <f t="shared" si="345"/>
        <v>Heat - Domestic from heat pump</v>
      </c>
      <c r="G1699" s="64">
        <v>0.0063079895499999995</v>
      </c>
      <c r="H1699" s="10">
        <f t="shared" si="346"/>
        <v>0.00630798955</v>
      </c>
      <c r="I1699" s="65">
        <v>1.99876655E-4</v>
      </c>
      <c r="J1699" s="65">
        <v>4.1407466E-4</v>
      </c>
      <c r="K1699" s="65">
        <v>0.001000984935</v>
      </c>
      <c r="L1699" s="65">
        <v>0.0046930533</v>
      </c>
      <c r="N1699" s="66">
        <v>0.031287022</v>
      </c>
      <c r="O1699" s="10">
        <f t="shared" si="347"/>
        <v>0.031287022</v>
      </c>
      <c r="Q1699" s="67">
        <v>0.59716195</v>
      </c>
      <c r="S1699" s="68">
        <v>5.9592626E-4</v>
      </c>
      <c r="T1699" s="68">
        <v>5.5973192E-4</v>
      </c>
      <c r="U1699" s="68">
        <v>2.5265066E-5</v>
      </c>
      <c r="V1699" s="68">
        <v>1.0929274E-5</v>
      </c>
      <c r="X1699" s="69">
        <v>1.5849288E-6</v>
      </c>
    </row>
    <row r="1700" ht="12.75" customHeight="1">
      <c r="A1700" s="1" t="s">
        <v>2373</v>
      </c>
      <c r="B1700" s="2" t="s">
        <v>2371</v>
      </c>
      <c r="C1700" s="60" t="str">
        <f t="shared" si="344"/>
        <v>B.050.01.103</v>
      </c>
      <c r="D1700" s="51" t="s">
        <v>2369</v>
      </c>
      <c r="E1700" s="62" t="s">
        <v>896</v>
      </c>
      <c r="F1700" s="63" t="str">
        <f t="shared" si="345"/>
        <v>Heat from natural gas - condensing low NOx - incl. combustion CO2</v>
      </c>
      <c r="G1700" s="64">
        <v>0.01387376118631</v>
      </c>
      <c r="H1700" s="10">
        <f t="shared" si="346"/>
        <v>0.01387376119</v>
      </c>
      <c r="I1700" s="65">
        <v>5.58903901E-4</v>
      </c>
      <c r="J1700" s="65">
        <v>8.009690343099999E-4</v>
      </c>
      <c r="K1700" s="65">
        <v>1.21815251E-4</v>
      </c>
      <c r="L1700" s="65">
        <v>0.012392073</v>
      </c>
      <c r="N1700" s="66">
        <v>0.08261382</v>
      </c>
      <c r="O1700" s="10">
        <f t="shared" si="347"/>
        <v>0.08261382</v>
      </c>
      <c r="Q1700" s="67">
        <v>1.2240746</v>
      </c>
      <c r="S1700" s="68">
        <v>0.0015335018</v>
      </c>
      <c r="T1700" s="68">
        <v>0.0013824605</v>
      </c>
      <c r="U1700" s="68">
        <v>6.4992592E-5</v>
      </c>
      <c r="V1700" s="68">
        <v>8.6048723E-5</v>
      </c>
      <c r="X1700" s="69">
        <v>4.0384241E-6</v>
      </c>
    </row>
    <row r="1701" ht="12.75" customHeight="1">
      <c r="A1701" s="1" t="s">
        <v>2374</v>
      </c>
      <c r="B1701" s="2" t="s">
        <v>2371</v>
      </c>
      <c r="C1701" s="60" t="str">
        <f t="shared" si="344"/>
        <v>B.050.01.104</v>
      </c>
      <c r="D1701" s="51" t="s">
        <v>2369</v>
      </c>
      <c r="E1701" s="62" t="s">
        <v>896</v>
      </c>
      <c r="F1701" s="63" t="str">
        <f t="shared" si="345"/>
        <v>Heat from anthracite coal 30.7 MJ/kg - incl. combustion CO2</v>
      </c>
      <c r="G1701" s="64">
        <v>0.020323253031502002</v>
      </c>
      <c r="H1701" s="10">
        <f t="shared" si="346"/>
        <v>0.02032325303</v>
      </c>
      <c r="I1701" s="65">
        <v>0.001286928637152</v>
      </c>
      <c r="J1701" s="65">
        <v>0.00153463755175</v>
      </c>
      <c r="K1701" s="65">
        <v>6.73878426E-5</v>
      </c>
      <c r="L1701" s="65">
        <v>0.017434299</v>
      </c>
      <c r="N1701" s="66">
        <v>0.11622866000000001</v>
      </c>
      <c r="O1701" s="10">
        <f t="shared" si="347"/>
        <v>0.11622866</v>
      </c>
      <c r="Q1701" s="67">
        <v>1.3524926</v>
      </c>
      <c r="S1701" s="68">
        <v>0.0021675346</v>
      </c>
      <c r="T1701" s="68">
        <v>0.0020498032</v>
      </c>
      <c r="U1701" s="68">
        <v>9.9860869E-5</v>
      </c>
      <c r="V1701" s="68">
        <v>1.7870482E-5</v>
      </c>
      <c r="X1701" s="69">
        <v>5.6657398E-6</v>
      </c>
    </row>
    <row r="1702" ht="12.75" customHeight="1">
      <c r="A1702" s="1" t="s">
        <v>2375</v>
      </c>
      <c r="B1702" s="2" t="s">
        <v>2371</v>
      </c>
      <c r="C1702" s="60" t="str">
        <f t="shared" si="344"/>
        <v>B.050.01.105</v>
      </c>
      <c r="D1702" s="51" t="s">
        <v>2369</v>
      </c>
      <c r="E1702" s="62" t="s">
        <v>896</v>
      </c>
      <c r="F1702" s="63" t="str">
        <f t="shared" si="345"/>
        <v>Heat from coal bituminous 26.4 MJ/kg  - incl. combustion CO2</v>
      </c>
      <c r="G1702" s="64">
        <v>0.02150555644308</v>
      </c>
      <c r="H1702" s="10">
        <f t="shared" si="346"/>
        <v>0.02150555644</v>
      </c>
      <c r="I1702" s="65">
        <v>0.00151014461806</v>
      </c>
      <c r="J1702" s="65">
        <v>0.0042263986622199995</v>
      </c>
      <c r="K1702" s="65">
        <v>1.5469816279999998E-4</v>
      </c>
      <c r="L1702" s="65">
        <v>0.015614315</v>
      </c>
      <c r="N1702" s="66">
        <v>0.10409543333333333</v>
      </c>
      <c r="O1702" s="10">
        <f t="shared" si="347"/>
        <v>0.1040954333</v>
      </c>
      <c r="Q1702" s="67">
        <v>1.3375956</v>
      </c>
      <c r="S1702" s="68">
        <v>0.0027750867</v>
      </c>
      <c r="T1702" s="68">
        <v>0.0026495813</v>
      </c>
      <c r="U1702" s="68">
        <v>1.0697877E-4</v>
      </c>
      <c r="V1702" s="68">
        <v>1.8526678E-5</v>
      </c>
      <c r="X1702" s="69">
        <v>6.1089527E-6</v>
      </c>
    </row>
    <row r="1703" ht="12.75" customHeight="1">
      <c r="A1703" s="1" t="s">
        <v>2376</v>
      </c>
      <c r="B1703" s="2" t="s">
        <v>2371</v>
      </c>
      <c r="C1703" s="60" t="str">
        <f t="shared" si="344"/>
        <v>B.050.01.106</v>
      </c>
      <c r="D1703" s="51" t="s">
        <v>2369</v>
      </c>
      <c r="E1703" s="62" t="s">
        <v>896</v>
      </c>
      <c r="F1703" s="63" t="str">
        <f t="shared" si="345"/>
        <v>Heat from heavy oil for chemical processes - incl. combustion CO2</v>
      </c>
      <c r="G1703" s="64">
        <v>0.02380344552778</v>
      </c>
      <c r="H1703" s="10">
        <f t="shared" si="346"/>
        <v>0.02380344553</v>
      </c>
      <c r="I1703" s="65">
        <v>0.0017205667136999997</v>
      </c>
      <c r="J1703" s="65">
        <v>0.006530322682280001</v>
      </c>
      <c r="K1703" s="65">
        <v>4.10861318E-5</v>
      </c>
      <c r="L1703" s="65">
        <v>0.01551147</v>
      </c>
      <c r="N1703" s="66">
        <v>0.1034098</v>
      </c>
      <c r="O1703" s="10">
        <f t="shared" si="347"/>
        <v>0.1034098</v>
      </c>
      <c r="Q1703" s="67">
        <v>1.232171</v>
      </c>
      <c r="S1703" s="68">
        <v>0.0033927525</v>
      </c>
      <c r="T1703" s="68">
        <v>0.0031968242</v>
      </c>
      <c r="U1703" s="68">
        <v>1.084078E-4</v>
      </c>
      <c r="V1703" s="68">
        <v>8.7520477E-5</v>
      </c>
      <c r="X1703" s="69">
        <v>6.4236181E-6</v>
      </c>
    </row>
    <row r="1704" ht="12.75" customHeight="1">
      <c r="A1704" s="1" t="s">
        <v>2377</v>
      </c>
      <c r="B1704" s="2" t="s">
        <v>2371</v>
      </c>
      <c r="C1704" s="60" t="str">
        <f t="shared" si="344"/>
        <v>B.050.01.107</v>
      </c>
      <c r="D1704" s="51" t="s">
        <v>2369</v>
      </c>
      <c r="E1704" s="62" t="s">
        <v>896</v>
      </c>
      <c r="F1704" s="63" t="str">
        <f t="shared" si="345"/>
        <v>Heat from natural gas for chemical processes - incl. combustion CO2</v>
      </c>
      <c r="G1704" s="64">
        <v>0.01368220996671</v>
      </c>
      <c r="H1704" s="10">
        <f t="shared" si="346"/>
        <v>0.01368220997</v>
      </c>
      <c r="I1704" s="65">
        <v>5.511872833E-4</v>
      </c>
      <c r="J1704" s="65">
        <v>7.8991029941E-4</v>
      </c>
      <c r="K1704" s="65">
        <v>1.20133384E-4</v>
      </c>
      <c r="L1704" s="65">
        <v>0.012220979</v>
      </c>
      <c r="N1704" s="66">
        <v>0.08147319333333333</v>
      </c>
      <c r="O1704" s="10">
        <f t="shared" si="347"/>
        <v>0.08147319333</v>
      </c>
      <c r="Q1704" s="67">
        <v>1.2071742</v>
      </c>
      <c r="S1704" s="68">
        <v>0.0015123292</v>
      </c>
      <c r="T1704" s="68">
        <v>0.0013633733</v>
      </c>
      <c r="U1704" s="68">
        <v>6.4095258E-5</v>
      </c>
      <c r="V1704" s="68">
        <v>8.4860673E-5</v>
      </c>
      <c r="X1704" s="69">
        <v>3.9826667E-6</v>
      </c>
    </row>
    <row r="1705" ht="12.75" customHeight="1">
      <c r="B1705" s="2"/>
      <c r="C1705" s="60"/>
      <c r="D1705" s="75" t="s">
        <v>2378</v>
      </c>
      <c r="E1705" s="62"/>
      <c r="G1705" s="10"/>
      <c r="H1705" s="10"/>
      <c r="I1705" s="10"/>
      <c r="J1705" s="10"/>
      <c r="K1705" s="10"/>
      <c r="L1705" s="10"/>
      <c r="N1705" s="10"/>
      <c r="O1705" s="10"/>
      <c r="Q1705" s="67"/>
    </row>
    <row r="1706" ht="12.75" customHeight="1">
      <c r="B1706" s="2"/>
      <c r="C1706" s="60"/>
      <c r="D1706" s="75" t="s">
        <v>2379</v>
      </c>
      <c r="E1706" s="62"/>
      <c r="G1706" s="10"/>
      <c r="H1706" s="10"/>
      <c r="I1706" s="10"/>
      <c r="J1706" s="10"/>
      <c r="K1706" s="10"/>
      <c r="L1706" s="10"/>
      <c r="N1706" s="10"/>
      <c r="O1706" s="10"/>
      <c r="Q1706" s="67"/>
    </row>
    <row r="1707" ht="12.75" customHeight="1">
      <c r="A1707" s="1" t="s">
        <v>2380</v>
      </c>
      <c r="B1707" s="2" t="s">
        <v>2381</v>
      </c>
      <c r="C1707" s="60" t="str">
        <f t="shared" ref="C1707:C1712" si="348">MID(A1707,1,12)</f>
        <v>C.010.01.101</v>
      </c>
      <c r="D1707" s="51" t="s">
        <v>2379</v>
      </c>
      <c r="E1707" s="87" t="s">
        <v>2382</v>
      </c>
      <c r="F1707" s="63" t="str">
        <f t="shared" ref="F1707:F1712" si="349">MID(A1707, 21,85)</f>
        <v>Air traffic continental (min weight/volume ratio 0.167 ton/m3) (tkm)</v>
      </c>
      <c r="G1707" s="64">
        <v>0.358662341871</v>
      </c>
      <c r="H1707" s="10">
        <f t="shared" ref="H1707:H1712" si="350">G1707</f>
        <v>0.3586623419</v>
      </c>
      <c r="I1707" s="65">
        <v>0.004724901951</v>
      </c>
      <c r="J1707" s="65">
        <v>0.01720734792</v>
      </c>
      <c r="K1707" s="65">
        <v>0.124450092</v>
      </c>
      <c r="L1707" s="65">
        <v>0.21228</v>
      </c>
      <c r="N1707" s="66">
        <v>1.4152</v>
      </c>
      <c r="O1707" s="10">
        <f t="shared" ref="O1707:O1712" si="351">N1707</f>
        <v>1.4152</v>
      </c>
      <c r="Q1707" s="67">
        <v>22.245421</v>
      </c>
      <c r="S1707" s="68">
        <v>0.02809555</v>
      </c>
      <c r="T1707" s="68">
        <v>0.025370612</v>
      </c>
      <c r="U1707" s="68">
        <v>0.0011416581</v>
      </c>
      <c r="V1707" s="68">
        <v>0.00158328</v>
      </c>
      <c r="X1707" s="69">
        <v>7.1364706E-5</v>
      </c>
    </row>
    <row r="1708" ht="12.75" customHeight="1">
      <c r="A1708" s="1" t="s">
        <v>2383</v>
      </c>
      <c r="B1708" s="2" t="s">
        <v>2381</v>
      </c>
      <c r="C1708" s="60" t="str">
        <f t="shared" si="348"/>
        <v>C.010.01.102</v>
      </c>
      <c r="D1708" s="51" t="s">
        <v>2379</v>
      </c>
      <c r="E1708" s="87" t="s">
        <v>2382</v>
      </c>
      <c r="F1708" s="63" t="str">
        <f t="shared" si="349"/>
        <v>Air traffic intercontinental (min weight/volume ratio 0.167 ton/m3) (tkm)</v>
      </c>
      <c r="G1708" s="64">
        <v>0.1605854973257</v>
      </c>
      <c r="H1708" s="10">
        <f t="shared" si="350"/>
        <v>0.1605854973</v>
      </c>
      <c r="I1708" s="65">
        <v>0.0019293349662</v>
      </c>
      <c r="J1708" s="65">
        <v>0.0211580406265</v>
      </c>
      <c r="K1708" s="65">
        <v>0.050817121733</v>
      </c>
      <c r="L1708" s="65">
        <v>0.086681</v>
      </c>
      <c r="N1708" s="66">
        <v>0.5778733333333333</v>
      </c>
      <c r="O1708" s="10">
        <f t="shared" si="351"/>
        <v>0.5778733333</v>
      </c>
      <c r="Q1708" s="67">
        <v>9.0835468</v>
      </c>
      <c r="S1708" s="68">
        <v>0.015834029</v>
      </c>
      <c r="T1708" s="68">
        <v>0.01464051</v>
      </c>
      <c r="U1708" s="68">
        <v>5.4701299E-4</v>
      </c>
      <c r="V1708" s="68">
        <v>6.4650602E-4</v>
      </c>
      <c r="X1708" s="69">
        <v>3.3033181E-5</v>
      </c>
    </row>
    <row r="1709" ht="12.75" customHeight="1">
      <c r="A1709" s="1" t="s">
        <v>2384</v>
      </c>
      <c r="B1709" s="2" t="s">
        <v>2381</v>
      </c>
      <c r="C1709" s="60" t="str">
        <f t="shared" si="348"/>
        <v>C.010.01.103</v>
      </c>
      <c r="D1709" s="51" t="s">
        <v>2379</v>
      </c>
      <c r="E1709" s="87" t="s">
        <v>2385</v>
      </c>
      <c r="F1709" s="63" t="str">
        <f t="shared" si="349"/>
        <v>Air traffic continental (max weight/volume ratio 0.167 ton/m3) (m3km)*</v>
      </c>
      <c r="G1709" s="64">
        <v>0.059943567155909996</v>
      </c>
      <c r="H1709" s="10">
        <f t="shared" si="350"/>
        <v>0.05994356716</v>
      </c>
      <c r="I1709" s="65">
        <v>7.896772028E-4</v>
      </c>
      <c r="J1709" s="65">
        <v>0.00287587991111</v>
      </c>
      <c r="K1709" s="65">
        <v>0.020799458041999997</v>
      </c>
      <c r="L1709" s="65">
        <v>0.035478552</v>
      </c>
      <c r="N1709" s="66">
        <v>0.23652368</v>
      </c>
      <c r="O1709" s="10">
        <f t="shared" si="351"/>
        <v>0.23652368</v>
      </c>
      <c r="Q1709" s="67">
        <v>3.7178976</v>
      </c>
      <c r="S1709" s="68">
        <v>0.0046956351</v>
      </c>
      <c r="T1709" s="68">
        <v>0.0042402136</v>
      </c>
      <c r="U1709" s="68">
        <v>1.9080637E-4</v>
      </c>
      <c r="V1709" s="68">
        <v>2.6461505E-4</v>
      </c>
      <c r="X1709" s="69">
        <v>1.1927249E-5</v>
      </c>
    </row>
    <row r="1710" ht="12.75" customHeight="1">
      <c r="A1710" s="1" t="s">
        <v>2386</v>
      </c>
      <c r="B1710" s="2" t="s">
        <v>2381</v>
      </c>
      <c r="C1710" s="60" t="str">
        <f t="shared" si="348"/>
        <v>C.010.01.104</v>
      </c>
      <c r="D1710" s="51" t="s">
        <v>2379</v>
      </c>
      <c r="E1710" s="87" t="s">
        <v>2385</v>
      </c>
      <c r="F1710" s="63" t="str">
        <f t="shared" si="349"/>
        <v>Air traffic intercontinental (max weight/volume ratio 0.167 ton/m3) (m3km)*</v>
      </c>
      <c r="G1710" s="64">
        <v>0.02683880157779</v>
      </c>
      <c r="H1710" s="10">
        <f t="shared" si="350"/>
        <v>0.02683880158</v>
      </c>
      <c r="I1710" s="65">
        <v>3.2245152189999996E-4</v>
      </c>
      <c r="J1710" s="65">
        <v>0.0035361628137899996</v>
      </c>
      <c r="K1710" s="65">
        <v>0.008493112242099999</v>
      </c>
      <c r="L1710" s="65">
        <v>0.014487075</v>
      </c>
      <c r="N1710" s="66">
        <v>0.0965805</v>
      </c>
      <c r="O1710" s="10">
        <f t="shared" si="351"/>
        <v>0.0965805</v>
      </c>
      <c r="Q1710" s="67">
        <v>1.5181415</v>
      </c>
      <c r="S1710" s="68">
        <v>0.0026463558</v>
      </c>
      <c r="T1710" s="68">
        <v>0.0024468818</v>
      </c>
      <c r="U1710" s="68">
        <v>9.1422783E-5</v>
      </c>
      <c r="V1710" s="68">
        <v>1.0805114E-4</v>
      </c>
      <c r="X1710" s="69">
        <v>5.5208659E-6</v>
      </c>
    </row>
    <row r="1711" ht="12.75" customHeight="1">
      <c r="A1711" s="1" t="s">
        <v>2387</v>
      </c>
      <c r="B1711" s="2" t="s">
        <v>2381</v>
      </c>
      <c r="C1711" s="60" t="str">
        <f t="shared" si="348"/>
        <v>C.010.01.105</v>
      </c>
      <c r="D1711" s="51" t="s">
        <v>2379</v>
      </c>
      <c r="E1711" s="87" t="s">
        <v>2388</v>
      </c>
      <c r="F1711" s="63" t="str">
        <f t="shared" si="349"/>
        <v>Air passenger continental</v>
      </c>
      <c r="G1711" s="64">
        <v>0.0358662341871</v>
      </c>
      <c r="H1711" s="10">
        <f t="shared" si="350"/>
        <v>0.03586623419</v>
      </c>
      <c r="I1711" s="65">
        <v>4.724901951E-4</v>
      </c>
      <c r="J1711" s="65">
        <v>0.001720734792</v>
      </c>
      <c r="K1711" s="65">
        <v>0.012445009200000001</v>
      </c>
      <c r="L1711" s="65">
        <v>0.021228</v>
      </c>
      <c r="N1711" s="66">
        <v>0.14152</v>
      </c>
      <c r="O1711" s="10">
        <f t="shared" si="351"/>
        <v>0.14152</v>
      </c>
      <c r="Q1711" s="67">
        <v>2.2245421</v>
      </c>
      <c r="S1711" s="68">
        <v>0.002809555</v>
      </c>
      <c r="T1711" s="68">
        <v>0.0025370612</v>
      </c>
      <c r="U1711" s="68">
        <v>1.1416581E-4</v>
      </c>
      <c r="V1711" s="68">
        <v>1.58328E-4</v>
      </c>
      <c r="X1711" s="69">
        <v>7.1364706E-6</v>
      </c>
    </row>
    <row r="1712" ht="12.75" customHeight="1">
      <c r="A1712" s="1" t="s">
        <v>2389</v>
      </c>
      <c r="B1712" s="2" t="s">
        <v>2381</v>
      </c>
      <c r="C1712" s="60" t="str">
        <f t="shared" si="348"/>
        <v>C.010.01.106</v>
      </c>
      <c r="D1712" s="51" t="s">
        <v>2379</v>
      </c>
      <c r="E1712" s="87" t="s">
        <v>2388</v>
      </c>
      <c r="F1712" s="63" t="str">
        <f t="shared" si="349"/>
        <v>Air passenger intercontinental</v>
      </c>
      <c r="G1712" s="64">
        <v>0.01605854973257</v>
      </c>
      <c r="H1712" s="10">
        <f t="shared" si="350"/>
        <v>0.01605854973</v>
      </c>
      <c r="I1712" s="65">
        <v>1.9293349661999998E-4</v>
      </c>
      <c r="J1712" s="65">
        <v>0.00211580406265</v>
      </c>
      <c r="K1712" s="65">
        <v>0.0050817121733</v>
      </c>
      <c r="L1712" s="65">
        <v>0.0086681</v>
      </c>
      <c r="N1712" s="66">
        <v>0.057787333333333336</v>
      </c>
      <c r="O1712" s="10">
        <f t="shared" si="351"/>
        <v>0.05778733333</v>
      </c>
      <c r="Q1712" s="67">
        <v>0.90835468</v>
      </c>
      <c r="S1712" s="68">
        <v>0.0015834029</v>
      </c>
      <c r="T1712" s="68">
        <v>0.001464051</v>
      </c>
      <c r="U1712" s="68">
        <v>5.4701299E-5</v>
      </c>
      <c r="V1712" s="68">
        <v>6.4650602E-5</v>
      </c>
      <c r="X1712" s="69">
        <v>3.3033181E-6</v>
      </c>
    </row>
    <row r="1713" ht="12.75" customHeight="1">
      <c r="B1713" s="2"/>
      <c r="C1713" s="60"/>
      <c r="D1713" s="75" t="s">
        <v>2390</v>
      </c>
      <c r="E1713" s="87"/>
      <c r="G1713" s="10"/>
      <c r="H1713" s="10"/>
      <c r="I1713" s="10"/>
      <c r="J1713" s="10"/>
      <c r="K1713" s="10"/>
      <c r="L1713" s="10"/>
      <c r="N1713" s="10"/>
      <c r="O1713" s="10"/>
      <c r="Q1713" s="67"/>
    </row>
    <row r="1714" ht="12.75" customHeight="1">
      <c r="A1714" s="1" t="s">
        <v>2391</v>
      </c>
      <c r="B1714" s="2" t="s">
        <v>2381</v>
      </c>
      <c r="C1714" s="60" t="str">
        <f t="shared" ref="C1714:C1715" si="352">MID(A1714,1,12)</f>
        <v>C.030.01.101</v>
      </c>
      <c r="D1714" s="51" t="s">
        <v>2390</v>
      </c>
      <c r="E1714" s="87" t="s">
        <v>2382</v>
      </c>
      <c r="F1714" s="63" t="str">
        <f t="shared" ref="F1714:F1715" si="353">MID(A1714, 21,85)</f>
        <v>Transport pipeline natural gas</v>
      </c>
      <c r="G1714" s="64">
        <v>0.01247153405063</v>
      </c>
      <c r="H1714" s="10">
        <f t="shared" ref="H1714:H1715" si="354">G1714</f>
        <v>0.01247153405</v>
      </c>
      <c r="I1714" s="65">
        <v>4.844079418E-4</v>
      </c>
      <c r="J1714" s="65">
        <v>6.775082298299999E-4</v>
      </c>
      <c r="K1714" s="65">
        <v>1.03015879E-4</v>
      </c>
      <c r="L1714" s="65">
        <v>0.011206602</v>
      </c>
      <c r="N1714" s="66">
        <v>0.07471068</v>
      </c>
      <c r="O1714" s="10">
        <f t="shared" ref="O1714:O1715" si="355">N1714</f>
        <v>0.07471068</v>
      </c>
      <c r="Q1714" s="67">
        <v>1.0351669</v>
      </c>
      <c r="S1714" s="68">
        <v>0.0013918865</v>
      </c>
      <c r="T1714" s="68">
        <v>0.0012597133</v>
      </c>
      <c r="U1714" s="68">
        <v>5.9404122E-5</v>
      </c>
      <c r="V1714" s="68">
        <v>7.2769088E-5</v>
      </c>
      <c r="X1714" s="69">
        <v>3.5533847E-6</v>
      </c>
    </row>
    <row r="1715" ht="12.75" customHeight="1">
      <c r="A1715" s="1" t="s">
        <v>2392</v>
      </c>
      <c r="B1715" s="2" t="s">
        <v>2381</v>
      </c>
      <c r="C1715" s="60" t="str">
        <f t="shared" si="352"/>
        <v>C.030.01.102</v>
      </c>
      <c r="D1715" s="51" t="s">
        <v>2390</v>
      </c>
      <c r="E1715" s="87" t="s">
        <v>2382</v>
      </c>
      <c r="F1715" s="63" t="str">
        <f t="shared" si="353"/>
        <v>Transport pipeline petroleum</v>
      </c>
      <c r="G1715" s="64">
        <v>0.0013534422246000001</v>
      </c>
      <c r="H1715" s="10">
        <f t="shared" si="354"/>
        <v>0.001353442225</v>
      </c>
      <c r="I1715" s="65">
        <v>4.2885534699999995E-5</v>
      </c>
      <c r="J1715" s="65">
        <v>8.8843858E-5</v>
      </c>
      <c r="K1715" s="65">
        <v>2.147713319E-4</v>
      </c>
      <c r="L1715" s="65">
        <v>0.0010069415</v>
      </c>
      <c r="N1715" s="66">
        <v>0.006712943333333334</v>
      </c>
      <c r="O1715" s="10">
        <f t="shared" si="355"/>
        <v>0.006712943333</v>
      </c>
      <c r="Q1715" s="67">
        <v>0.12812707</v>
      </c>
      <c r="S1715" s="68">
        <v>1.2786194E-4</v>
      </c>
      <c r="T1715" s="68">
        <v>1.2009608E-4</v>
      </c>
      <c r="U1715" s="68">
        <v>5.4208725E-6</v>
      </c>
      <c r="V1715" s="68">
        <v>2.344985E-6</v>
      </c>
      <c r="X1715" s="69">
        <v>3.4006231E-7</v>
      </c>
    </row>
    <row r="1716" ht="12.75" customHeight="1">
      <c r="B1716" s="2"/>
      <c r="C1716" s="60"/>
      <c r="D1716" s="75" t="s">
        <v>2393</v>
      </c>
      <c r="E1716" s="87"/>
      <c r="G1716" s="10"/>
      <c r="H1716" s="10"/>
      <c r="I1716" s="10"/>
      <c r="J1716" s="10"/>
      <c r="K1716" s="10"/>
      <c r="L1716" s="10"/>
      <c r="N1716" s="10"/>
      <c r="O1716" s="10"/>
      <c r="Q1716" s="67"/>
    </row>
    <row r="1717" ht="12.75" customHeight="1">
      <c r="A1717" s="1" t="s">
        <v>2394</v>
      </c>
      <c r="B1717" s="2" t="s">
        <v>2381</v>
      </c>
      <c r="C1717" s="60" t="str">
        <f t="shared" ref="C1717:C1719" si="356">MID(A1717,1,12)</f>
        <v>C.050.01.101</v>
      </c>
      <c r="D1717" s="51" t="s">
        <v>2393</v>
      </c>
      <c r="E1717" s="87" t="s">
        <v>2382</v>
      </c>
      <c r="F1717" s="63" t="str">
        <f t="shared" ref="F1717:F1719" si="357">MID(A1717, 21,85)</f>
        <v>Train freight diesel (tkm)</v>
      </c>
      <c r="G1717" s="64">
        <v>0.004984430415300001</v>
      </c>
      <c r="H1717" s="10">
        <f t="shared" ref="H1717:H1719" si="358">G1717</f>
        <v>0.004984430415</v>
      </c>
      <c r="I1717" s="65">
        <v>1.242016089E-4</v>
      </c>
      <c r="J1717" s="65">
        <v>2.6097496160000006E-4</v>
      </c>
      <c r="K1717" s="65">
        <v>0.0016762998448</v>
      </c>
      <c r="L1717" s="65">
        <v>0.002922954</v>
      </c>
      <c r="N1717" s="66">
        <v>0.01948636</v>
      </c>
      <c r="O1717" s="10">
        <f t="shared" ref="O1717:O1719" si="359">N1717</f>
        <v>0.01948636</v>
      </c>
      <c r="Q1717" s="67">
        <v>0.30290106</v>
      </c>
      <c r="S1717" s="68">
        <v>3.7130483E-4</v>
      </c>
      <c r="T1717" s="68">
        <v>3.3488986E-4</v>
      </c>
      <c r="U1717" s="68">
        <v>1.5451495E-5</v>
      </c>
      <c r="V1717" s="68">
        <v>2.0963472E-5</v>
      </c>
      <c r="X1717" s="69">
        <v>9.955905E-7</v>
      </c>
    </row>
    <row r="1718" ht="12.75" customHeight="1">
      <c r="A1718" s="1" t="s">
        <v>2395</v>
      </c>
      <c r="B1718" s="2" t="s">
        <v>2381</v>
      </c>
      <c r="C1718" s="60" t="str">
        <f t="shared" si="356"/>
        <v>C.050.01.102</v>
      </c>
      <c r="D1718" s="51" t="s">
        <v>2393</v>
      </c>
      <c r="E1718" s="87" t="s">
        <v>2382</v>
      </c>
      <c r="F1718" s="63" t="str">
        <f t="shared" si="357"/>
        <v>Train freight electric (tkm)</v>
      </c>
      <c r="G1718" s="64">
        <v>0.0018167010346</v>
      </c>
      <c r="H1718" s="10">
        <f t="shared" si="358"/>
        <v>0.001816701035</v>
      </c>
      <c r="I1718" s="65">
        <v>5.75644753E-5</v>
      </c>
      <c r="J1718" s="65">
        <v>1.19253501E-4</v>
      </c>
      <c r="K1718" s="65">
        <v>2.882836583E-4</v>
      </c>
      <c r="L1718" s="65">
        <v>0.0013515994</v>
      </c>
      <c r="N1718" s="66">
        <v>0.009010662666666667</v>
      </c>
      <c r="O1718" s="10">
        <f t="shared" si="359"/>
        <v>0.009010662667</v>
      </c>
      <c r="Q1718" s="67">
        <v>0.17198264</v>
      </c>
      <c r="S1718" s="68">
        <v>1.7162676E-4</v>
      </c>
      <c r="T1718" s="68">
        <v>1.6120279E-4</v>
      </c>
      <c r="U1718" s="68">
        <v>7.2763389E-6</v>
      </c>
      <c r="V1718" s="68">
        <v>3.1476309E-6</v>
      </c>
      <c r="X1718" s="69">
        <v>4.5645948E-7</v>
      </c>
    </row>
    <row r="1719" ht="12.75" customHeight="1">
      <c r="A1719" s="1" t="s">
        <v>2396</v>
      </c>
      <c r="B1719" s="2" t="s">
        <v>2381</v>
      </c>
      <c r="C1719" s="60" t="str">
        <f t="shared" si="356"/>
        <v>C.050.01.103</v>
      </c>
      <c r="D1719" s="51" t="s">
        <v>2393</v>
      </c>
      <c r="E1719" s="87" t="s">
        <v>2388</v>
      </c>
      <c r="F1719" s="63" t="str">
        <f t="shared" si="357"/>
        <v>Passenger-kilometer per train</v>
      </c>
      <c r="G1719" s="64">
        <v>0.008175154502</v>
      </c>
      <c r="H1719" s="10">
        <f t="shared" si="358"/>
        <v>0.008175154502</v>
      </c>
      <c r="I1719" s="65">
        <v>2.59040145E-4</v>
      </c>
      <c r="J1719" s="65">
        <v>5.366407499999999E-4</v>
      </c>
      <c r="K1719" s="65">
        <v>0.0012972765070000001</v>
      </c>
      <c r="L1719" s="65">
        <v>0.0060821971</v>
      </c>
      <c r="N1719" s="66">
        <v>0.040547980666666664</v>
      </c>
      <c r="O1719" s="10">
        <f t="shared" si="359"/>
        <v>0.04054798067</v>
      </c>
      <c r="Q1719" s="67">
        <v>0.77392189</v>
      </c>
      <c r="S1719" s="68">
        <v>7.7232044E-4</v>
      </c>
      <c r="T1719" s="68">
        <v>7.2541257E-4</v>
      </c>
      <c r="U1719" s="68">
        <v>3.2743525E-5</v>
      </c>
      <c r="V1719" s="68">
        <v>1.4164339E-5</v>
      </c>
      <c r="X1719" s="69">
        <v>2.0540677E-6</v>
      </c>
    </row>
    <row r="1720" ht="12.75" customHeight="1">
      <c r="B1720" s="2"/>
      <c r="C1720" s="60"/>
      <c r="D1720" s="75" t="s">
        <v>2397</v>
      </c>
      <c r="E1720" s="87"/>
      <c r="G1720" s="10"/>
      <c r="H1720" s="10"/>
      <c r="I1720" s="10"/>
      <c r="J1720" s="10"/>
      <c r="K1720" s="10"/>
      <c r="L1720" s="10"/>
      <c r="N1720" s="10"/>
      <c r="O1720" s="10"/>
      <c r="Q1720" s="67"/>
    </row>
    <row r="1721" ht="12.75" customHeight="1">
      <c r="A1721" s="1" t="s">
        <v>2398</v>
      </c>
      <c r="B1721" s="2" t="s">
        <v>2381</v>
      </c>
      <c r="C1721" s="60" t="str">
        <f t="shared" ref="C1721:C1726" si="360">MID(A1721,1,12)</f>
        <v>C.060.01.103</v>
      </c>
      <c r="D1721" s="51" t="s">
        <v>2397</v>
      </c>
      <c r="E1721" s="87" t="s">
        <v>2382</v>
      </c>
      <c r="F1721" s="63" t="str">
        <f t="shared" ref="F1721:F1726" si="361">MID(A1721, 21,85)</f>
        <v>Tractor (240 pk) - B7 diesel</v>
      </c>
      <c r="G1721" s="64">
        <v>0.05651491725</v>
      </c>
      <c r="H1721" s="10">
        <f t="shared" ref="H1721:H1726" si="362">G1721</f>
        <v>0.05651491725</v>
      </c>
      <c r="I1721" s="65">
        <v>0.00140823386</v>
      </c>
      <c r="J1721" s="65">
        <v>0.00295900983</v>
      </c>
      <c r="K1721" s="65">
        <v>0.01900637356</v>
      </c>
      <c r="L1721" s="65">
        <v>0.0331413</v>
      </c>
      <c r="N1721" s="66">
        <v>0.220942</v>
      </c>
      <c r="O1721" s="10">
        <f t="shared" ref="O1721:O1757" si="363">N1721</f>
        <v>0.220942</v>
      </c>
      <c r="Q1721" s="67">
        <v>3.43438</v>
      </c>
      <c r="S1721" s="68">
        <v>0.0042099618</v>
      </c>
      <c r="T1721" s="68">
        <v>0.0037970783</v>
      </c>
      <c r="U1721" s="68">
        <v>1.7519353E-4</v>
      </c>
      <c r="V1721" s="68">
        <v>2.3768993E-4</v>
      </c>
      <c r="X1721" s="69">
        <v>1.1288294E-5</v>
      </c>
    </row>
    <row r="1722" ht="12.75" customHeight="1">
      <c r="A1722" s="1" t="s">
        <v>2399</v>
      </c>
      <c r="B1722" s="2" t="s">
        <v>2381</v>
      </c>
      <c r="C1722" s="60" t="str">
        <f t="shared" si="360"/>
        <v>C.060.01.104</v>
      </c>
      <c r="D1722" s="51" t="s">
        <v>2397</v>
      </c>
      <c r="E1722" s="87" t="s">
        <v>712</v>
      </c>
      <c r="F1722" s="63" t="str">
        <f t="shared" si="361"/>
        <v>Truck +trailer  Euro 6 - B7 diesel (output per meter)</v>
      </c>
      <c r="G1722" s="64">
        <v>3.0514164068697324E-4</v>
      </c>
      <c r="H1722" s="10">
        <f t="shared" si="362"/>
        <v>0.0003051416407</v>
      </c>
      <c r="I1722" s="65">
        <v>3.2653814205E-5</v>
      </c>
      <c r="J1722" s="65">
        <v>4.2780667610000004E-5</v>
      </c>
      <c r="K1722" s="65">
        <v>7.488632887197325E-5</v>
      </c>
      <c r="L1722" s="65">
        <v>1.5482083E-4</v>
      </c>
      <c r="N1722" s="66">
        <v>0.0010321388666666668</v>
      </c>
      <c r="O1722" s="10">
        <f t="shared" si="363"/>
        <v>0.001032138867</v>
      </c>
      <c r="Q1722" s="67">
        <v>0.017660325</v>
      </c>
      <c r="S1722" s="68">
        <v>2.2265616E-5</v>
      </c>
      <c r="T1722" s="68">
        <v>2.018729E-5</v>
      </c>
      <c r="U1722" s="68">
        <v>9.1132643E-7</v>
      </c>
      <c r="V1722" s="68">
        <v>1.1669986E-6</v>
      </c>
      <c r="X1722" s="69">
        <v>6.0011526E-8</v>
      </c>
    </row>
    <row r="1723" ht="12.75" customHeight="1">
      <c r="A1723" s="1" t="s">
        <v>2400</v>
      </c>
      <c r="B1723" s="2" t="s">
        <v>2381</v>
      </c>
      <c r="C1723" s="60" t="str">
        <f t="shared" si="360"/>
        <v>C.060.01.105</v>
      </c>
      <c r="D1723" s="51" t="s">
        <v>2397</v>
      </c>
      <c r="E1723" s="87" t="s">
        <v>2382</v>
      </c>
      <c r="F1723" s="63" t="str">
        <f t="shared" si="361"/>
        <v>Truck+container 28 tonne net B7(min weight/volume ratio 0.41 t/m3) (tkm)</v>
      </c>
      <c r="G1723" s="64">
        <v>0.021795831708983804</v>
      </c>
      <c r="H1723" s="10">
        <f t="shared" si="362"/>
        <v>0.02179583171</v>
      </c>
      <c r="I1723" s="65">
        <v>0.0023324152603999997</v>
      </c>
      <c r="J1723" s="65">
        <v>0.003055761885</v>
      </c>
      <c r="K1723" s="65">
        <v>0.005349023563583803</v>
      </c>
      <c r="L1723" s="65">
        <v>0.011058631</v>
      </c>
      <c r="N1723" s="66">
        <v>0.07372420666666667</v>
      </c>
      <c r="O1723" s="10">
        <f t="shared" si="363"/>
        <v>0.07372420667</v>
      </c>
      <c r="Q1723" s="67">
        <v>1.2614518</v>
      </c>
      <c r="S1723" s="68">
        <v>0.0015904011</v>
      </c>
      <c r="T1723" s="68">
        <v>0.0014419493</v>
      </c>
      <c r="U1723" s="68">
        <v>6.5094745E-5</v>
      </c>
      <c r="V1723" s="68">
        <v>8.3357043E-5</v>
      </c>
      <c r="X1723" s="69">
        <v>4.2865376E-6</v>
      </c>
    </row>
    <row r="1724" ht="12.75" customHeight="1">
      <c r="A1724" s="1" t="s">
        <v>2401</v>
      </c>
      <c r="B1724" s="2" t="s">
        <v>2381</v>
      </c>
      <c r="C1724" s="60" t="str">
        <f t="shared" si="360"/>
        <v>C.060.01.106</v>
      </c>
      <c r="D1724" s="51" t="s">
        <v>2397</v>
      </c>
      <c r="E1724" s="87" t="s">
        <v>2382</v>
      </c>
      <c r="F1724" s="63" t="str">
        <f t="shared" si="361"/>
        <v>Truck+trailer 24 tonne net B7 (min weight/volume ratio 0.32 t/m3) (tkm)</v>
      </c>
      <c r="G1724" s="64">
        <v>0.025428470227397772</v>
      </c>
      <c r="H1724" s="10">
        <f t="shared" si="362"/>
        <v>0.02542847023</v>
      </c>
      <c r="I1724" s="65">
        <v>0.0027211512004</v>
      </c>
      <c r="J1724" s="65">
        <v>0.0035650556509999997</v>
      </c>
      <c r="K1724" s="65">
        <v>0.006240527375997771</v>
      </c>
      <c r="L1724" s="65">
        <v>0.012901736</v>
      </c>
      <c r="N1724" s="66">
        <v>0.08601157333333334</v>
      </c>
      <c r="O1724" s="10">
        <f t="shared" si="363"/>
        <v>0.08601157333</v>
      </c>
      <c r="Q1724" s="67">
        <v>1.4716938</v>
      </c>
      <c r="S1724" s="68">
        <v>0.001855468</v>
      </c>
      <c r="T1724" s="68">
        <v>0.0016822742</v>
      </c>
      <c r="U1724" s="68">
        <v>7.5943869E-5</v>
      </c>
      <c r="V1724" s="68">
        <v>9.7249883E-5</v>
      </c>
      <c r="X1724" s="69">
        <v>5.0009605E-6</v>
      </c>
    </row>
    <row r="1725" ht="12.75" customHeight="1">
      <c r="A1725" s="1" t="s">
        <v>2402</v>
      </c>
      <c r="B1725" s="2" t="s">
        <v>2381</v>
      </c>
      <c r="C1725" s="60" t="str">
        <f t="shared" si="360"/>
        <v>C.060.01.107</v>
      </c>
      <c r="D1725" s="51" t="s">
        <v>2397</v>
      </c>
      <c r="E1725" s="87" t="s">
        <v>2385</v>
      </c>
      <c r="F1725" s="63" t="str">
        <f t="shared" si="361"/>
        <v>Truck+container 28 tonne net B7 (max weight/volume ratio 0.41 t/m3) (m3km)</v>
      </c>
      <c r="G1725" s="64">
        <v>0.008935333600155512</v>
      </c>
      <c r="H1725" s="10">
        <f t="shared" si="362"/>
        <v>0.0089353336</v>
      </c>
      <c r="I1725" s="65">
        <v>9.561878176E-4</v>
      </c>
      <c r="J1725" s="65">
        <v>0.001252728182</v>
      </c>
      <c r="K1725" s="65">
        <v>0.0021928647005555126</v>
      </c>
      <c r="L1725" s="65">
        <v>0.0045335529</v>
      </c>
      <c r="N1725" s="66">
        <v>0.030223686</v>
      </c>
      <c r="O1725" s="10">
        <f t="shared" si="363"/>
        <v>0.030223686</v>
      </c>
      <c r="Q1725" s="67">
        <v>0.51713983</v>
      </c>
      <c r="S1725" s="68">
        <v>6.519946E-4</v>
      </c>
      <c r="T1725" s="68">
        <v>5.9113588E-4</v>
      </c>
      <c r="U1725" s="68">
        <v>2.6685986E-5</v>
      </c>
      <c r="V1725" s="68">
        <v>3.4172726E-5</v>
      </c>
      <c r="X1725" s="69">
        <v>1.7572921E-6</v>
      </c>
    </row>
    <row r="1726" ht="12.75" customHeight="1">
      <c r="A1726" s="1" t="s">
        <v>2403</v>
      </c>
      <c r="B1726" s="2" t="s">
        <v>2381</v>
      </c>
      <c r="C1726" s="60" t="str">
        <f t="shared" si="360"/>
        <v>C.060.01.108</v>
      </c>
      <c r="D1726" s="51" t="s">
        <v>2397</v>
      </c>
      <c r="E1726" s="87" t="s">
        <v>2385</v>
      </c>
      <c r="F1726" s="63" t="str">
        <f t="shared" si="361"/>
        <v>Truck+trailer 24 tonne net B7 (max weight/volume ratio 0.32 t/m3) (m3km)</v>
      </c>
      <c r="G1726" s="64">
        <v>0.008137110476019286</v>
      </c>
      <c r="H1726" s="10">
        <f t="shared" si="362"/>
        <v>0.008137110476</v>
      </c>
      <c r="I1726" s="65">
        <v>8.707683721E-4</v>
      </c>
      <c r="J1726" s="65">
        <v>0.0011408178</v>
      </c>
      <c r="K1726" s="65">
        <v>0.0019969688039192866</v>
      </c>
      <c r="L1726" s="65">
        <v>0.0041285555</v>
      </c>
      <c r="N1726" s="66">
        <v>0.027523703333333333</v>
      </c>
      <c r="O1726" s="10">
        <f t="shared" si="363"/>
        <v>0.02752370333</v>
      </c>
      <c r="Q1726" s="67">
        <v>0.47094201</v>
      </c>
      <c r="S1726" s="68">
        <v>5.9374975E-4</v>
      </c>
      <c r="T1726" s="68">
        <v>5.3832775E-4</v>
      </c>
      <c r="U1726" s="68">
        <v>2.4302038E-5</v>
      </c>
      <c r="V1726" s="68">
        <v>3.1119963E-5</v>
      </c>
      <c r="X1726" s="69">
        <v>1.6003074E-6</v>
      </c>
    </row>
    <row r="1727" ht="12.75" customHeight="1">
      <c r="B1727" s="2"/>
      <c r="C1727" s="60"/>
      <c r="D1727" s="75" t="s">
        <v>2404</v>
      </c>
      <c r="E1727" s="87"/>
      <c r="G1727" s="10"/>
      <c r="H1727" s="10"/>
      <c r="I1727" s="10"/>
      <c r="J1727" s="10"/>
      <c r="K1727" s="10"/>
      <c r="L1727" s="10"/>
      <c r="N1727" s="10"/>
      <c r="O1727" s="10" t="str">
        <f t="shared" si="363"/>
        <v/>
      </c>
      <c r="Q1727" s="67"/>
    </row>
    <row r="1728" ht="12.75" customHeight="1">
      <c r="A1728" s="1" t="s">
        <v>2405</v>
      </c>
      <c r="B1728" s="2" t="s">
        <v>2381</v>
      </c>
      <c r="C1728" s="60" t="str">
        <f t="shared" ref="C1728:C1732" si="364">MID(A1728,1,12)</f>
        <v>C.060.03.104</v>
      </c>
      <c r="D1728" s="51" t="s">
        <v>2404</v>
      </c>
      <c r="E1728" s="87" t="s">
        <v>712</v>
      </c>
      <c r="F1728" s="63" t="str">
        <f t="shared" ref="F1728:F1732" si="365">MID(A1728, 21,85)</f>
        <v>Truck +trailer  Euro 6 - HVO diesel from tallow waste (output per meter)</v>
      </c>
      <c r="G1728" s="64">
        <v>1.0599374184034465E-4</v>
      </c>
      <c r="H1728" s="10">
        <f t="shared" ref="H1728:H1744" si="366">G1728</f>
        <v>0.0001059937418</v>
      </c>
      <c r="I1728" s="65">
        <v>2.8068765175999998E-5</v>
      </c>
      <c r="J1728" s="65">
        <v>3.28406402071E-5</v>
      </c>
      <c r="K1728" s="65">
        <v>4.83725945724465E-6</v>
      </c>
      <c r="L1728" s="65">
        <v>4.0247077E-5</v>
      </c>
      <c r="N1728" s="66">
        <v>2.683138466666667E-4</v>
      </c>
      <c r="O1728" s="10">
        <f t="shared" si="363"/>
        <v>0.0002683138467</v>
      </c>
      <c r="Q1728" s="67">
        <v>0.015348173</v>
      </c>
      <c r="S1728" s="68">
        <v>7.8237995E-6</v>
      </c>
      <c r="T1728" s="68">
        <v>7.1761751E-6</v>
      </c>
      <c r="U1728" s="68">
        <v>3.0829128E-7</v>
      </c>
      <c r="V1728" s="68">
        <v>3.3933315E-7</v>
      </c>
      <c r="X1728" s="69">
        <v>2.0943336E-8</v>
      </c>
    </row>
    <row r="1729" ht="12.75" customHeight="1">
      <c r="A1729" s="1" t="s">
        <v>2406</v>
      </c>
      <c r="B1729" s="2" t="s">
        <v>2381</v>
      </c>
      <c r="C1729" s="60" t="str">
        <f t="shared" si="364"/>
        <v>C.060.03.105</v>
      </c>
      <c r="D1729" s="51" t="s">
        <v>2404</v>
      </c>
      <c r="E1729" s="87" t="s">
        <v>2382</v>
      </c>
      <c r="F1729" s="63" t="str">
        <f t="shared" si="365"/>
        <v>Truck+container 28 tonne net HVO (min weight/volume ratio 0.41 t/m3) (tkm)</v>
      </c>
      <c r="G1729" s="64">
        <v>0.007570981546788902</v>
      </c>
      <c r="H1729" s="10">
        <f t="shared" si="366"/>
        <v>0.007570981547</v>
      </c>
      <c r="I1729" s="65">
        <v>0.0020049118254</v>
      </c>
      <c r="J1729" s="65">
        <v>0.0023457599928</v>
      </c>
      <c r="K1729" s="65">
        <v>3.45518528588903E-4</v>
      </c>
      <c r="L1729" s="65">
        <v>0.0028747912</v>
      </c>
      <c r="N1729" s="66">
        <v>0.019165274666666666</v>
      </c>
      <c r="O1729" s="10">
        <f t="shared" si="363"/>
        <v>0.01916527467</v>
      </c>
      <c r="Q1729" s="67">
        <v>1.0962981</v>
      </c>
      <c r="S1729" s="68">
        <v>5.5884282E-4</v>
      </c>
      <c r="T1729" s="68">
        <v>5.1258394E-4</v>
      </c>
      <c r="U1729" s="68">
        <v>2.2020806E-5</v>
      </c>
      <c r="V1729" s="68">
        <v>2.4238081999999998E-5</v>
      </c>
      <c r="X1729" s="69">
        <v>1.4959526E-6</v>
      </c>
    </row>
    <row r="1730" ht="12.75" customHeight="1">
      <c r="A1730" s="1" t="s">
        <v>2407</v>
      </c>
      <c r="B1730" s="2" t="s">
        <v>2381</v>
      </c>
      <c r="C1730" s="60" t="str">
        <f t="shared" si="364"/>
        <v>C.060.03.106</v>
      </c>
      <c r="D1730" s="51" t="s">
        <v>2404</v>
      </c>
      <c r="E1730" s="87" t="s">
        <v>2382</v>
      </c>
      <c r="F1730" s="63" t="str">
        <f t="shared" si="365"/>
        <v>Truck+trailer 24 tonne net HVO (min weight/volume ratio 0.32 t/m3) (tkm)</v>
      </c>
      <c r="G1730" s="64">
        <v>0.008832811854783719</v>
      </c>
      <c r="H1730" s="10">
        <f t="shared" si="366"/>
        <v>0.008832811855</v>
      </c>
      <c r="I1730" s="65">
        <v>0.0023390638114</v>
      </c>
      <c r="J1730" s="65">
        <v>0.00273671998693</v>
      </c>
      <c r="K1730" s="65">
        <v>4.0310495645372E-4</v>
      </c>
      <c r="L1730" s="65">
        <v>0.0033539231</v>
      </c>
      <c r="N1730" s="66">
        <v>0.022359487333333334</v>
      </c>
      <c r="O1730" s="10">
        <f t="shared" si="363"/>
        <v>0.02235948733</v>
      </c>
      <c r="Q1730" s="67">
        <v>1.2790144</v>
      </c>
      <c r="S1730" s="68">
        <v>6.5198329E-4</v>
      </c>
      <c r="T1730" s="68">
        <v>5.9801459E-4</v>
      </c>
      <c r="U1730" s="68">
        <v>2.569094E-5</v>
      </c>
      <c r="V1730" s="68">
        <v>2.8277762E-5</v>
      </c>
      <c r="X1730" s="69">
        <v>1.745278E-6</v>
      </c>
    </row>
    <row r="1731" ht="12.75" customHeight="1">
      <c r="A1731" s="1" t="s">
        <v>2408</v>
      </c>
      <c r="B1731" s="2" t="s">
        <v>2381</v>
      </c>
      <c r="C1731" s="60" t="str">
        <f t="shared" si="364"/>
        <v>C.060.03.107</v>
      </c>
      <c r="D1731" s="51" t="s">
        <v>2404</v>
      </c>
      <c r="E1731" s="87" t="s">
        <v>2385</v>
      </c>
      <c r="F1731" s="63" t="str">
        <f t="shared" si="365"/>
        <v>Truck+container 28 tonne net HVO (max weight/volume ratio 0.41 t/m3) (m3km)</v>
      </c>
      <c r="G1731" s="64">
        <v>0.0031037698611905903</v>
      </c>
      <c r="H1731" s="10">
        <f t="shared" si="366"/>
        <v>0.003103769861</v>
      </c>
      <c r="I1731" s="65">
        <v>8.219257734000001E-4</v>
      </c>
      <c r="J1731" s="65">
        <v>9.6165856576E-4</v>
      </c>
      <c r="K1731" s="65">
        <v>1.416474220305899E-4</v>
      </c>
      <c r="L1731" s="65">
        <v>0.0011785381</v>
      </c>
      <c r="N1731" s="66">
        <v>0.007856920666666668</v>
      </c>
      <c r="O1731" s="10">
        <f t="shared" si="363"/>
        <v>0.007856920667</v>
      </c>
      <c r="Q1731" s="67">
        <v>0.44943405</v>
      </c>
      <c r="S1731" s="68">
        <v>2.2910101E-4</v>
      </c>
      <c r="T1731" s="68">
        <v>2.101369E-4</v>
      </c>
      <c r="U1731" s="68">
        <v>9.0275631E-6</v>
      </c>
      <c r="V1731" s="68">
        <v>9.9365489E-6</v>
      </c>
      <c r="X1731" s="69">
        <v>6.1327485E-7</v>
      </c>
    </row>
    <row r="1732" ht="12.75" customHeight="1">
      <c r="A1732" s="1" t="s">
        <v>2409</v>
      </c>
      <c r="B1732" s="2" t="s">
        <v>2381</v>
      </c>
      <c r="C1732" s="60" t="str">
        <f t="shared" si="364"/>
        <v>C.060.03.108</v>
      </c>
      <c r="D1732" s="51" t="s">
        <v>2404</v>
      </c>
      <c r="E1732" s="87" t="s">
        <v>2385</v>
      </c>
      <c r="F1732" s="63" t="str">
        <f t="shared" si="365"/>
        <v>Truck+trailer 24 tonne net HVO (max weight/volume ratio 0.32 t/m3) (m3km)</v>
      </c>
      <c r="G1732" s="64">
        <v>0.0028264997912431904</v>
      </c>
      <c r="H1732" s="10">
        <f t="shared" si="366"/>
        <v>0.002826499791</v>
      </c>
      <c r="I1732" s="65">
        <v>7.4850040801E-4</v>
      </c>
      <c r="J1732" s="65">
        <v>8.7575039736E-4</v>
      </c>
      <c r="K1732" s="65">
        <v>1.289935858731905E-4</v>
      </c>
      <c r="L1732" s="65">
        <v>0.0010732554</v>
      </c>
      <c r="N1732" s="66">
        <v>0.007155036000000001</v>
      </c>
      <c r="O1732" s="10">
        <f t="shared" si="363"/>
        <v>0.007155036</v>
      </c>
      <c r="Q1732" s="67">
        <v>0.40928461</v>
      </c>
      <c r="S1732" s="68">
        <v>2.0863465E-4</v>
      </c>
      <c r="T1732" s="68">
        <v>1.9136467E-4</v>
      </c>
      <c r="U1732" s="68">
        <v>8.2211008E-6</v>
      </c>
      <c r="V1732" s="68">
        <v>9.0488839E-6</v>
      </c>
      <c r="X1732" s="69">
        <v>5.5848896E-7</v>
      </c>
    </row>
    <row r="1733" ht="12.75" customHeight="1">
      <c r="B1733" s="2"/>
      <c r="C1733" s="60"/>
      <c r="D1733" s="75" t="s">
        <v>2410</v>
      </c>
      <c r="E1733" s="87"/>
      <c r="G1733" s="10"/>
      <c r="H1733" s="10" t="str">
        <f t="shared" si="366"/>
        <v/>
      </c>
      <c r="I1733" s="10"/>
      <c r="J1733" s="10"/>
      <c r="K1733" s="10"/>
      <c r="L1733" s="10"/>
      <c r="N1733" s="10"/>
      <c r="O1733" s="10" t="str">
        <f t="shared" si="363"/>
        <v/>
      </c>
      <c r="Q1733" s="67"/>
    </row>
    <row r="1734" ht="12.75" customHeight="1">
      <c r="A1734" s="1" t="s">
        <v>2411</v>
      </c>
      <c r="B1734" s="2" t="s">
        <v>2381</v>
      </c>
      <c r="C1734" s="60" t="str">
        <f t="shared" ref="C1734:C1738" si="367">MID(A1734,1,12)</f>
        <v>C.060.05.104</v>
      </c>
      <c r="D1734" s="51" t="s">
        <v>2410</v>
      </c>
      <c r="E1734" s="87" t="s">
        <v>712</v>
      </c>
      <c r="F1734" s="63" t="str">
        <f t="shared" ref="F1734:F1738" si="368">MID(A1734, 21,85)</f>
        <v>Truck +trailer Electric EU (output per meter)</v>
      </c>
      <c r="G1734" s="64">
        <v>1.6521873963032255E-4</v>
      </c>
      <c r="H1734" s="10">
        <f t="shared" si="366"/>
        <v>0.0001652187396</v>
      </c>
      <c r="I1734" s="65">
        <v>2.2428849259999997E-5</v>
      </c>
      <c r="J1734" s="65">
        <v>3.722380547159E-5</v>
      </c>
      <c r="K1734" s="65">
        <v>4.176634089873256E-5</v>
      </c>
      <c r="L1734" s="65">
        <v>6.3799744E-5</v>
      </c>
      <c r="N1734" s="66">
        <v>4.253316266666667E-4</v>
      </c>
      <c r="O1734" s="10">
        <f t="shared" si="363"/>
        <v>0.0004253316267</v>
      </c>
      <c r="Q1734" s="67">
        <v>0.012476484</v>
      </c>
      <c r="S1734" s="68">
        <v>1.3073602E-5</v>
      </c>
      <c r="T1734" s="68">
        <v>1.2288949E-5</v>
      </c>
      <c r="U1734" s="68">
        <v>4.2859364E-7</v>
      </c>
      <c r="V1734" s="68">
        <v>3.5605948E-7</v>
      </c>
      <c r="X1734" s="69">
        <v>3.2073276E-8</v>
      </c>
    </row>
    <row r="1735" ht="12.75" customHeight="1">
      <c r="A1735" s="1" t="s">
        <v>2412</v>
      </c>
      <c r="B1735" s="2" t="s">
        <v>2381</v>
      </c>
      <c r="C1735" s="60" t="str">
        <f t="shared" si="367"/>
        <v>C.060.05.105</v>
      </c>
      <c r="D1735" s="51" t="s">
        <v>2410</v>
      </c>
      <c r="E1735" s="87" t="s">
        <v>2382</v>
      </c>
      <c r="F1735" s="63" t="str">
        <f t="shared" si="368"/>
        <v>Truck+container 28 tonne net Electric EU (min weight/volume ratio 0.41 t/m3) (tkm)</v>
      </c>
      <c r="G1735" s="64">
        <v>0.011801338660908756</v>
      </c>
      <c r="H1735" s="10">
        <f t="shared" si="366"/>
        <v>0.01180133866</v>
      </c>
      <c r="I1735" s="65">
        <v>0.0016020606944</v>
      </c>
      <c r="J1735" s="65">
        <v>0.002658843273685</v>
      </c>
      <c r="K1735" s="65">
        <v>0.002983310092823755</v>
      </c>
      <c r="L1735" s="65">
        <v>0.0045571246</v>
      </c>
      <c r="N1735" s="66">
        <v>0.03038083066666667</v>
      </c>
      <c r="O1735" s="10">
        <f t="shared" si="363"/>
        <v>0.03038083067</v>
      </c>
      <c r="Q1735" s="67">
        <v>0.89117744</v>
      </c>
      <c r="S1735" s="68">
        <v>9.3382869E-4</v>
      </c>
      <c r="T1735" s="68">
        <v>8.7778204E-4</v>
      </c>
      <c r="U1735" s="68">
        <v>3.0613831E-5</v>
      </c>
      <c r="V1735" s="68">
        <v>2.543282E-5</v>
      </c>
      <c r="X1735" s="69">
        <v>2.2909483E-6</v>
      </c>
    </row>
    <row r="1736" ht="12.75" customHeight="1">
      <c r="A1736" s="1" t="s">
        <v>2413</v>
      </c>
      <c r="B1736" s="2" t="s">
        <v>2381</v>
      </c>
      <c r="C1736" s="60" t="str">
        <f t="shared" si="367"/>
        <v>C.060.05.106</v>
      </c>
      <c r="D1736" s="51" t="s">
        <v>2410</v>
      </c>
      <c r="E1736" s="87" t="s">
        <v>2382</v>
      </c>
      <c r="F1736" s="63" t="str">
        <f t="shared" si="368"/>
        <v>Truck+trailer 24 tonne net Electric EU (min weight/volume ratio 0.32 t/m3) (tkm)</v>
      </c>
      <c r="G1736" s="64">
        <v>0.013768228394210382</v>
      </c>
      <c r="H1736" s="10">
        <f t="shared" si="366"/>
        <v>0.01376822839</v>
      </c>
      <c r="I1736" s="65">
        <v>0.0018690708290000002</v>
      </c>
      <c r="J1736" s="65">
        <v>0.003101983806966</v>
      </c>
      <c r="K1736" s="65">
        <v>0.003480528358244381</v>
      </c>
      <c r="L1736" s="65">
        <v>0.0053166454</v>
      </c>
      <c r="N1736" s="66">
        <v>0.03544430266666667</v>
      </c>
      <c r="O1736" s="10">
        <f t="shared" si="363"/>
        <v>0.03544430267</v>
      </c>
      <c r="Q1736" s="67">
        <v>1.039707</v>
      </c>
      <c r="S1736" s="68">
        <v>0.0010894668</v>
      </c>
      <c r="T1736" s="68">
        <v>0.001024079</v>
      </c>
      <c r="U1736" s="68">
        <v>3.5716137E-5</v>
      </c>
      <c r="V1736" s="68">
        <v>2.9671624E-5</v>
      </c>
      <c r="X1736" s="69">
        <v>2.672773E-6</v>
      </c>
    </row>
    <row r="1737" ht="12.75" customHeight="1">
      <c r="A1737" s="1" t="s">
        <v>2414</v>
      </c>
      <c r="B1737" s="2" t="s">
        <v>2381</v>
      </c>
      <c r="C1737" s="60" t="str">
        <f t="shared" si="367"/>
        <v>C.060.05.107</v>
      </c>
      <c r="D1737" s="51" t="s">
        <v>2410</v>
      </c>
      <c r="E1737" s="87" t="s">
        <v>2385</v>
      </c>
      <c r="F1737" s="63" t="str">
        <f t="shared" si="368"/>
        <v>Truck+container 28 tonne net Electric EU (max weight/volume ratio 0.41 t/m3) (m3km)</v>
      </c>
      <c r="G1737" s="64">
        <v>0.004838030417314967</v>
      </c>
      <c r="H1737" s="10">
        <f t="shared" si="366"/>
        <v>0.004838030417</v>
      </c>
      <c r="I1737" s="65">
        <v>6.567744999E-4</v>
      </c>
      <c r="J1737" s="65">
        <v>0.001090008952127</v>
      </c>
      <c r="K1737" s="65">
        <v>0.001223026065287967</v>
      </c>
      <c r="L1737" s="65">
        <v>0.0018682209</v>
      </c>
      <c r="N1737" s="66">
        <v>0.012454806</v>
      </c>
      <c r="O1737" s="10">
        <f t="shared" si="363"/>
        <v>0.012454806</v>
      </c>
      <c r="Q1737" s="67">
        <v>0.36534361</v>
      </c>
      <c r="S1737" s="68">
        <v>3.8282875E-4</v>
      </c>
      <c r="T1737" s="68">
        <v>3.5985208E-4</v>
      </c>
      <c r="U1737" s="68">
        <v>1.2550326E-5</v>
      </c>
      <c r="V1737" s="68">
        <v>1.0426339E-5</v>
      </c>
      <c r="X1737" s="69">
        <v>9.3918818E-7</v>
      </c>
    </row>
    <row r="1738" ht="12.75" customHeight="1">
      <c r="A1738" s="1" t="s">
        <v>2415</v>
      </c>
      <c r="B1738" s="2" t="s">
        <v>2381</v>
      </c>
      <c r="C1738" s="60" t="str">
        <f t="shared" si="367"/>
        <v>C.060.05.108</v>
      </c>
      <c r="D1738" s="51" t="s">
        <v>2410</v>
      </c>
      <c r="E1738" s="87" t="s">
        <v>2385</v>
      </c>
      <c r="F1738" s="63" t="str">
        <f t="shared" si="368"/>
        <v>Truck+trailer 24 tonne net Electric EU (max weight/volume ratio 0.32 t/m3) (m3km)</v>
      </c>
      <c r="G1738" s="64">
        <v>0.004405833032445402</v>
      </c>
      <c r="H1738" s="10">
        <f t="shared" si="366"/>
        <v>0.004405833032</v>
      </c>
      <c r="I1738" s="65">
        <v>5.981026462999999E-4</v>
      </c>
      <c r="J1738" s="65">
        <v>9.926348155092E-4</v>
      </c>
      <c r="K1738" s="65">
        <v>0.001113769070636202</v>
      </c>
      <c r="L1738" s="65">
        <v>0.0017013265</v>
      </c>
      <c r="N1738" s="66">
        <v>0.011342176666666667</v>
      </c>
      <c r="O1738" s="10">
        <f t="shared" si="363"/>
        <v>0.01134217667</v>
      </c>
      <c r="Q1738" s="67">
        <v>0.33270624</v>
      </c>
      <c r="S1738" s="68">
        <v>3.4862938E-4</v>
      </c>
      <c r="T1738" s="68">
        <v>3.277053E-4</v>
      </c>
      <c r="U1738" s="68">
        <v>1.1429164E-5</v>
      </c>
      <c r="V1738" s="68">
        <v>9.4949196E-6</v>
      </c>
      <c r="X1738" s="69">
        <v>8.5528737E-7</v>
      </c>
    </row>
    <row r="1739" ht="12.75" customHeight="1">
      <c r="B1739" s="2"/>
      <c r="C1739" s="60"/>
      <c r="D1739" s="75" t="s">
        <v>2416</v>
      </c>
      <c r="E1739" s="87"/>
      <c r="G1739" s="10"/>
      <c r="H1739" s="10" t="str">
        <f t="shared" si="366"/>
        <v/>
      </c>
      <c r="I1739" s="10"/>
      <c r="J1739" s="10"/>
      <c r="K1739" s="10"/>
      <c r="L1739" s="10"/>
      <c r="N1739" s="10"/>
      <c r="O1739" s="10" t="str">
        <f t="shared" si="363"/>
        <v/>
      </c>
      <c r="Q1739" s="67"/>
    </row>
    <row r="1740" ht="12.75" customHeight="1">
      <c r="A1740" s="1" t="s">
        <v>2417</v>
      </c>
      <c r="B1740" s="2" t="s">
        <v>2381</v>
      </c>
      <c r="C1740" s="60" t="str">
        <f t="shared" ref="C1740:C1744" si="369">MID(A1740,1,12)</f>
        <v>C.060.07.104</v>
      </c>
      <c r="D1740" s="51" t="s">
        <v>2416</v>
      </c>
      <c r="E1740" s="87" t="s">
        <v>712</v>
      </c>
      <c r="F1740" s="63" t="str">
        <f t="shared" ref="F1740:F1744" si="370">MID(A1740, 21,85)</f>
        <v>Truck +trailer Electric Norway (output per meter)</v>
      </c>
      <c r="G1740" s="64">
        <v>9.835530704032257E-5</v>
      </c>
      <c r="H1740" s="10">
        <f t="shared" si="366"/>
        <v>0.00009835530704</v>
      </c>
      <c r="I1740" s="65">
        <v>1.998443256E-5</v>
      </c>
      <c r="J1740" s="65">
        <v>3.221769827159E-5</v>
      </c>
      <c r="K1740" s="65">
        <v>1.8246897208732572E-5</v>
      </c>
      <c r="L1740" s="65">
        <v>2.7906279E-5</v>
      </c>
      <c r="N1740" s="66">
        <v>1.8604186E-4</v>
      </c>
      <c r="O1740" s="10">
        <f t="shared" si="363"/>
        <v>0.00018604186</v>
      </c>
      <c r="Q1740" s="67">
        <v>0.0076208052</v>
      </c>
      <c r="S1740" s="68">
        <v>8.0693084E-6</v>
      </c>
      <c r="T1740" s="68">
        <v>7.6092591E-6</v>
      </c>
      <c r="U1740" s="68">
        <v>2.2797288E-7</v>
      </c>
      <c r="V1740" s="68">
        <v>2.3207647E-7</v>
      </c>
      <c r="X1740" s="69">
        <v>1.5814871E-8</v>
      </c>
    </row>
    <row r="1741" ht="12.75" customHeight="1">
      <c r="A1741" s="1" t="s">
        <v>2418</v>
      </c>
      <c r="B1741" s="2" t="s">
        <v>2381</v>
      </c>
      <c r="C1741" s="60" t="str">
        <f t="shared" si="369"/>
        <v>C.060.07.105</v>
      </c>
      <c r="D1741" s="51" t="s">
        <v>2416</v>
      </c>
      <c r="E1741" s="87" t="s">
        <v>2382</v>
      </c>
      <c r="F1741" s="63" t="str">
        <f t="shared" si="370"/>
        <v>Truck+container 28 tonne net Electric Norway (min weight/volume ratio 0.41 t/m3) (tkm</v>
      </c>
      <c r="G1741" s="64">
        <v>0.007025378919908756</v>
      </c>
      <c r="H1741" s="10">
        <f t="shared" si="366"/>
        <v>0.00702537892</v>
      </c>
      <c r="I1741" s="65">
        <v>0.0014274594243999998</v>
      </c>
      <c r="J1741" s="65">
        <v>0.0023012641236850005</v>
      </c>
      <c r="K1741" s="65">
        <v>0.001303349771823755</v>
      </c>
      <c r="L1741" s="65">
        <v>0.0019933056</v>
      </c>
      <c r="N1741" s="66">
        <v>0.013288704000000002</v>
      </c>
      <c r="O1741" s="10">
        <f t="shared" si="363"/>
        <v>0.013288704</v>
      </c>
      <c r="Q1741" s="67">
        <v>0.54434323</v>
      </c>
      <c r="S1741" s="68">
        <v>5.7637917E-4</v>
      </c>
      <c r="T1741" s="68">
        <v>5.4351851E-4</v>
      </c>
      <c r="U1741" s="68">
        <v>1.6283777E-5</v>
      </c>
      <c r="V1741" s="68">
        <v>1.657689E-5</v>
      </c>
      <c r="X1741" s="69">
        <v>1.1296336E-6</v>
      </c>
    </row>
    <row r="1742" ht="12.75" customHeight="1">
      <c r="A1742" s="1" t="s">
        <v>2419</v>
      </c>
      <c r="B1742" s="2" t="s">
        <v>2381</v>
      </c>
      <c r="C1742" s="60" t="str">
        <f t="shared" si="369"/>
        <v>C.060.07.106</v>
      </c>
      <c r="D1742" s="51" t="s">
        <v>2416</v>
      </c>
      <c r="E1742" s="87" t="s">
        <v>2382</v>
      </c>
      <c r="F1742" s="63" t="str">
        <f t="shared" si="370"/>
        <v>Truck+trailer 24 tonne net Electric Norway (min weight/volume ratio 0.32 t/m3) (tkm)</v>
      </c>
      <c r="G1742" s="64">
        <v>0.008196275516210381</v>
      </c>
      <c r="H1742" s="10">
        <f t="shared" si="366"/>
        <v>0.008196275516</v>
      </c>
      <c r="I1742" s="65">
        <v>0.001665369409</v>
      </c>
      <c r="J1742" s="65">
        <v>0.0026848081069659998</v>
      </c>
      <c r="K1742" s="65">
        <v>0.001520574800244381</v>
      </c>
      <c r="L1742" s="65">
        <v>0.0023255232</v>
      </c>
      <c r="N1742" s="66">
        <v>0.015503488000000001</v>
      </c>
      <c r="O1742" s="10">
        <f t="shared" si="363"/>
        <v>0.015503488</v>
      </c>
      <c r="Q1742" s="67">
        <v>0.6350671</v>
      </c>
      <c r="S1742" s="68">
        <v>6.7244237E-4</v>
      </c>
      <c r="T1742" s="68">
        <v>6.3410492E-4</v>
      </c>
      <c r="U1742" s="68">
        <v>1.899774E-5</v>
      </c>
      <c r="V1742" s="68">
        <v>1.9339705E-5</v>
      </c>
      <c r="X1742" s="69">
        <v>1.3179059E-6</v>
      </c>
    </row>
    <row r="1743" ht="12.75" customHeight="1">
      <c r="A1743" s="1" t="s">
        <v>2420</v>
      </c>
      <c r="B1743" s="2" t="s">
        <v>2381</v>
      </c>
      <c r="C1743" s="60" t="str">
        <f t="shared" si="369"/>
        <v>C.060.07.107</v>
      </c>
      <c r="D1743" s="51" t="s">
        <v>2416</v>
      </c>
      <c r="E1743" s="87" t="s">
        <v>2385</v>
      </c>
      <c r="F1743" s="63" t="str">
        <f t="shared" si="370"/>
        <v>Truck+container 28 tonne net Electric Norway (max weight/volume ratio 0.41 t/m3) (m3k</v>
      </c>
      <c r="G1743" s="64">
        <v>0.002880096815314967</v>
      </c>
      <c r="H1743" s="10">
        <f t="shared" si="366"/>
        <v>0.002880096815</v>
      </c>
      <c r="I1743" s="65">
        <v>5.851956749E-4</v>
      </c>
      <c r="J1743" s="65">
        <v>9.43417216127E-4</v>
      </c>
      <c r="K1743" s="65">
        <v>5.34316174287967E-4</v>
      </c>
      <c r="L1743" s="65">
        <v>8.1716775E-4</v>
      </c>
      <c r="N1743" s="66">
        <v>0.005447785</v>
      </c>
      <c r="O1743" s="10">
        <f t="shared" si="363"/>
        <v>0.005447785</v>
      </c>
      <c r="Q1743" s="67">
        <v>0.22315681</v>
      </c>
      <c r="S1743" s="68">
        <v>2.3629014E-4</v>
      </c>
      <c r="T1743" s="68">
        <v>2.2281871E-4</v>
      </c>
      <c r="U1743" s="68">
        <v>6.6756333E-6</v>
      </c>
      <c r="V1743" s="68">
        <v>6.7957969E-6</v>
      </c>
      <c r="X1743" s="69">
        <v>4.6310016E-7</v>
      </c>
    </row>
    <row r="1744" ht="12.75" customHeight="1">
      <c r="A1744" s="1" t="s">
        <v>2421</v>
      </c>
      <c r="B1744" s="2" t="s">
        <v>2381</v>
      </c>
      <c r="C1744" s="60" t="str">
        <f t="shared" si="369"/>
        <v>C.060.07.108</v>
      </c>
      <c r="D1744" s="51" t="s">
        <v>2416</v>
      </c>
      <c r="E1744" s="87" t="s">
        <v>2385</v>
      </c>
      <c r="F1744" s="63" t="str">
        <f t="shared" si="370"/>
        <v>Truck+trailer 24 tonne net Electric Norway (max weight/volume ratio 0.32 t/m3) (m3km)</v>
      </c>
      <c r="G1744" s="64">
        <v>0.002622808163445402</v>
      </c>
      <c r="H1744" s="10">
        <f t="shared" si="366"/>
        <v>0.002622808163</v>
      </c>
      <c r="I1744" s="65">
        <v>5.329181973E-4</v>
      </c>
      <c r="J1744" s="65">
        <v>8.591386045092E-4</v>
      </c>
      <c r="K1744" s="65">
        <v>4.86583931636202E-4</v>
      </c>
      <c r="L1744" s="65">
        <v>7.4416743E-4</v>
      </c>
      <c r="N1744" s="66">
        <v>0.004961116200000001</v>
      </c>
      <c r="O1744" s="10">
        <f t="shared" si="363"/>
        <v>0.0049611162</v>
      </c>
      <c r="Q1744" s="67">
        <v>0.20322147</v>
      </c>
      <c r="S1744" s="68">
        <v>2.1518156E-4</v>
      </c>
      <c r="T1744" s="68">
        <v>2.0291358E-4</v>
      </c>
      <c r="U1744" s="68">
        <v>6.0792768E-6</v>
      </c>
      <c r="V1744" s="68">
        <v>6.1887058E-6</v>
      </c>
      <c r="X1744" s="69">
        <v>4.2172988E-7</v>
      </c>
    </row>
    <row r="1745" ht="12.75" customHeight="1">
      <c r="B1745" s="2"/>
      <c r="C1745" s="60"/>
      <c r="D1745" s="75" t="s">
        <v>2422</v>
      </c>
      <c r="E1745" s="87"/>
      <c r="G1745" s="10"/>
      <c r="H1745" s="10"/>
      <c r="I1745" s="10"/>
      <c r="J1745" s="10"/>
      <c r="K1745" s="10"/>
      <c r="L1745" s="10"/>
      <c r="N1745" s="10"/>
      <c r="O1745" s="10" t="str">
        <f t="shared" si="363"/>
        <v/>
      </c>
      <c r="Q1745" s="67"/>
    </row>
    <row r="1746" ht="12.75" customHeight="1">
      <c r="A1746" s="1" t="s">
        <v>2423</v>
      </c>
      <c r="B1746" s="2" t="s">
        <v>2381</v>
      </c>
      <c r="C1746" s="60" t="str">
        <f t="shared" ref="C1746:C1757" si="371">MID(A1746,1,12)</f>
        <v>C.060.10.101</v>
      </c>
      <c r="D1746" s="51" t="s">
        <v>2422</v>
      </c>
      <c r="E1746" s="87" t="s">
        <v>840</v>
      </c>
      <c r="F1746" s="63" t="str">
        <f t="shared" ref="F1746:F1757" si="372">MID(A1746, 21,85)</f>
        <v>Delivery Van petrol in city (per km) max. 3.1-3.9 m3 660-1000 kg WTW</v>
      </c>
      <c r="G1746" s="64">
        <v>0.06069474559210485</v>
      </c>
      <c r="H1746" s="10">
        <f t="shared" ref="H1746:H1757" si="373">G1746</f>
        <v>0.06069474559</v>
      </c>
      <c r="I1746" s="65">
        <v>0.002022953743</v>
      </c>
      <c r="J1746" s="65">
        <v>0.0038702194414999996</v>
      </c>
      <c r="K1746" s="65">
        <v>0.018438106407604855</v>
      </c>
      <c r="L1746" s="65">
        <v>0.036363466</v>
      </c>
      <c r="N1746" s="66">
        <v>0.24242310666666667</v>
      </c>
      <c r="O1746" s="10">
        <f t="shared" si="363"/>
        <v>0.2424231067</v>
      </c>
      <c r="Q1746" s="67">
        <v>3.8221156</v>
      </c>
      <c r="S1746" s="68">
        <v>0.004973752</v>
      </c>
      <c r="T1746" s="68">
        <v>0.0045223343</v>
      </c>
      <c r="U1746" s="68">
        <v>2.0073462E-4</v>
      </c>
      <c r="V1746" s="68">
        <v>2.5068309E-4</v>
      </c>
      <c r="X1746" s="69">
        <v>1.257469E-5</v>
      </c>
    </row>
    <row r="1747" ht="12.75" customHeight="1">
      <c r="A1747" s="1" t="s">
        <v>2424</v>
      </c>
      <c r="B1747" s="2" t="s">
        <v>2381</v>
      </c>
      <c r="C1747" s="60" t="str">
        <f t="shared" si="371"/>
        <v>C.060.10.102</v>
      </c>
      <c r="D1747" s="51" t="s">
        <v>2422</v>
      </c>
      <c r="E1747" s="87" t="s">
        <v>840</v>
      </c>
      <c r="F1747" s="63" t="str">
        <f t="shared" si="372"/>
        <v>Delivery Van diesel in city (per km) max. 6.6-9.3 m3 800-1400 kg WTW</v>
      </c>
      <c r="G1747" s="64">
        <v>0.0692807693799613</v>
      </c>
      <c r="H1747" s="10">
        <f t="shared" si="373"/>
        <v>0.06928076938</v>
      </c>
      <c r="I1747" s="65">
        <v>0.0031407010959999997</v>
      </c>
      <c r="J1747" s="65">
        <v>0.004480083330999999</v>
      </c>
      <c r="K1747" s="65">
        <v>0.022230818952961307</v>
      </c>
      <c r="L1747" s="65">
        <v>0.039429166</v>
      </c>
      <c r="N1747" s="66">
        <v>0.2628611066666667</v>
      </c>
      <c r="O1747" s="10">
        <f t="shared" si="363"/>
        <v>0.2628611067</v>
      </c>
      <c r="Q1747" s="67">
        <v>4.3965063</v>
      </c>
      <c r="S1747" s="68">
        <v>0.0052387528</v>
      </c>
      <c r="T1747" s="68">
        <v>0.0047408832</v>
      </c>
      <c r="U1747" s="68">
        <v>2.1588661E-4</v>
      </c>
      <c r="V1747" s="68">
        <v>2.8198297E-4</v>
      </c>
      <c r="X1747" s="69">
        <v>1.4231071E-5</v>
      </c>
    </row>
    <row r="1748" ht="12.75" customHeight="1">
      <c r="A1748" s="1" t="s">
        <v>2425</v>
      </c>
      <c r="B1748" s="2" t="s">
        <v>2381</v>
      </c>
      <c r="C1748" s="60" t="str">
        <f t="shared" si="371"/>
        <v>C.060.10.103</v>
      </c>
      <c r="D1748" s="51" t="s">
        <v>2422</v>
      </c>
      <c r="E1748" s="87" t="s">
        <v>840</v>
      </c>
      <c r="F1748" s="63" t="str">
        <f t="shared" si="372"/>
        <v>Delivery Van diesel in city (per km) max. 13-18.5 m3 1350-2550 kg WTW</v>
      </c>
      <c r="G1748" s="64">
        <v>0.08089371028995723</v>
      </c>
      <c r="H1748" s="10">
        <f t="shared" si="373"/>
        <v>0.08089371029</v>
      </c>
      <c r="I1748" s="65">
        <v>0.003440122113</v>
      </c>
      <c r="J1748" s="65">
        <v>0.005112862126999999</v>
      </c>
      <c r="K1748" s="65">
        <v>0.026081641049957246</v>
      </c>
      <c r="L1748" s="65">
        <v>0.046259085</v>
      </c>
      <c r="N1748" s="66">
        <v>0.3083939</v>
      </c>
      <c r="O1748" s="10">
        <f t="shared" si="363"/>
        <v>0.3083939</v>
      </c>
      <c r="Q1748" s="67">
        <v>5.1580691</v>
      </c>
      <c r="S1748" s="68">
        <v>0.0061083235</v>
      </c>
      <c r="T1748" s="68">
        <v>0.0055254245</v>
      </c>
      <c r="U1748" s="68">
        <v>2.5207099E-4</v>
      </c>
      <c r="V1748" s="68">
        <v>3.3082805E-4</v>
      </c>
      <c r="X1748" s="69">
        <v>1.6562435E-5</v>
      </c>
    </row>
    <row r="1749" ht="12.75" customHeight="1">
      <c r="A1749" s="1" t="s">
        <v>2426</v>
      </c>
      <c r="B1749" s="2" t="s">
        <v>2381</v>
      </c>
      <c r="C1749" s="60" t="str">
        <f t="shared" si="371"/>
        <v>C.060.10.201</v>
      </c>
      <c r="D1749" s="51" t="s">
        <v>2422</v>
      </c>
      <c r="E1749" s="87" t="s">
        <v>840</v>
      </c>
      <c r="F1749" s="63" t="str">
        <f t="shared" si="372"/>
        <v>Delivery Van petrol on road (per km) max. 3.1-3.9 m3 660-1000 kg WTW</v>
      </c>
      <c r="G1749" s="64">
        <v>0.044671399537313916</v>
      </c>
      <c r="H1749" s="10">
        <f t="shared" si="373"/>
        <v>0.04467139954</v>
      </c>
      <c r="I1749" s="65">
        <v>0.0016982319661</v>
      </c>
      <c r="J1749" s="65">
        <v>0.0029913533926000002</v>
      </c>
      <c r="K1749" s="65">
        <v>0.013451967178613917</v>
      </c>
      <c r="L1749" s="65">
        <v>0.026529847</v>
      </c>
      <c r="N1749" s="66">
        <v>0.17686564666666665</v>
      </c>
      <c r="O1749" s="10">
        <f t="shared" si="363"/>
        <v>0.1768656467</v>
      </c>
      <c r="Q1749" s="67">
        <v>2.7885171</v>
      </c>
      <c r="S1749" s="68">
        <v>0.0036782236</v>
      </c>
      <c r="T1749" s="68">
        <v>0.0033476019</v>
      </c>
      <c r="U1749" s="68">
        <v>1.4772984E-4</v>
      </c>
      <c r="V1749" s="68">
        <v>1.8289192E-4</v>
      </c>
      <c r="X1749" s="69">
        <v>9.3326669E-6</v>
      </c>
    </row>
    <row r="1750" ht="12.75" customHeight="1">
      <c r="A1750" s="1" t="s">
        <v>2427</v>
      </c>
      <c r="B1750" s="2" t="s">
        <v>2381</v>
      </c>
      <c r="C1750" s="60" t="str">
        <f t="shared" si="371"/>
        <v>C.060.10.202</v>
      </c>
      <c r="D1750" s="51" t="s">
        <v>2422</v>
      </c>
      <c r="E1750" s="87" t="s">
        <v>840</v>
      </c>
      <c r="F1750" s="63" t="str">
        <f t="shared" si="372"/>
        <v>Delivery Van diesel on road (per km) max 6.6-9.3 m3 800-1400 kg WTW</v>
      </c>
      <c r="G1750" s="64">
        <v>0.0511845295088131</v>
      </c>
      <c r="H1750" s="10">
        <f t="shared" si="373"/>
        <v>0.05118452951</v>
      </c>
      <c r="I1750" s="65">
        <v>0.002674118682</v>
      </c>
      <c r="J1750" s="65">
        <v>0.003494035087</v>
      </c>
      <c r="K1750" s="65">
        <v>0.016230151739813105</v>
      </c>
      <c r="L1750" s="65">
        <v>0.028786224</v>
      </c>
      <c r="N1750" s="66">
        <v>0.19190816</v>
      </c>
      <c r="O1750" s="10">
        <f t="shared" si="363"/>
        <v>0.19190816</v>
      </c>
      <c r="Q1750" s="67">
        <v>3.2097767</v>
      </c>
      <c r="S1750" s="68">
        <v>0.0038837162</v>
      </c>
      <c r="T1750" s="68">
        <v>0.0035183465</v>
      </c>
      <c r="U1750" s="68">
        <v>1.5950114E-4</v>
      </c>
      <c r="V1750" s="68">
        <v>2.0586854E-4</v>
      </c>
      <c r="X1750" s="69">
        <v>1.0598148E-5</v>
      </c>
    </row>
    <row r="1751" ht="12.75" customHeight="1">
      <c r="A1751" s="1" t="s">
        <v>2428</v>
      </c>
      <c r="B1751" s="2" t="s">
        <v>2381</v>
      </c>
      <c r="C1751" s="60" t="str">
        <f t="shared" si="371"/>
        <v>C.060.10.203</v>
      </c>
      <c r="D1751" s="51" t="s">
        <v>2422</v>
      </c>
      <c r="E1751" s="87" t="s">
        <v>840</v>
      </c>
      <c r="F1751" s="63" t="str">
        <f t="shared" si="372"/>
        <v>Delivery Van diesel on road (per km) max. 13-18.5 m3 1350-2550 kg WTW</v>
      </c>
      <c r="G1751" s="64">
        <v>0.059662688662626626</v>
      </c>
      <c r="H1751" s="10">
        <f t="shared" si="373"/>
        <v>0.05966268866</v>
      </c>
      <c r="I1751" s="65">
        <v>0.002892714365</v>
      </c>
      <c r="J1751" s="65">
        <v>0.0039560025600000005</v>
      </c>
      <c r="K1751" s="65">
        <v>0.019041487737626626</v>
      </c>
      <c r="L1751" s="65">
        <v>0.033772484</v>
      </c>
      <c r="N1751" s="66">
        <v>0.22514989333333332</v>
      </c>
      <c r="O1751" s="10">
        <f t="shared" si="363"/>
        <v>0.2251498933</v>
      </c>
      <c r="Q1751" s="67">
        <v>3.7657642</v>
      </c>
      <c r="S1751" s="68">
        <v>0.0045185562</v>
      </c>
      <c r="T1751" s="68">
        <v>0.0040911098</v>
      </c>
      <c r="U1751" s="68">
        <v>1.8591795E-4</v>
      </c>
      <c r="V1751" s="68">
        <v>2.4152845E-4</v>
      </c>
      <c r="X1751" s="69">
        <v>1.2300187E-5</v>
      </c>
    </row>
    <row r="1752" ht="12.75" customHeight="1">
      <c r="A1752" s="1" t="s">
        <v>2429</v>
      </c>
      <c r="B1752" s="2" t="s">
        <v>2381</v>
      </c>
      <c r="C1752" s="60" t="str">
        <f t="shared" si="371"/>
        <v>C.060.10.301</v>
      </c>
      <c r="D1752" s="51" t="s">
        <v>2422</v>
      </c>
      <c r="E1752" s="87" t="s">
        <v>840</v>
      </c>
      <c r="F1752" s="63" t="str">
        <f t="shared" si="372"/>
        <v>Delivery Van Electric in city (per km) max. 3.1-3.9 m3 660-1000 kg ex batteries</v>
      </c>
      <c r="G1752" s="64">
        <v>0.011954162307</v>
      </c>
      <c r="H1752" s="10">
        <f t="shared" si="373"/>
        <v>0.01195416231</v>
      </c>
      <c r="I1752" s="65">
        <v>4.37031146E-4</v>
      </c>
      <c r="J1752" s="65">
        <v>8.9801345E-4</v>
      </c>
      <c r="K1752" s="65">
        <v>0.004072047811</v>
      </c>
      <c r="L1752" s="65">
        <v>0.0065470699</v>
      </c>
      <c r="N1752" s="66">
        <v>0.043647132666666665</v>
      </c>
      <c r="O1752" s="10">
        <f t="shared" si="363"/>
        <v>0.04364713267</v>
      </c>
      <c r="Q1752" s="67">
        <v>1.5262106</v>
      </c>
      <c r="S1752" s="68">
        <v>9.1126932E-4</v>
      </c>
      <c r="T1752" s="68">
        <v>8.5235289E-4</v>
      </c>
      <c r="U1752" s="68">
        <v>3.6553471E-5</v>
      </c>
      <c r="V1752" s="68">
        <v>2.2362964E-5</v>
      </c>
      <c r="X1752" s="69">
        <v>2.872214E-6</v>
      </c>
    </row>
    <row r="1753" ht="12.75" customHeight="1">
      <c r="A1753" s="1" t="s">
        <v>2430</v>
      </c>
      <c r="B1753" s="2" t="s">
        <v>2381</v>
      </c>
      <c r="C1753" s="60" t="str">
        <f t="shared" si="371"/>
        <v>C.060.10.302</v>
      </c>
      <c r="D1753" s="51" t="s">
        <v>2422</v>
      </c>
      <c r="E1753" s="87" t="s">
        <v>840</v>
      </c>
      <c r="F1753" s="63" t="str">
        <f t="shared" si="372"/>
        <v>Delivery Van Electric in city (per km) max. 6.6-9.3 m3 800-1400 kg ex batteries</v>
      </c>
      <c r="G1753" s="64">
        <v>0.016047163704</v>
      </c>
      <c r="H1753" s="10">
        <f t="shared" si="373"/>
        <v>0.0160471637</v>
      </c>
      <c r="I1753" s="65">
        <v>5.8666681E-4</v>
      </c>
      <c r="J1753" s="65">
        <v>0.00120548544</v>
      </c>
      <c r="K1753" s="65">
        <v>0.005466281654</v>
      </c>
      <c r="L1753" s="65">
        <v>0.0087887298</v>
      </c>
      <c r="N1753" s="66">
        <v>0.05859153200000001</v>
      </c>
      <c r="O1753" s="10">
        <f t="shared" si="363"/>
        <v>0.058591532</v>
      </c>
      <c r="Q1753" s="67">
        <v>2.0487718</v>
      </c>
      <c r="S1753" s="68">
        <v>0.00122328</v>
      </c>
      <c r="T1753" s="68">
        <v>0.0011441911</v>
      </c>
      <c r="U1753" s="68">
        <v>4.9069061E-5</v>
      </c>
      <c r="V1753" s="68">
        <v>3.0019848E-5</v>
      </c>
      <c r="X1753" s="69">
        <v>3.8556351E-6</v>
      </c>
    </row>
    <row r="1754" ht="12.75" customHeight="1">
      <c r="A1754" s="1" t="s">
        <v>2431</v>
      </c>
      <c r="B1754" s="2" t="s">
        <v>2381</v>
      </c>
      <c r="C1754" s="60" t="str">
        <f t="shared" si="371"/>
        <v>C.060.10.303</v>
      </c>
      <c r="D1754" s="51" t="s">
        <v>2422</v>
      </c>
      <c r="E1754" s="87" t="s">
        <v>840</v>
      </c>
      <c r="F1754" s="63" t="str">
        <f t="shared" si="372"/>
        <v>Delivery Van Electric in city (per km) max. 13-18.5 m3 1350-2550 kg ex batteries</v>
      </c>
      <c r="G1754" s="64">
        <v>0.018840799890000003</v>
      </c>
      <c r="H1754" s="10">
        <f t="shared" si="373"/>
        <v>0.01884079989</v>
      </c>
      <c r="I1754" s="65">
        <v>6.8879908E-4</v>
      </c>
      <c r="J1754" s="65">
        <v>0.0014153472800000001</v>
      </c>
      <c r="K1754" s="65">
        <v>0.00641790153</v>
      </c>
      <c r="L1754" s="65">
        <v>0.010318752</v>
      </c>
      <c r="N1754" s="66">
        <v>0.06879168000000001</v>
      </c>
      <c r="O1754" s="10">
        <f t="shared" si="363"/>
        <v>0.06879168</v>
      </c>
      <c r="Q1754" s="67">
        <v>2.4054406</v>
      </c>
      <c r="S1754" s="68">
        <v>0.0014362397</v>
      </c>
      <c r="T1754" s="68">
        <v>0.0013433823</v>
      </c>
      <c r="U1754" s="68">
        <v>5.7611449E-5</v>
      </c>
      <c r="V1754" s="68">
        <v>3.5245975E-5</v>
      </c>
      <c r="X1754" s="69">
        <v>4.526859E-6</v>
      </c>
    </row>
    <row r="1755" ht="12.75" customHeight="1">
      <c r="A1755" s="1" t="s">
        <v>2432</v>
      </c>
      <c r="B1755" s="2" t="s">
        <v>2381</v>
      </c>
      <c r="C1755" s="60" t="str">
        <f t="shared" si="371"/>
        <v>C.060.10.401</v>
      </c>
      <c r="D1755" s="51" t="s">
        <v>2422</v>
      </c>
      <c r="E1755" s="87" t="s">
        <v>840</v>
      </c>
      <c r="F1755" s="63" t="str">
        <f t="shared" si="372"/>
        <v>Delivery Van Electric on road (per km) max. 3.1-3.9 m3 660-1000 kg ex batteries</v>
      </c>
      <c r="G1755" s="64">
        <v>0.011954162307</v>
      </c>
      <c r="H1755" s="10">
        <f t="shared" si="373"/>
        <v>0.01195416231</v>
      </c>
      <c r="I1755" s="65">
        <v>4.37031146E-4</v>
      </c>
      <c r="J1755" s="65">
        <v>8.9801345E-4</v>
      </c>
      <c r="K1755" s="65">
        <v>0.004072047811</v>
      </c>
      <c r="L1755" s="65">
        <v>0.0065470699</v>
      </c>
      <c r="N1755" s="66">
        <v>0.043647132666666665</v>
      </c>
      <c r="O1755" s="10">
        <f t="shared" si="363"/>
        <v>0.04364713267</v>
      </c>
      <c r="Q1755" s="67">
        <v>1.5262106</v>
      </c>
      <c r="S1755" s="68">
        <v>9.1126932E-4</v>
      </c>
      <c r="T1755" s="68">
        <v>8.5235289E-4</v>
      </c>
      <c r="U1755" s="68">
        <v>3.6553471E-5</v>
      </c>
      <c r="V1755" s="68">
        <v>2.2362964E-5</v>
      </c>
      <c r="X1755" s="69">
        <v>2.872214E-6</v>
      </c>
    </row>
    <row r="1756" ht="12.75" customHeight="1">
      <c r="A1756" s="1" t="s">
        <v>2433</v>
      </c>
      <c r="B1756" s="2" t="s">
        <v>2381</v>
      </c>
      <c r="C1756" s="60" t="str">
        <f t="shared" si="371"/>
        <v>C.060.10.402</v>
      </c>
      <c r="D1756" s="51" t="s">
        <v>2422</v>
      </c>
      <c r="E1756" s="87" t="s">
        <v>840</v>
      </c>
      <c r="F1756" s="63" t="str">
        <f t="shared" si="372"/>
        <v>Delivery Van Electric on road (per km) max 6.6-9.3 m3 800-1400 kg ex batteries</v>
      </c>
      <c r="G1756" s="64">
        <v>0.016047163704</v>
      </c>
      <c r="H1756" s="10">
        <f t="shared" si="373"/>
        <v>0.0160471637</v>
      </c>
      <c r="I1756" s="65">
        <v>5.8666681E-4</v>
      </c>
      <c r="J1756" s="65">
        <v>0.00120548544</v>
      </c>
      <c r="K1756" s="65">
        <v>0.005466281654</v>
      </c>
      <c r="L1756" s="65">
        <v>0.0087887298</v>
      </c>
      <c r="N1756" s="66">
        <v>0.05859153200000001</v>
      </c>
      <c r="O1756" s="10">
        <f t="shared" si="363"/>
        <v>0.058591532</v>
      </c>
      <c r="Q1756" s="67">
        <v>2.0487718</v>
      </c>
      <c r="S1756" s="68">
        <v>0.00122328</v>
      </c>
      <c r="T1756" s="68">
        <v>0.0011441911</v>
      </c>
      <c r="U1756" s="68">
        <v>4.9069061E-5</v>
      </c>
      <c r="V1756" s="68">
        <v>3.0019848E-5</v>
      </c>
      <c r="X1756" s="69">
        <v>3.8556351E-6</v>
      </c>
    </row>
    <row r="1757" ht="12.75" customHeight="1">
      <c r="A1757" s="1" t="s">
        <v>2434</v>
      </c>
      <c r="B1757" s="2" t="s">
        <v>2381</v>
      </c>
      <c r="C1757" s="60" t="str">
        <f t="shared" si="371"/>
        <v>C.060.10.403</v>
      </c>
      <c r="D1757" s="51" t="s">
        <v>2422</v>
      </c>
      <c r="E1757" s="87" t="s">
        <v>840</v>
      </c>
      <c r="F1757" s="63" t="str">
        <f t="shared" si="372"/>
        <v>Delivery Van Electric on road (per km) max. 13-18.5 m3 1350-2550 kg ex batteries</v>
      </c>
      <c r="G1757" s="64">
        <v>0.018840799890000003</v>
      </c>
      <c r="H1757" s="10">
        <f t="shared" si="373"/>
        <v>0.01884079989</v>
      </c>
      <c r="I1757" s="65">
        <v>6.8879908E-4</v>
      </c>
      <c r="J1757" s="65">
        <v>0.0014153472800000001</v>
      </c>
      <c r="K1757" s="65">
        <v>0.00641790153</v>
      </c>
      <c r="L1757" s="65">
        <v>0.010318752</v>
      </c>
      <c r="N1757" s="66">
        <v>0.06879168000000001</v>
      </c>
      <c r="O1757" s="10">
        <f t="shared" si="363"/>
        <v>0.06879168</v>
      </c>
      <c r="Q1757" s="67">
        <v>2.4054406</v>
      </c>
      <c r="S1757" s="68">
        <v>0.0014362397</v>
      </c>
      <c r="T1757" s="68">
        <v>0.0013433823</v>
      </c>
      <c r="U1757" s="68">
        <v>5.7611449E-5</v>
      </c>
      <c r="V1757" s="68">
        <v>3.5245975E-5</v>
      </c>
      <c r="X1757" s="69">
        <v>4.526859E-6</v>
      </c>
    </row>
    <row r="1758" ht="12.75" customHeight="1">
      <c r="B1758" s="2"/>
      <c r="C1758" s="60"/>
      <c r="D1758" s="75" t="s">
        <v>2435</v>
      </c>
      <c r="E1758" s="87"/>
      <c r="G1758" s="10"/>
      <c r="H1758" s="10"/>
      <c r="I1758" s="10"/>
      <c r="J1758" s="10"/>
      <c r="K1758" s="10"/>
      <c r="L1758" s="10"/>
      <c r="N1758" s="10"/>
      <c r="O1758" s="10"/>
      <c r="Q1758" s="67"/>
    </row>
    <row r="1759" ht="12.75" customHeight="1">
      <c r="A1759" s="1" t="s">
        <v>2436</v>
      </c>
      <c r="B1759" s="2" t="s">
        <v>2381</v>
      </c>
      <c r="C1759" s="60" t="str">
        <f t="shared" ref="C1759:C1766" si="374">MID(A1759,1,12)</f>
        <v>C.070.01.101</v>
      </c>
      <c r="D1759" s="51" t="s">
        <v>2435</v>
      </c>
      <c r="E1759" s="87" t="s">
        <v>2382</v>
      </c>
      <c r="F1759" s="63" t="str">
        <f t="shared" ref="F1759:F1766" si="375">MID(A1759, 21,85)</f>
        <v>Barge 1475 dwt</v>
      </c>
      <c r="G1759" s="64">
        <v>0.0052621965964</v>
      </c>
      <c r="H1759" s="10">
        <f t="shared" ref="H1759:H1766" si="376">G1759</f>
        <v>0.005262196596</v>
      </c>
      <c r="I1759" s="65">
        <v>1.283414028E-4</v>
      </c>
      <c r="J1759" s="65">
        <v>3.810990736E-4</v>
      </c>
      <c r="K1759" s="65">
        <v>0.00173217302</v>
      </c>
      <c r="L1759" s="65">
        <v>0.0030205831</v>
      </c>
      <c r="N1759" s="66">
        <v>0.020137220666666667</v>
      </c>
      <c r="O1759" s="10">
        <f t="shared" ref="O1759:O1766" si="377">N1759</f>
        <v>0.02013722067</v>
      </c>
      <c r="Q1759" s="67">
        <v>0.31299712</v>
      </c>
      <c r="S1759" s="68">
        <v>4.180938E-4</v>
      </c>
      <c r="T1759" s="68">
        <v>3.7982667E-4</v>
      </c>
      <c r="U1759" s="68">
        <v>1.6604913E-5</v>
      </c>
      <c r="V1759" s="68">
        <v>2.1662211E-5</v>
      </c>
      <c r="X1759" s="69">
        <v>1.0595048E-6</v>
      </c>
    </row>
    <row r="1760" ht="12.75" customHeight="1">
      <c r="A1760" s="1" t="s">
        <v>2437</v>
      </c>
      <c r="B1760" s="2" t="s">
        <v>2381</v>
      </c>
      <c r="C1760" s="60" t="str">
        <f t="shared" si="374"/>
        <v>C.070.01.102</v>
      </c>
      <c r="D1760" s="51" t="s">
        <v>2435</v>
      </c>
      <c r="E1760" s="87" t="s">
        <v>2382</v>
      </c>
      <c r="F1760" s="63" t="str">
        <f t="shared" si="375"/>
        <v>Bulk carrier Handysize dwt 16.383   12.5 knots</v>
      </c>
      <c r="G1760" s="64">
        <v>0.0015085797216505</v>
      </c>
      <c r="H1760" s="10">
        <f t="shared" si="376"/>
        <v>0.001508579722</v>
      </c>
      <c r="I1760" s="65">
        <v>1.6736020056000003E-5</v>
      </c>
      <c r="J1760" s="65">
        <v>1.936974059245E-4</v>
      </c>
      <c r="K1760" s="65">
        <v>4.7512774566999997E-4</v>
      </c>
      <c r="L1760" s="65">
        <v>8.2301855E-4</v>
      </c>
      <c r="N1760" s="66">
        <v>0.005486790333333333</v>
      </c>
      <c r="O1760" s="10">
        <f t="shared" si="377"/>
        <v>0.005486790333</v>
      </c>
      <c r="Q1760" s="67">
        <v>0.072066036</v>
      </c>
      <c r="S1760" s="68">
        <v>1.507457E-4</v>
      </c>
      <c r="T1760" s="68">
        <v>1.4049221E-4</v>
      </c>
      <c r="U1760" s="68">
        <v>5.2228607E-6</v>
      </c>
      <c r="V1760" s="68">
        <v>5.0306292E-6</v>
      </c>
      <c r="X1760" s="69">
        <v>2.943638E-7</v>
      </c>
    </row>
    <row r="1761" ht="12.75" customHeight="1">
      <c r="A1761" s="1" t="s">
        <v>2438</v>
      </c>
      <c r="B1761" s="2" t="s">
        <v>2381</v>
      </c>
      <c r="C1761" s="60" t="str">
        <f t="shared" si="374"/>
        <v>C.070.01.103</v>
      </c>
      <c r="D1761" s="51" t="s">
        <v>2435</v>
      </c>
      <c r="E1761" s="87" t="s">
        <v>2382</v>
      </c>
      <c r="F1761" s="63" t="str">
        <f t="shared" si="375"/>
        <v>Bulk carrier Panamax</v>
      </c>
      <c r="G1761" s="64">
        <v>9.038651036828E-4</v>
      </c>
      <c r="H1761" s="10">
        <f t="shared" si="376"/>
        <v>0.0009038651037</v>
      </c>
      <c r="I1761" s="65">
        <v>1.0027381741999999E-5</v>
      </c>
      <c r="J1761" s="65">
        <v>1.160537441008E-4</v>
      </c>
      <c r="K1761" s="65">
        <v>2.8467264784E-4</v>
      </c>
      <c r="L1761" s="65">
        <v>4.9311133E-4</v>
      </c>
      <c r="N1761" s="66">
        <v>0.003287408866666667</v>
      </c>
      <c r="O1761" s="10">
        <f t="shared" si="377"/>
        <v>0.003287408867</v>
      </c>
      <c r="Q1761" s="67">
        <v>0.043178345</v>
      </c>
      <c r="S1761" s="68">
        <v>9.0319244E-5</v>
      </c>
      <c r="T1761" s="68">
        <v>8.4175869E-5</v>
      </c>
      <c r="U1761" s="68">
        <v>3.1292755E-6</v>
      </c>
      <c r="V1761" s="68">
        <v>3.0141E-6</v>
      </c>
      <c r="X1761" s="69">
        <v>1.7636799E-7</v>
      </c>
    </row>
    <row r="1762" ht="12.75" customHeight="1">
      <c r="A1762" s="1" t="s">
        <v>2439</v>
      </c>
      <c r="B1762" s="2" t="s">
        <v>2381</v>
      </c>
      <c r="C1762" s="60" t="str">
        <f t="shared" si="374"/>
        <v>C.070.01.104</v>
      </c>
      <c r="D1762" s="51" t="s">
        <v>2435</v>
      </c>
      <c r="E1762" s="87" t="s">
        <v>2382</v>
      </c>
      <c r="F1762" s="63" t="str">
        <f t="shared" si="375"/>
        <v>Coaster Class A (coast US and North and Baltic sea)</v>
      </c>
      <c r="G1762" s="64">
        <v>0.003539149666545</v>
      </c>
      <c r="H1762" s="10">
        <f t="shared" si="376"/>
        <v>0.003539149667</v>
      </c>
      <c r="I1762" s="65">
        <v>3.926294277E-5</v>
      </c>
      <c r="J1762" s="65">
        <v>4.5441689014499994E-4</v>
      </c>
      <c r="K1762" s="65">
        <v>0.00111465653363</v>
      </c>
      <c r="L1762" s="65">
        <v>0.0019308133</v>
      </c>
      <c r="N1762" s="66">
        <v>0.012872088666666668</v>
      </c>
      <c r="O1762" s="10">
        <f t="shared" si="377"/>
        <v>0.01287208867</v>
      </c>
      <c r="Q1762" s="67">
        <v>0.16906795</v>
      </c>
      <c r="S1762" s="68">
        <v>3.5365158E-4</v>
      </c>
      <c r="T1762" s="68">
        <v>3.2959674E-4</v>
      </c>
      <c r="U1762" s="68">
        <v>1.2252906E-5</v>
      </c>
      <c r="V1762" s="68">
        <v>1.1801928E-5</v>
      </c>
      <c r="X1762" s="69">
        <v>6.9058169E-7</v>
      </c>
    </row>
    <row r="1763" ht="12.75" customHeight="1">
      <c r="A1763" s="1" t="s">
        <v>2440</v>
      </c>
      <c r="B1763" s="2" t="s">
        <v>2381</v>
      </c>
      <c r="C1763" s="60" t="str">
        <f t="shared" si="374"/>
        <v>C.070.01.105</v>
      </c>
      <c r="D1763" s="51" t="s">
        <v>2435</v>
      </c>
      <c r="E1763" s="87" t="s">
        <v>2382</v>
      </c>
      <c r="F1763" s="63" t="str">
        <f t="shared" si="375"/>
        <v>Container feeder Handysize 1577 TEU 13  knots</v>
      </c>
      <c r="G1763" s="64">
        <v>0.003090824313616</v>
      </c>
      <c r="H1763" s="10">
        <f t="shared" si="376"/>
        <v>0.003090824314</v>
      </c>
      <c r="I1763" s="65">
        <v>3.428927075E-5</v>
      </c>
      <c r="J1763" s="65">
        <v>3.96853175716E-4</v>
      </c>
      <c r="K1763" s="65">
        <v>9.734562671500001E-4</v>
      </c>
      <c r="L1763" s="65">
        <v>0.0016862256</v>
      </c>
      <c r="N1763" s="66">
        <v>0.011241504</v>
      </c>
      <c r="O1763" s="10">
        <f t="shared" si="377"/>
        <v>0.011241504</v>
      </c>
      <c r="Q1763" s="67">
        <v>0.1476511</v>
      </c>
      <c r="S1763" s="68">
        <v>3.0885241E-4</v>
      </c>
      <c r="T1763" s="68">
        <v>2.8784474E-4</v>
      </c>
      <c r="U1763" s="68">
        <v>1.0700757E-5</v>
      </c>
      <c r="V1763" s="68">
        <v>1.0306907E-5</v>
      </c>
      <c r="X1763" s="69">
        <v>6.0310156E-7</v>
      </c>
    </row>
    <row r="1764" ht="12.75" customHeight="1">
      <c r="A1764" s="1" t="s">
        <v>2441</v>
      </c>
      <c r="B1764" s="2" t="s">
        <v>2381</v>
      </c>
      <c r="C1764" s="60" t="str">
        <f t="shared" si="374"/>
        <v>C.070.01.106</v>
      </c>
      <c r="D1764" s="51" t="s">
        <v>2435</v>
      </c>
      <c r="E1764" s="87" t="s">
        <v>2382</v>
      </c>
      <c r="F1764" s="63" t="str">
        <f t="shared" si="375"/>
        <v>Container ship (min weight/volume ratio 0.41 ton/m3)</v>
      </c>
      <c r="G1764" s="64">
        <v>0.0013129876462722</v>
      </c>
      <c r="H1764" s="10">
        <f t="shared" si="376"/>
        <v>0.001312987646</v>
      </c>
      <c r="I1764" s="65">
        <v>1.4566143269E-5</v>
      </c>
      <c r="J1764" s="65">
        <v>1.6858393601319998E-4</v>
      </c>
      <c r="K1764" s="65">
        <v>4.1352594699E-4</v>
      </c>
      <c r="L1764" s="65">
        <v>7.1631162E-4</v>
      </c>
      <c r="N1764" s="66">
        <v>0.0047754108</v>
      </c>
      <c r="O1764" s="10">
        <f t="shared" si="377"/>
        <v>0.0047754108</v>
      </c>
      <c r="Q1764" s="67">
        <v>0.062722449</v>
      </c>
      <c r="S1764" s="68">
        <v>1.3120105E-4</v>
      </c>
      <c r="T1764" s="68">
        <v>1.2227696E-4</v>
      </c>
      <c r="U1764" s="68">
        <v>4.5457005E-6</v>
      </c>
      <c r="V1764" s="68">
        <v>4.3783924E-6</v>
      </c>
      <c r="X1764" s="69">
        <v>2.5619861E-7</v>
      </c>
    </row>
    <row r="1765" ht="12.75" customHeight="1">
      <c r="A1765" s="1" t="s">
        <v>2442</v>
      </c>
      <c r="B1765" s="2" t="s">
        <v>2381</v>
      </c>
      <c r="C1765" s="60" t="str">
        <f t="shared" si="374"/>
        <v>C.070.01.107</v>
      </c>
      <c r="D1765" s="51" t="s">
        <v>2435</v>
      </c>
      <c r="E1765" s="87" t="s">
        <v>2382</v>
      </c>
      <c r="F1765" s="63" t="str">
        <f t="shared" si="375"/>
        <v>Oil Supertanker</v>
      </c>
      <c r="G1765" s="64">
        <v>7.926632407729999E-4</v>
      </c>
      <c r="H1765" s="10">
        <f t="shared" si="376"/>
        <v>0.0007926632408</v>
      </c>
      <c r="I1765" s="65">
        <v>8.793720190000002E-6</v>
      </c>
      <c r="J1765" s="65">
        <v>1.01775738423E-4</v>
      </c>
      <c r="K1765" s="65">
        <v>2.4964958215999996E-4</v>
      </c>
      <c r="L1765" s="65">
        <v>4.324442E-4</v>
      </c>
      <c r="N1765" s="66">
        <v>0.0028829613333333334</v>
      </c>
      <c r="O1765" s="10">
        <f t="shared" si="377"/>
        <v>0.002882961333</v>
      </c>
      <c r="Q1765" s="67">
        <v>0.037866144</v>
      </c>
      <c r="S1765" s="68">
        <v>7.9207333E-5</v>
      </c>
      <c r="T1765" s="68">
        <v>7.3819772E-5</v>
      </c>
      <c r="U1765" s="68">
        <v>2.744283E-6</v>
      </c>
      <c r="V1765" s="68">
        <v>2.6432775E-6</v>
      </c>
      <c r="X1765" s="69">
        <v>1.5466956E-7</v>
      </c>
    </row>
    <row r="1766" ht="12.75" customHeight="1">
      <c r="A1766" s="1" t="s">
        <v>2443</v>
      </c>
      <c r="B1766" s="2" t="s">
        <v>2381</v>
      </c>
      <c r="C1766" s="60" t="str">
        <f t="shared" si="374"/>
        <v>C.070.01.108</v>
      </c>
      <c r="D1766" s="51" t="s">
        <v>2435</v>
      </c>
      <c r="E1766" s="87" t="s">
        <v>2385</v>
      </c>
      <c r="F1766" s="63" t="str">
        <f t="shared" si="375"/>
        <v>Container ship (max weight/volume ratio 0.41 ton/m3) (m3km)*</v>
      </c>
      <c r="G1766" s="64">
        <v>5.386616029378E-4</v>
      </c>
      <c r="H1766" s="10">
        <f t="shared" si="376"/>
        <v>0.0005386616029</v>
      </c>
      <c r="I1766" s="65">
        <v>5.975853504E-6</v>
      </c>
      <c r="J1766" s="65">
        <v>6.91626396438E-5</v>
      </c>
      <c r="K1766" s="65">
        <v>1.6965166978999999E-4</v>
      </c>
      <c r="L1766" s="65">
        <v>2.9387144E-4</v>
      </c>
      <c r="N1766" s="66">
        <v>0.0019591429333333335</v>
      </c>
      <c r="O1766" s="10">
        <f t="shared" si="377"/>
        <v>0.001959142933</v>
      </c>
      <c r="Q1766" s="67">
        <v>0.025732287</v>
      </c>
      <c r="S1766" s="68">
        <v>5.3826072E-5</v>
      </c>
      <c r="T1766" s="68">
        <v>5.0164906E-5</v>
      </c>
      <c r="U1766" s="68">
        <v>1.8649028E-6</v>
      </c>
      <c r="V1766" s="68">
        <v>1.7962635E-6</v>
      </c>
      <c r="X1766" s="69">
        <v>1.0510712E-7</v>
      </c>
    </row>
    <row r="1767" ht="12.75" customHeight="1">
      <c r="B1767" s="2"/>
      <c r="C1767" s="60"/>
      <c r="D1767" s="75" t="s">
        <v>2444</v>
      </c>
      <c r="E1767" s="87"/>
      <c r="G1767" s="10"/>
      <c r="H1767" s="10"/>
      <c r="I1767" s="10"/>
      <c r="J1767" s="10"/>
      <c r="K1767" s="10"/>
      <c r="L1767" s="10"/>
      <c r="N1767" s="10"/>
      <c r="O1767" s="10"/>
      <c r="Q1767" s="67"/>
    </row>
    <row r="1768" ht="12.75" customHeight="1">
      <c r="B1768" s="2"/>
      <c r="C1768" s="60"/>
      <c r="D1768" s="75" t="s">
        <v>2445</v>
      </c>
      <c r="E1768" s="87"/>
      <c r="G1768" s="10"/>
      <c r="H1768" s="10"/>
      <c r="I1768" s="10"/>
      <c r="J1768" s="10"/>
      <c r="K1768" s="10"/>
      <c r="L1768" s="10"/>
      <c r="N1768" s="10"/>
      <c r="O1768" s="10"/>
      <c r="Q1768" s="67"/>
    </row>
    <row r="1769" ht="12.75" customHeight="1">
      <c r="A1769" s="1" t="s">
        <v>2446</v>
      </c>
      <c r="B1769" s="2" t="s">
        <v>2447</v>
      </c>
      <c r="C1769" s="60" t="str">
        <f t="shared" ref="C1769:C1772" si="378">MID(A1769,1,12)</f>
        <v>D.050.01.101</v>
      </c>
      <c r="D1769" s="51" t="s">
        <v>2445</v>
      </c>
      <c r="E1769" s="62" t="s">
        <v>45</v>
      </c>
      <c r="F1769" s="63" t="str">
        <f t="shared" ref="F1769:F1772" si="379">MID(A1769, 21,85)</f>
        <v>Deep drawing steel</v>
      </c>
      <c r="G1769" s="64">
        <v>0.09260128669</v>
      </c>
      <c r="H1769" s="10">
        <f t="shared" ref="H1769:H1776" si="380">G1769</f>
        <v>0.09260128669</v>
      </c>
      <c r="I1769" s="65">
        <v>0.00293418928</v>
      </c>
      <c r="J1769" s="65">
        <v>0.0060786159</v>
      </c>
      <c r="K1769" s="65">
        <v>0.01469445851</v>
      </c>
      <c r="L1769" s="65">
        <v>0.068894023</v>
      </c>
      <c r="N1769" s="66">
        <v>0.4592934866666667</v>
      </c>
      <c r="O1769" s="10">
        <f t="shared" ref="O1769:O1772" si="381">N1769</f>
        <v>0.4592934867</v>
      </c>
      <c r="Q1769" s="67">
        <v>8.7663375</v>
      </c>
      <c r="S1769" s="68">
        <v>0.0087481975</v>
      </c>
      <c r="T1769" s="68">
        <v>0.0082168646</v>
      </c>
      <c r="U1769" s="68">
        <v>3.7089116E-4</v>
      </c>
      <c r="V1769" s="68">
        <v>1.6044174E-4</v>
      </c>
      <c r="X1769" s="69">
        <v>2.3266754E-5</v>
      </c>
    </row>
    <row r="1770" ht="12.75" customHeight="1">
      <c r="A1770" s="1" t="s">
        <v>2448</v>
      </c>
      <c r="B1770" s="2" t="s">
        <v>2447</v>
      </c>
      <c r="C1770" s="60" t="str">
        <f t="shared" si="378"/>
        <v>D.050.01.102</v>
      </c>
      <c r="D1770" s="51" t="s">
        <v>2445</v>
      </c>
      <c r="E1770" s="62" t="s">
        <v>45</v>
      </c>
      <c r="F1770" s="63" t="str">
        <f t="shared" si="379"/>
        <v>Rolling steel</v>
      </c>
      <c r="G1770" s="64">
        <v>0.02626804248635278</v>
      </c>
      <c r="H1770" s="10">
        <f t="shared" si="380"/>
        <v>0.02626804249</v>
      </c>
      <c r="I1770" s="65">
        <v>3.1028825424960003E-4</v>
      </c>
      <c r="J1770" s="65">
        <v>0.0034577542321031656</v>
      </c>
      <c r="K1770" s="65">
        <v>1.3877788E-17</v>
      </c>
      <c r="L1770" s="65">
        <v>0.0225</v>
      </c>
      <c r="N1770" s="66">
        <v>0.15</v>
      </c>
      <c r="O1770" s="10">
        <f t="shared" si="381"/>
        <v>0.15</v>
      </c>
      <c r="Q1770" s="67">
        <v>1.785</v>
      </c>
      <c r="S1770" s="68">
        <v>0.0035843709</v>
      </c>
      <c r="T1770" s="68">
        <v>0.0033238219</v>
      </c>
      <c r="U1770" s="68">
        <v>1.3309993E-4</v>
      </c>
      <c r="V1770" s="68">
        <v>1.27449E-4</v>
      </c>
      <c r="X1770" s="69">
        <v>7.3285134E-6</v>
      </c>
    </row>
    <row r="1771" ht="12.75" customHeight="1">
      <c r="A1771" s="1" t="s">
        <v>2449</v>
      </c>
      <c r="B1771" s="2" t="s">
        <v>2447</v>
      </c>
      <c r="C1771" s="60" t="str">
        <f t="shared" si="378"/>
        <v>D.050.01.103</v>
      </c>
      <c r="D1771" s="51" t="s">
        <v>2445</v>
      </c>
      <c r="E1771" s="62" t="s">
        <v>2450</v>
      </c>
      <c r="F1771" s="63" t="str">
        <f t="shared" si="379"/>
        <v>Fiber Laser cutting 1000 W  Steel 1mm thick  1 meter</v>
      </c>
      <c r="G1771" s="64">
        <v>1.0092783314E-4</v>
      </c>
      <c r="H1771" s="10">
        <f t="shared" si="380"/>
        <v>0.0001009278331</v>
      </c>
      <c r="I1771" s="65">
        <v>3.1980264E-6</v>
      </c>
      <c r="J1771" s="65">
        <v>6.6251945000000005E-6</v>
      </c>
      <c r="K1771" s="65">
        <v>1.601575924E-5</v>
      </c>
      <c r="L1771" s="65">
        <v>7.5088853E-5</v>
      </c>
      <c r="N1771" s="66">
        <v>5.005923533333334E-4</v>
      </c>
      <c r="O1771" s="10">
        <f t="shared" si="381"/>
        <v>0.0005005923533</v>
      </c>
      <c r="Q1771" s="67">
        <v>0.0095545913</v>
      </c>
      <c r="S1771" s="68">
        <v>9.5348202E-6</v>
      </c>
      <c r="T1771" s="68">
        <v>8.9557108E-6</v>
      </c>
      <c r="U1771" s="68">
        <v>4.0424105E-7</v>
      </c>
      <c r="V1771" s="68">
        <v>1.7486838E-7</v>
      </c>
      <c r="X1771" s="69">
        <v>2.535886E-8</v>
      </c>
    </row>
    <row r="1772" ht="12.75" customHeight="1">
      <c r="A1772" s="1" t="s">
        <v>2451</v>
      </c>
      <c r="B1772" s="2" t="s">
        <v>2447</v>
      </c>
      <c r="C1772" s="60" t="str">
        <f t="shared" si="378"/>
        <v>D.050.01.104</v>
      </c>
      <c r="D1772" s="51" t="s">
        <v>2445</v>
      </c>
      <c r="E1772" s="62" t="s">
        <v>2450</v>
      </c>
      <c r="F1772" s="63" t="str">
        <f t="shared" si="379"/>
        <v>Fiber Laser cutting 6000 W  Steel 10mm thick per 1 meter</v>
      </c>
      <c r="G1772" s="64">
        <v>0.005046391692</v>
      </c>
      <c r="H1772" s="10">
        <f t="shared" si="380"/>
        <v>0.005046391692</v>
      </c>
      <c r="I1772" s="65">
        <v>1.5990132E-4</v>
      </c>
      <c r="J1772" s="65">
        <v>3.3125973E-4</v>
      </c>
      <c r="K1772" s="65">
        <v>8.00787942E-4</v>
      </c>
      <c r="L1772" s="65">
        <v>0.0037544427</v>
      </c>
      <c r="N1772" s="66">
        <v>0.025029618</v>
      </c>
      <c r="O1772" s="10">
        <f t="shared" si="381"/>
        <v>0.025029618</v>
      </c>
      <c r="Q1772" s="67">
        <v>0.47772956</v>
      </c>
      <c r="S1772" s="68">
        <v>4.7674101E-4</v>
      </c>
      <c r="T1772" s="68">
        <v>4.4778554E-4</v>
      </c>
      <c r="U1772" s="68">
        <v>2.0212053E-5</v>
      </c>
      <c r="V1772" s="68">
        <v>8.7434192E-6</v>
      </c>
      <c r="X1772" s="69">
        <v>1.267943E-6</v>
      </c>
    </row>
    <row r="1773" ht="12.75" customHeight="1">
      <c r="B1773" s="2"/>
      <c r="C1773" s="60"/>
      <c r="D1773" s="75" t="s">
        <v>2452</v>
      </c>
      <c r="E1773" s="62"/>
      <c r="G1773" s="10"/>
      <c r="H1773" s="10" t="str">
        <f t="shared" si="380"/>
        <v/>
      </c>
      <c r="I1773" s="10"/>
      <c r="J1773" s="10"/>
      <c r="K1773" s="10"/>
      <c r="L1773" s="10"/>
      <c r="N1773" s="10"/>
      <c r="O1773" s="10"/>
      <c r="Q1773" s="67"/>
    </row>
    <row r="1774" ht="12.75" customHeight="1">
      <c r="A1774" s="1" t="s">
        <v>2453</v>
      </c>
      <c r="B1774" s="2" t="s">
        <v>2447</v>
      </c>
      <c r="C1774" s="60" t="str">
        <f t="shared" ref="C1774:C1776" si="382">MID(A1774,1,12)</f>
        <v>D.060.01.101</v>
      </c>
      <c r="D1774" s="51" t="s">
        <v>2452</v>
      </c>
      <c r="E1774" s="62" t="s">
        <v>45</v>
      </c>
      <c r="F1774" s="63" t="str">
        <f t="shared" ref="F1774:F1776" si="383">MID(A1774, 21,85)</f>
        <v>Drilling steel (per kg removed - the removed steel not counted)</v>
      </c>
      <c r="G1774" s="64">
        <v>0.019428607664</v>
      </c>
      <c r="H1774" s="10">
        <f t="shared" si="380"/>
        <v>0.01942860766</v>
      </c>
      <c r="I1774" s="65">
        <v>6.15620088E-4</v>
      </c>
      <c r="J1774" s="65">
        <v>0.00127534994</v>
      </c>
      <c r="K1774" s="65">
        <v>0.003083033636</v>
      </c>
      <c r="L1774" s="65">
        <v>0.014454604</v>
      </c>
      <c r="N1774" s="66">
        <v>0.09636402666666667</v>
      </c>
      <c r="O1774" s="10">
        <f t="shared" ref="O1774:O1776" si="384">N1774</f>
        <v>0.09636402667</v>
      </c>
      <c r="Q1774" s="67">
        <v>1.8392588</v>
      </c>
      <c r="S1774" s="68">
        <v>0.0018354529</v>
      </c>
      <c r="T1774" s="68">
        <v>0.0017239743</v>
      </c>
      <c r="U1774" s="68">
        <v>7.7816402E-5</v>
      </c>
      <c r="V1774" s="68">
        <v>3.3662164E-5</v>
      </c>
      <c r="X1774" s="69">
        <v>4.8815806E-6</v>
      </c>
    </row>
    <row r="1775" ht="12.75" customHeight="1">
      <c r="A1775" s="1" t="s">
        <v>2454</v>
      </c>
      <c r="B1775" s="2" t="s">
        <v>2447</v>
      </c>
      <c r="C1775" s="60" t="str">
        <f t="shared" si="382"/>
        <v>D.060.01.102</v>
      </c>
      <c r="D1775" s="51" t="s">
        <v>2452</v>
      </c>
      <c r="E1775" s="62" t="s">
        <v>45</v>
      </c>
      <c r="F1775" s="63" t="str">
        <f t="shared" si="383"/>
        <v>Milling steel (per kg removed - revomed steel not counted)</v>
      </c>
      <c r="G1775" s="64">
        <v>0.019428607664</v>
      </c>
      <c r="H1775" s="10">
        <f t="shared" si="380"/>
        <v>0.01942860766</v>
      </c>
      <c r="I1775" s="65">
        <v>6.15620088E-4</v>
      </c>
      <c r="J1775" s="65">
        <v>0.00127534994</v>
      </c>
      <c r="K1775" s="65">
        <v>0.003083033636</v>
      </c>
      <c r="L1775" s="65">
        <v>0.014454604</v>
      </c>
      <c r="N1775" s="66">
        <v>0.09636402666666667</v>
      </c>
      <c r="O1775" s="10">
        <f t="shared" si="384"/>
        <v>0.09636402667</v>
      </c>
      <c r="Q1775" s="67">
        <v>1.8392588</v>
      </c>
      <c r="S1775" s="68">
        <v>0.0018354529</v>
      </c>
      <c r="T1775" s="68">
        <v>0.0017239743</v>
      </c>
      <c r="U1775" s="68">
        <v>7.7816402E-5</v>
      </c>
      <c r="V1775" s="68">
        <v>3.3662164E-5</v>
      </c>
      <c r="X1775" s="69">
        <v>4.8815806E-6</v>
      </c>
    </row>
    <row r="1776" ht="12.75" customHeight="1">
      <c r="A1776" s="1" t="s">
        <v>2455</v>
      </c>
      <c r="B1776" s="2" t="s">
        <v>2447</v>
      </c>
      <c r="C1776" s="60" t="str">
        <f t="shared" si="382"/>
        <v>D.060.01.103</v>
      </c>
      <c r="D1776" s="51" t="s">
        <v>2452</v>
      </c>
      <c r="E1776" s="62" t="s">
        <v>45</v>
      </c>
      <c r="F1776" s="63" t="str">
        <f t="shared" si="383"/>
        <v>Turrning steel (per kg removed - steel removed not counted)</v>
      </c>
      <c r="G1776" s="64">
        <v>0.019428607664</v>
      </c>
      <c r="H1776" s="10">
        <f t="shared" si="380"/>
        <v>0.01942860766</v>
      </c>
      <c r="I1776" s="65">
        <v>6.15620088E-4</v>
      </c>
      <c r="J1776" s="65">
        <v>0.00127534994</v>
      </c>
      <c r="K1776" s="65">
        <v>0.003083033636</v>
      </c>
      <c r="L1776" s="65">
        <v>0.014454604</v>
      </c>
      <c r="N1776" s="66">
        <v>0.09636402666666667</v>
      </c>
      <c r="O1776" s="10">
        <f t="shared" si="384"/>
        <v>0.09636402667</v>
      </c>
      <c r="Q1776" s="67">
        <v>1.8392588</v>
      </c>
      <c r="S1776" s="68">
        <v>0.0018354529</v>
      </c>
      <c r="T1776" s="68">
        <v>0.0017239743</v>
      </c>
      <c r="U1776" s="68">
        <v>7.7816402E-5</v>
      </c>
      <c r="V1776" s="68">
        <v>3.3662164E-5</v>
      </c>
      <c r="X1776" s="69">
        <v>4.8815806E-6</v>
      </c>
    </row>
    <row r="1777" ht="12.75" customHeight="1">
      <c r="B1777" s="2"/>
      <c r="C1777" s="60"/>
      <c r="D1777" s="75" t="s">
        <v>2456</v>
      </c>
      <c r="E1777" s="62"/>
      <c r="G1777" s="10"/>
      <c r="H1777" s="10"/>
      <c r="I1777" s="10"/>
      <c r="J1777" s="10"/>
      <c r="K1777" s="10"/>
      <c r="L1777" s="10"/>
      <c r="N1777" s="10"/>
      <c r="O1777" s="10"/>
      <c r="Q1777" s="67"/>
    </row>
    <row r="1778" ht="12.75" customHeight="1">
      <c r="A1778" s="1" t="s">
        <v>2457</v>
      </c>
      <c r="B1778" s="2" t="s">
        <v>2447</v>
      </c>
      <c r="C1778" s="60" t="str">
        <f t="shared" ref="C1778:C1787" si="385">MID(A1778,1,12)</f>
        <v>D.070.01.101</v>
      </c>
      <c r="D1778" s="51" t="s">
        <v>2456</v>
      </c>
      <c r="E1778" s="62" t="s">
        <v>729</v>
      </c>
      <c r="F1778" s="63" t="str">
        <f t="shared" ref="F1778:F1788" si="386">MID(A1778, 21,85)</f>
        <v>Electroplating Chrome (single side)</v>
      </c>
      <c r="G1778" s="64">
        <v>1.3703950675180654</v>
      </c>
      <c r="H1778" s="10">
        <f t="shared" ref="H1778:H1788" si="387">G1778</f>
        <v>1.370395068</v>
      </c>
      <c r="I1778" s="65">
        <v>0.08038244268</v>
      </c>
      <c r="J1778" s="65">
        <v>0.568291812371953</v>
      </c>
      <c r="K1778" s="65">
        <v>0.39680324246611237</v>
      </c>
      <c r="L1778" s="65">
        <v>0.32491757</v>
      </c>
      <c r="N1778" s="66">
        <v>2.1661171333333336</v>
      </c>
      <c r="O1778" s="10">
        <f t="shared" ref="O1778:O1788" si="388">N1778</f>
        <v>2.166117133</v>
      </c>
      <c r="Q1778" s="67">
        <v>14.178665</v>
      </c>
      <c r="S1778" s="68">
        <v>0.16442659</v>
      </c>
      <c r="T1778" s="68">
        <v>0.1587516</v>
      </c>
      <c r="U1778" s="68">
        <v>0.0050467308</v>
      </c>
      <c r="V1778" s="68">
        <v>6.2825796E-4</v>
      </c>
      <c r="X1778" s="69">
        <v>3.8728899E-4</v>
      </c>
    </row>
    <row r="1779" ht="12.75" customHeight="1">
      <c r="A1779" s="1" t="s">
        <v>2458</v>
      </c>
      <c r="B1779" s="2" t="s">
        <v>2447</v>
      </c>
      <c r="C1779" s="60" t="str">
        <f t="shared" si="385"/>
        <v>D.070.01.102</v>
      </c>
      <c r="D1779" s="51" t="s">
        <v>2456</v>
      </c>
      <c r="E1779" s="62" t="s">
        <v>729</v>
      </c>
      <c r="F1779" s="63" t="str">
        <f t="shared" si="386"/>
        <v>Electroplating Nickel (single side)</v>
      </c>
      <c r="G1779" s="64">
        <v>1.5751200663301346</v>
      </c>
      <c r="H1779" s="10">
        <f t="shared" si="387"/>
        <v>1.575120066</v>
      </c>
      <c r="I1779" s="65">
        <v>0.031144339654</v>
      </c>
      <c r="J1779" s="65">
        <v>0.73639395374391</v>
      </c>
      <c r="K1779" s="65">
        <v>0.6265286729322247</v>
      </c>
      <c r="L1779" s="65">
        <v>0.1810531</v>
      </c>
      <c r="N1779" s="66">
        <v>1.2070206666666667</v>
      </c>
      <c r="O1779" s="10">
        <f t="shared" si="388"/>
        <v>1.207020667</v>
      </c>
      <c r="Q1779" s="67">
        <v>23.084598</v>
      </c>
      <c r="S1779" s="68">
        <v>0.21938558</v>
      </c>
      <c r="T1779" s="68">
        <v>0.21270472</v>
      </c>
      <c r="U1779" s="68">
        <v>0.0054421185</v>
      </c>
      <c r="V1779" s="68">
        <v>0.0012387388</v>
      </c>
      <c r="X1779" s="69">
        <v>3.2840789E-4</v>
      </c>
    </row>
    <row r="1780" ht="12.75" customHeight="1">
      <c r="A1780" s="1" t="s">
        <v>2459</v>
      </c>
      <c r="B1780" s="2" t="s">
        <v>2447</v>
      </c>
      <c r="C1780" s="60" t="str">
        <f t="shared" si="385"/>
        <v>D.070.01.103</v>
      </c>
      <c r="D1780" s="51" t="s">
        <v>2456</v>
      </c>
      <c r="E1780" s="62" t="s">
        <v>729</v>
      </c>
      <c r="F1780" s="63" t="str">
        <f t="shared" si="386"/>
        <v>Electroplating Zinc incl. outside use per 10 years (10  micron single side)</v>
      </c>
      <c r="G1780" s="64">
        <v>1.5125369831607551</v>
      </c>
      <c r="H1780" s="10">
        <f t="shared" si="387"/>
        <v>1.512536983</v>
      </c>
      <c r="I1780" s="65">
        <v>0.0791860452</v>
      </c>
      <c r="J1780" s="65">
        <v>0.6241111773152501</v>
      </c>
      <c r="K1780" s="65">
        <v>0.404433170645505</v>
      </c>
      <c r="L1780" s="65">
        <v>0.40480659</v>
      </c>
      <c r="N1780" s="66">
        <v>2.6987106</v>
      </c>
      <c r="O1780" s="10">
        <f t="shared" si="388"/>
        <v>2.6987106</v>
      </c>
      <c r="Q1780" s="67">
        <v>51.805159</v>
      </c>
      <c r="S1780" s="68">
        <v>2.3678791</v>
      </c>
      <c r="T1780" s="68">
        <v>2.358747</v>
      </c>
      <c r="U1780" s="68">
        <v>0.0079036788</v>
      </c>
      <c r="V1780" s="68">
        <v>0.0012284821</v>
      </c>
      <c r="X1780" s="69">
        <v>4.9810761E-4</v>
      </c>
    </row>
    <row r="1781" ht="12.75" customHeight="1">
      <c r="A1781" s="1" t="s">
        <v>2460</v>
      </c>
      <c r="B1781" s="2" t="s">
        <v>2447</v>
      </c>
      <c r="C1781" s="60" t="str">
        <f t="shared" si="385"/>
        <v>D.070.01.104</v>
      </c>
      <c r="D1781" s="51" t="s">
        <v>2456</v>
      </c>
      <c r="E1781" s="62" t="s">
        <v>729</v>
      </c>
      <c r="F1781" s="63" t="str">
        <f t="shared" si="386"/>
        <v>Electroplating Zinc inside use or painted (5 micron)</v>
      </c>
      <c r="G1781" s="64">
        <v>0.5784104409303226</v>
      </c>
      <c r="H1781" s="10">
        <f t="shared" si="387"/>
        <v>0.5784104409</v>
      </c>
      <c r="I1781" s="65">
        <v>0.02848950795</v>
      </c>
      <c r="J1781" s="65">
        <v>0.13944631865756998</v>
      </c>
      <c r="K1781" s="65">
        <v>0.2075456943227525</v>
      </c>
      <c r="L1781" s="65">
        <v>0.20292892</v>
      </c>
      <c r="N1781" s="66">
        <v>1.352859466666667</v>
      </c>
      <c r="O1781" s="10">
        <f t="shared" si="388"/>
        <v>1.352859467</v>
      </c>
      <c r="Q1781" s="67">
        <v>25.969462</v>
      </c>
      <c r="S1781" s="68">
        <v>0.053377035</v>
      </c>
      <c r="T1781" s="68">
        <v>0.050533784</v>
      </c>
      <c r="U1781" s="68">
        <v>0.0022277865</v>
      </c>
      <c r="V1781" s="68">
        <v>6.1546513E-4</v>
      </c>
      <c r="X1781" s="69">
        <v>2.2164494E-4</v>
      </c>
    </row>
    <row r="1782" ht="12.75" customHeight="1">
      <c r="A1782" s="1" t="s">
        <v>2461</v>
      </c>
      <c r="B1782" s="2" t="s">
        <v>2447</v>
      </c>
      <c r="C1782" s="60" t="str">
        <f t="shared" si="385"/>
        <v>D.070.01.105</v>
      </c>
      <c r="D1782" s="51" t="s">
        <v>2456</v>
      </c>
      <c r="E1782" s="62" t="s">
        <v>729</v>
      </c>
      <c r="F1782" s="63" t="str">
        <f t="shared" si="386"/>
        <v>Hot-dip Zinc plating pieces outside use single side</v>
      </c>
      <c r="G1782" s="64">
        <v>4.21741437015423</v>
      </c>
      <c r="H1782" s="10">
        <f t="shared" si="387"/>
        <v>4.21741437</v>
      </c>
      <c r="I1782" s="65">
        <v>0.064997562938</v>
      </c>
      <c r="J1782" s="65">
        <v>0.4243917515826</v>
      </c>
      <c r="K1782" s="65">
        <v>1.7141478556336298</v>
      </c>
      <c r="L1782" s="65">
        <v>2.0138772</v>
      </c>
      <c r="N1782" s="66">
        <v>13.425848</v>
      </c>
      <c r="O1782" s="10">
        <f t="shared" si="388"/>
        <v>13.425848</v>
      </c>
      <c r="Q1782" s="67">
        <v>260.36491</v>
      </c>
      <c r="S1782" s="68">
        <v>0.33925572</v>
      </c>
      <c r="T1782" s="68">
        <v>0.31829583</v>
      </c>
      <c r="U1782" s="68">
        <v>0.012301032</v>
      </c>
      <c r="V1782" s="68">
        <v>0.0086588542</v>
      </c>
      <c r="X1782" s="69">
        <v>0.0013146304</v>
      </c>
    </row>
    <row r="1783" ht="12.75" customHeight="1">
      <c r="A1783" s="1" t="s">
        <v>2462</v>
      </c>
      <c r="B1783" s="2" t="s">
        <v>2447</v>
      </c>
      <c r="C1783" s="60" t="str">
        <f t="shared" si="385"/>
        <v>D.070.01.106</v>
      </c>
      <c r="D1783" s="51" t="s">
        <v>2456</v>
      </c>
      <c r="E1783" s="62" t="s">
        <v>729</v>
      </c>
      <c r="F1783" s="63" t="str">
        <f t="shared" si="386"/>
        <v>Phosphating (Fe s)</v>
      </c>
      <c r="G1783" s="64">
        <v>0.1355198522240113</v>
      </c>
      <c r="H1783" s="10">
        <f t="shared" si="387"/>
        <v>0.1355198522</v>
      </c>
      <c r="I1783" s="65">
        <v>0.00405391154559</v>
      </c>
      <c r="J1783" s="65">
        <v>0.0196642032284213</v>
      </c>
      <c r="K1783" s="65">
        <v>0.01963638845</v>
      </c>
      <c r="L1783" s="65">
        <v>0.092165349</v>
      </c>
      <c r="N1783" s="66">
        <v>0.6144356599999999</v>
      </c>
      <c r="O1783" s="10">
        <f t="shared" si="388"/>
        <v>0.61443566</v>
      </c>
      <c r="Q1783" s="67">
        <v>11.72367</v>
      </c>
      <c r="S1783" s="68">
        <v>0.013398082</v>
      </c>
      <c r="T1783" s="68">
        <v>0.012558625</v>
      </c>
      <c r="U1783" s="68">
        <v>6.2406389E-4</v>
      </c>
      <c r="V1783" s="68">
        <v>2.153934E-4</v>
      </c>
      <c r="X1783" s="69">
        <v>4.3304529E-5</v>
      </c>
    </row>
    <row r="1784" ht="12.75" customHeight="1">
      <c r="A1784" s="1" t="s">
        <v>2463</v>
      </c>
      <c r="B1784" s="2" t="s">
        <v>2447</v>
      </c>
      <c r="C1784" s="60" t="str">
        <f t="shared" si="385"/>
        <v>D.070.01.107</v>
      </c>
      <c r="D1784" s="51" t="s">
        <v>2456</v>
      </c>
      <c r="E1784" s="62" t="s">
        <v>729</v>
      </c>
      <c r="F1784" s="63" t="str">
        <f t="shared" si="386"/>
        <v>Phosphating (Zn i)</v>
      </c>
      <c r="G1784" s="64">
        <v>0.033942187378169175</v>
      </c>
      <c r="H1784" s="10">
        <f t="shared" si="387"/>
        <v>0.03394218738</v>
      </c>
      <c r="I1784" s="65">
        <v>0.0025508273978699994</v>
      </c>
      <c r="J1784" s="65">
        <v>0.025443711615525</v>
      </c>
      <c r="K1784" s="65">
        <v>0.003955295464774175</v>
      </c>
      <c r="L1784" s="65">
        <v>0.0019923529</v>
      </c>
      <c r="N1784" s="66">
        <v>0.013282352666666667</v>
      </c>
      <c r="O1784" s="10">
        <f t="shared" si="388"/>
        <v>0.01328235267</v>
      </c>
      <c r="Q1784" s="67">
        <v>0.25333716</v>
      </c>
      <c r="S1784" s="68">
        <v>0.0046064816</v>
      </c>
      <c r="T1784" s="68">
        <v>0.0043098469</v>
      </c>
      <c r="U1784" s="68">
        <v>2.785529E-4</v>
      </c>
      <c r="V1784" s="68">
        <v>1.8081778E-5</v>
      </c>
      <c r="X1784" s="69">
        <v>2.7035662E-5</v>
      </c>
    </row>
    <row r="1785" ht="12.75" customHeight="1">
      <c r="A1785" s="1" t="s">
        <v>2464</v>
      </c>
      <c r="B1785" s="2" t="s">
        <v>2447</v>
      </c>
      <c r="C1785" s="60" t="str">
        <f t="shared" si="385"/>
        <v>D.070.01.108</v>
      </c>
      <c r="D1785" s="51" t="s">
        <v>2456</v>
      </c>
      <c r="E1785" s="62" t="s">
        <v>729</v>
      </c>
      <c r="F1785" s="63" t="str">
        <f t="shared" si="386"/>
        <v>Phosphating (Zn s)</v>
      </c>
      <c r="G1785" s="64">
        <v>0.015389837135664688</v>
      </c>
      <c r="H1785" s="10">
        <f t="shared" si="387"/>
        <v>0.01538983714</v>
      </c>
      <c r="I1785" s="65">
        <v>8.1021934727E-4</v>
      </c>
      <c r="J1785" s="65">
        <v>0.011613431563207599</v>
      </c>
      <c r="K1785" s="65">
        <v>0.0019769906951870877</v>
      </c>
      <c r="L1785" s="65">
        <v>9.8919553E-4</v>
      </c>
      <c r="N1785" s="66">
        <v>0.006594636866666667</v>
      </c>
      <c r="O1785" s="10">
        <f t="shared" si="388"/>
        <v>0.006594636867</v>
      </c>
      <c r="Q1785" s="67">
        <v>0.12592643</v>
      </c>
      <c r="S1785" s="68">
        <v>0.0020475114</v>
      </c>
      <c r="T1785" s="68">
        <v>0.0019096562</v>
      </c>
      <c r="U1785" s="68">
        <v>1.2885968E-4</v>
      </c>
      <c r="V1785" s="68">
        <v>8.9955189E-6</v>
      </c>
      <c r="X1785" s="69">
        <v>1.2655155E-5</v>
      </c>
    </row>
    <row r="1786" ht="12.75" customHeight="1">
      <c r="A1786" s="1" t="s">
        <v>2465</v>
      </c>
      <c r="B1786" s="2" t="s">
        <v>2447</v>
      </c>
      <c r="C1786" s="60" t="str">
        <f t="shared" si="385"/>
        <v>D.070.01.109</v>
      </c>
      <c r="D1786" s="51" t="s">
        <v>2456</v>
      </c>
      <c r="E1786" s="62" t="s">
        <v>729</v>
      </c>
      <c r="F1786" s="63" t="str">
        <f t="shared" si="386"/>
        <v>Powder coating aluminium</v>
      </c>
      <c r="G1786" s="64">
        <v>1.020001147262</v>
      </c>
      <c r="H1786" s="10">
        <f t="shared" si="387"/>
        <v>1.020001147</v>
      </c>
      <c r="I1786" s="65">
        <v>0.04854772735000001</v>
      </c>
      <c r="J1786" s="65">
        <v>0.15647558871199999</v>
      </c>
      <c r="K1786" s="65">
        <v>0.2186720412</v>
      </c>
      <c r="L1786" s="65">
        <v>0.59630579</v>
      </c>
      <c r="N1786" s="66">
        <v>3.9753719333333333</v>
      </c>
      <c r="O1786" s="10">
        <f t="shared" si="388"/>
        <v>3.975371933</v>
      </c>
      <c r="Q1786" s="67">
        <v>51.534019</v>
      </c>
      <c r="S1786" s="68">
        <v>0.10490248</v>
      </c>
      <c r="T1786" s="68">
        <v>0.097540114</v>
      </c>
      <c r="U1786" s="68">
        <v>0.0037134039</v>
      </c>
      <c r="V1786" s="68">
        <v>0.0036489597</v>
      </c>
      <c r="X1786" s="69">
        <v>2.2531735E-4</v>
      </c>
    </row>
    <row r="1787" ht="12.75" customHeight="1">
      <c r="A1787" s="1" t="s">
        <v>2466</v>
      </c>
      <c r="B1787" s="2" t="s">
        <v>2447</v>
      </c>
      <c r="C1787" s="60" t="str">
        <f t="shared" si="385"/>
        <v>D.070.01.110</v>
      </c>
      <c r="D1787" s="51" t="s">
        <v>2456</v>
      </c>
      <c r="E1787" s="62" t="s">
        <v>729</v>
      </c>
      <c r="F1787" s="63" t="str">
        <f t="shared" si="386"/>
        <v>Powder coating steel</v>
      </c>
      <c r="G1787" s="64">
        <v>1.104742373191</v>
      </c>
      <c r="H1787" s="10">
        <f t="shared" si="387"/>
        <v>1.104742373</v>
      </c>
      <c r="I1787" s="65">
        <v>0.04718064636</v>
      </c>
      <c r="J1787" s="65">
        <v>0.14890623943099998</v>
      </c>
      <c r="K1787" s="65">
        <v>0.3153036474</v>
      </c>
      <c r="L1787" s="65">
        <v>0.59335184</v>
      </c>
      <c r="N1787" s="66">
        <v>3.955678933333333</v>
      </c>
      <c r="O1787" s="10">
        <f t="shared" si="388"/>
        <v>3.955678933</v>
      </c>
      <c r="Q1787" s="67">
        <v>52.609928</v>
      </c>
      <c r="S1787" s="68">
        <v>0.1029208</v>
      </c>
      <c r="T1787" s="68">
        <v>0.095521644</v>
      </c>
      <c r="U1787" s="68">
        <v>0.0036530457</v>
      </c>
      <c r="V1787" s="68">
        <v>0.0037461121</v>
      </c>
      <c r="X1787" s="69">
        <v>2.2073916E-4</v>
      </c>
    </row>
    <row r="1788" ht="12.75" customHeight="1">
      <c r="A1788" s="1" t="s">
        <v>2467</v>
      </c>
      <c r="B1788" s="2" t="s">
        <v>2447</v>
      </c>
      <c r="C1788" s="60" t="s">
        <v>2468</v>
      </c>
      <c r="D1788" s="51" t="s">
        <v>2456</v>
      </c>
      <c r="E1788" s="62" t="s">
        <v>729</v>
      </c>
      <c r="F1788" s="63" t="str">
        <f t="shared" si="386"/>
        <v>Electroplating Zinc (10  micron single side) excl emissions use phase</v>
      </c>
      <c r="G1788" s="64">
        <v>1.144973877850755</v>
      </c>
      <c r="H1788" s="10">
        <f t="shared" si="387"/>
        <v>1.144973878</v>
      </c>
      <c r="I1788" s="65">
        <v>0.05693424389</v>
      </c>
      <c r="J1788" s="65">
        <v>0.27879987331524997</v>
      </c>
      <c r="K1788" s="65">
        <v>0.404433170645505</v>
      </c>
      <c r="L1788" s="65">
        <v>0.40480659</v>
      </c>
      <c r="N1788" s="66">
        <v>2.6987106</v>
      </c>
      <c r="O1788" s="10">
        <f t="shared" si="388"/>
        <v>2.6987106</v>
      </c>
      <c r="Q1788" s="67">
        <v>51.805159</v>
      </c>
      <c r="S1788" s="68"/>
      <c r="T1788" s="68"/>
      <c r="U1788" s="68"/>
      <c r="V1788" s="68"/>
      <c r="X1788" s="69"/>
    </row>
    <row r="1789" ht="12.75" customHeight="1">
      <c r="B1789" s="2"/>
      <c r="C1789" s="60"/>
      <c r="D1789" s="75" t="s">
        <v>2469</v>
      </c>
      <c r="E1789" s="62"/>
      <c r="G1789" s="10"/>
      <c r="H1789" s="10"/>
      <c r="I1789" s="10"/>
      <c r="J1789" s="10"/>
      <c r="K1789" s="10"/>
      <c r="L1789" s="10"/>
      <c r="N1789" s="10"/>
      <c r="O1789" s="10"/>
      <c r="Q1789" s="67"/>
    </row>
    <row r="1790" ht="12.75" customHeight="1">
      <c r="A1790" s="1" t="s">
        <v>2470</v>
      </c>
      <c r="B1790" s="2" t="s">
        <v>2447</v>
      </c>
      <c r="C1790" s="60" t="str">
        <f t="shared" ref="C1790:C1793" si="389">MID(A1790,1,12)</f>
        <v>D.090.01.101</v>
      </c>
      <c r="D1790" s="51" t="s">
        <v>2469</v>
      </c>
      <c r="E1790" s="62" t="s">
        <v>2450</v>
      </c>
      <c r="F1790" s="63" t="str">
        <f t="shared" ref="F1790:F1793" si="390">MID(A1790, 21,85)</f>
        <v>Electric MIG welding 4mm steel   0.125 kg electrode</v>
      </c>
      <c r="G1790" s="64">
        <v>0.2531841365118407</v>
      </c>
      <c r="H1790" s="10">
        <f t="shared" ref="H1790:H1793" si="391">G1790</f>
        <v>0.2531841365</v>
      </c>
      <c r="I1790" s="65">
        <v>0.009925025128956846</v>
      </c>
      <c r="J1790" s="65">
        <v>0.024544586482879237</v>
      </c>
      <c r="K1790" s="65">
        <v>0.03583149490000461</v>
      </c>
      <c r="L1790" s="65">
        <v>0.18288303</v>
      </c>
      <c r="N1790" s="66">
        <v>1.2192202</v>
      </c>
      <c r="O1790" s="10">
        <f t="shared" ref="O1790:O1793" si="392">N1790</f>
        <v>1.2192202</v>
      </c>
      <c r="Q1790" s="67">
        <v>19.046707</v>
      </c>
      <c r="S1790" s="68">
        <v>0.024214473</v>
      </c>
      <c r="T1790" s="68">
        <v>0.022689355</v>
      </c>
      <c r="U1790" s="68">
        <v>0.0010066485</v>
      </c>
      <c r="V1790" s="68">
        <v>5.1846979E-4</v>
      </c>
      <c r="X1790" s="69">
        <v>5.9233862E-5</v>
      </c>
    </row>
    <row r="1791" ht="12.75" customHeight="1">
      <c r="A1791" s="1" t="s">
        <v>2471</v>
      </c>
      <c r="B1791" s="2" t="s">
        <v>2447</v>
      </c>
      <c r="C1791" s="60" t="str">
        <f t="shared" si="389"/>
        <v>D.090.01.102</v>
      </c>
      <c r="D1791" s="51" t="s">
        <v>2469</v>
      </c>
      <c r="E1791" s="62" t="s">
        <v>45</v>
      </c>
      <c r="F1791" s="63" t="str">
        <f t="shared" si="390"/>
        <v>welding shipbuilding (FCAW) per kg electrode</v>
      </c>
      <c r="G1791" s="64">
        <v>35.49921668346709</v>
      </c>
      <c r="H1791" s="10">
        <f t="shared" si="391"/>
        <v>35.49921668</v>
      </c>
      <c r="I1791" s="65">
        <v>1.4430139590000002</v>
      </c>
      <c r="J1791" s="65">
        <v>2.1099450023400004</v>
      </c>
      <c r="K1791" s="65">
        <v>0.5033607221270914</v>
      </c>
      <c r="L1791" s="65">
        <v>31.442897</v>
      </c>
      <c r="N1791" s="66">
        <v>209.61931333333334</v>
      </c>
      <c r="O1791" s="10">
        <f t="shared" si="392"/>
        <v>209.6193133</v>
      </c>
      <c r="Q1791" s="67">
        <v>3119.3449</v>
      </c>
      <c r="S1791" s="68">
        <v>3.8999045</v>
      </c>
      <c r="T1791" s="68">
        <v>3.5198686</v>
      </c>
      <c r="U1791" s="68">
        <v>0.16518176</v>
      </c>
      <c r="V1791" s="68">
        <v>0.21485419</v>
      </c>
      <c r="X1791" s="69">
        <v>0.010258802</v>
      </c>
    </row>
    <row r="1792" ht="12.75" customHeight="1">
      <c r="A1792" s="1" t="s">
        <v>2472</v>
      </c>
      <c r="B1792" s="2" t="s">
        <v>2447</v>
      </c>
      <c r="C1792" s="60" t="str">
        <f t="shared" si="389"/>
        <v>D.090.01.103</v>
      </c>
      <c r="D1792" s="51" t="s">
        <v>2469</v>
      </c>
      <c r="E1792" s="62" t="s">
        <v>2450</v>
      </c>
      <c r="F1792" s="63" t="str">
        <f t="shared" si="390"/>
        <v>welding steel arc (MAG) 0.0536 kg electrode</v>
      </c>
      <c r="G1792" s="64">
        <v>0.09346751770844633</v>
      </c>
      <c r="H1792" s="10">
        <f t="shared" si="391"/>
        <v>0.09346751771</v>
      </c>
      <c r="I1792" s="65">
        <v>0.003424259412</v>
      </c>
      <c r="J1792" s="65">
        <v>0.02981682836254</v>
      </c>
      <c r="K1792" s="65">
        <v>0.026373001933906324</v>
      </c>
      <c r="L1792" s="65">
        <v>0.033853428</v>
      </c>
      <c r="N1792" s="66">
        <v>0.22568952</v>
      </c>
      <c r="O1792" s="10">
        <f t="shared" si="392"/>
        <v>0.22568952</v>
      </c>
      <c r="Q1792" s="67">
        <v>2.531829</v>
      </c>
      <c r="S1792" s="68">
        <v>0.013118014</v>
      </c>
      <c r="T1792" s="68">
        <v>0.012605498</v>
      </c>
      <c r="U1792" s="68">
        <v>3.263254E-4</v>
      </c>
      <c r="V1792" s="68">
        <v>1.8619025E-4</v>
      </c>
      <c r="X1792" s="69">
        <v>1.8100986E-5</v>
      </c>
    </row>
    <row r="1793" ht="12.75" customHeight="1">
      <c r="A1793" s="1" t="s">
        <v>2473</v>
      </c>
      <c r="B1793" s="2" t="s">
        <v>2447</v>
      </c>
      <c r="C1793" s="60" t="str">
        <f t="shared" si="389"/>
        <v>D.090.01.104</v>
      </c>
      <c r="D1793" s="51" t="s">
        <v>2469</v>
      </c>
      <c r="E1793" s="62" t="s">
        <v>2450</v>
      </c>
      <c r="F1793" s="63" t="str">
        <f t="shared" si="390"/>
        <v>welding steel autogenious 0.0536 kg electrode</v>
      </c>
      <c r="G1793" s="64">
        <v>0.08701285655864055</v>
      </c>
      <c r="H1793" s="10">
        <f t="shared" si="391"/>
        <v>0.08701285656</v>
      </c>
      <c r="I1793" s="65">
        <v>0.003092963615</v>
      </c>
      <c r="J1793" s="65">
        <v>0.02989195595333</v>
      </c>
      <c r="K1793" s="65">
        <v>0.02617311499031055</v>
      </c>
      <c r="L1793" s="65">
        <v>0.027854822</v>
      </c>
      <c r="N1793" s="66">
        <v>0.18569881333333335</v>
      </c>
      <c r="O1793" s="10">
        <f t="shared" si="392"/>
        <v>0.1856988133</v>
      </c>
      <c r="Q1793" s="67">
        <v>2.1905474</v>
      </c>
      <c r="S1793" s="68">
        <v>0.0125583</v>
      </c>
      <c r="T1793" s="68">
        <v>0.012094449</v>
      </c>
      <c r="U1793" s="68">
        <v>2.978227E-4</v>
      </c>
      <c r="V1793" s="68">
        <v>1.660285E-4</v>
      </c>
      <c r="X1793" s="69">
        <v>1.6597767E-5</v>
      </c>
    </row>
    <row r="1794" ht="12.75" customHeight="1">
      <c r="B1794" s="2"/>
      <c r="C1794" s="60"/>
      <c r="D1794" s="75" t="s">
        <v>2474</v>
      </c>
      <c r="E1794" s="62"/>
      <c r="G1794" s="10"/>
      <c r="H1794" s="10"/>
      <c r="I1794" s="10"/>
      <c r="J1794" s="10"/>
      <c r="K1794" s="10"/>
      <c r="L1794" s="10"/>
      <c r="N1794" s="10"/>
      <c r="O1794" s="10"/>
      <c r="Q1794" s="67"/>
    </row>
    <row r="1795" ht="12.75" customHeight="1">
      <c r="A1795" s="1" t="s">
        <v>2475</v>
      </c>
      <c r="B1795" s="2" t="s">
        <v>2447</v>
      </c>
      <c r="C1795" s="60" t="str">
        <f t="shared" ref="C1795:C1828" si="393">MID(A1795,1,12)</f>
        <v>D.100.01.101</v>
      </c>
      <c r="D1795" s="51" t="s">
        <v>2474</v>
      </c>
      <c r="E1795" s="62" t="s">
        <v>729</v>
      </c>
      <c r="F1795" s="63" t="str">
        <f t="shared" ref="F1795:F1828" si="394">MID(A1795, 21,85)</f>
        <v>Anodising</v>
      </c>
      <c r="G1795" s="64">
        <v>0.3878764483543</v>
      </c>
      <c r="H1795" s="10">
        <f t="shared" ref="H1795:H1828" si="395">G1795</f>
        <v>0.3878764484</v>
      </c>
      <c r="I1795" s="65">
        <v>0.014167259271000002</v>
      </c>
      <c r="J1795" s="65">
        <v>0.0292321225833</v>
      </c>
      <c r="K1795" s="65">
        <v>0.030585316499999998</v>
      </c>
      <c r="L1795" s="65">
        <v>0.31389175</v>
      </c>
      <c r="N1795" s="66">
        <v>2.092611666666667</v>
      </c>
      <c r="O1795" s="10">
        <f t="shared" ref="O1795:O1828" si="396">N1795</f>
        <v>2.092611667</v>
      </c>
      <c r="Q1795" s="67">
        <v>44.933186</v>
      </c>
      <c r="S1795" s="68">
        <v>0.039924088</v>
      </c>
      <c r="T1795" s="68">
        <v>0.036136475</v>
      </c>
      <c r="U1795" s="68">
        <v>0.0016662747</v>
      </c>
      <c r="V1795" s="68">
        <v>0.0021213384</v>
      </c>
      <c r="X1795" s="69">
        <v>1.166671E-4</v>
      </c>
    </row>
    <row r="1796" ht="12.75" customHeight="1">
      <c r="A1796" s="1" t="s">
        <v>2476</v>
      </c>
      <c r="B1796" s="2" t="s">
        <v>2447</v>
      </c>
      <c r="C1796" s="60" t="str">
        <f t="shared" si="393"/>
        <v>D.100.01.102</v>
      </c>
      <c r="D1796" s="51" t="s">
        <v>2474</v>
      </c>
      <c r="E1796" s="62" t="s">
        <v>2450</v>
      </c>
      <c r="F1796" s="63" t="str">
        <f t="shared" si="394"/>
        <v>Autogenuous welding Al 1</v>
      </c>
      <c r="G1796" s="64">
        <v>0.10970855409</v>
      </c>
      <c r="H1796" s="10">
        <f t="shared" si="395"/>
        <v>0.1097085541</v>
      </c>
      <c r="I1796" s="65">
        <v>0.00347625476</v>
      </c>
      <c r="J1796" s="65">
        <v>0.0072015863999999995</v>
      </c>
      <c r="K1796" s="65">
        <v>0.01740912993</v>
      </c>
      <c r="L1796" s="65">
        <v>0.081621583</v>
      </c>
      <c r="N1796" s="66">
        <v>0.5441438866666667</v>
      </c>
      <c r="O1796" s="10">
        <f t="shared" si="396"/>
        <v>0.5441438867</v>
      </c>
      <c r="Q1796" s="67">
        <v>10.385841</v>
      </c>
      <c r="S1796" s="68">
        <v>0.01036435</v>
      </c>
      <c r="T1796" s="68">
        <v>0.0097348576</v>
      </c>
      <c r="U1796" s="68">
        <v>4.3941002E-4</v>
      </c>
      <c r="V1796" s="68">
        <v>1.9008193E-4</v>
      </c>
      <c r="X1796" s="69">
        <v>2.7565081E-5</v>
      </c>
    </row>
    <row r="1797" ht="12.75" customHeight="1">
      <c r="A1797" s="1" t="s">
        <v>2477</v>
      </c>
      <c r="B1797" s="2" t="s">
        <v>2447</v>
      </c>
      <c r="C1797" s="60" t="str">
        <f t="shared" si="393"/>
        <v>D.100.01.103</v>
      </c>
      <c r="D1797" s="51" t="s">
        <v>2474</v>
      </c>
      <c r="E1797" s="62" t="s">
        <v>2450</v>
      </c>
      <c r="F1797" s="63" t="str">
        <f t="shared" si="394"/>
        <v>Autogenuous welding Al 2</v>
      </c>
      <c r="G1797" s="64">
        <v>0.29922579634</v>
      </c>
      <c r="H1797" s="10">
        <f t="shared" si="395"/>
        <v>0.2992257963</v>
      </c>
      <c r="I1797" s="65">
        <v>0.0094813488</v>
      </c>
      <c r="J1797" s="65">
        <v>0.019642045900000002</v>
      </c>
      <c r="K1797" s="65">
        <v>0.04748272164</v>
      </c>
      <c r="L1797" s="65">
        <v>0.22261968</v>
      </c>
      <c r="N1797" s="66">
        <v>1.4841312</v>
      </c>
      <c r="O1797" s="10">
        <f t="shared" si="396"/>
        <v>1.4841312</v>
      </c>
      <c r="Q1797" s="67">
        <v>28.326974</v>
      </c>
      <c r="S1797" s="68">
        <v>0.028268358</v>
      </c>
      <c r="T1797" s="68">
        <v>0.026551443</v>
      </c>
      <c r="U1797" s="68">
        <v>0.0011984737</v>
      </c>
      <c r="V1797" s="68">
        <v>5.1844104E-4</v>
      </c>
      <c r="X1797" s="69">
        <v>7.5182681E-5</v>
      </c>
    </row>
    <row r="1798" ht="12.75" customHeight="1">
      <c r="A1798" s="1" t="s">
        <v>2478</v>
      </c>
      <c r="B1798" s="2" t="s">
        <v>2447</v>
      </c>
      <c r="C1798" s="60" t="str">
        <f t="shared" si="393"/>
        <v>D.100.01.104</v>
      </c>
      <c r="D1798" s="51" t="s">
        <v>2474</v>
      </c>
      <c r="E1798" s="62" t="s">
        <v>2450</v>
      </c>
      <c r="F1798" s="63" t="str">
        <f t="shared" si="394"/>
        <v>Autogenuous welding Al 3</v>
      </c>
      <c r="G1798" s="64">
        <v>0.4687845518</v>
      </c>
      <c r="H1798" s="10">
        <f t="shared" si="395"/>
        <v>0.4687845518</v>
      </c>
      <c r="I1798" s="65">
        <v>0.0148540331</v>
      </c>
      <c r="J1798" s="65">
        <v>0.030772372</v>
      </c>
      <c r="K1798" s="65">
        <v>0.07438919670000001</v>
      </c>
      <c r="L1798" s="65">
        <v>0.34876895</v>
      </c>
      <c r="N1798" s="66">
        <v>2.3251263333333334</v>
      </c>
      <c r="O1798" s="10">
        <f t="shared" si="396"/>
        <v>2.325126333</v>
      </c>
      <c r="Q1798" s="67">
        <v>44.378688</v>
      </c>
      <c r="S1798" s="68">
        <v>0.044286856</v>
      </c>
      <c r="T1798" s="68">
        <v>0.041597038</v>
      </c>
      <c r="U1798" s="68">
        <v>0.0018775986</v>
      </c>
      <c r="V1798" s="68">
        <v>8.1221993E-4</v>
      </c>
      <c r="X1798" s="69">
        <v>1.1778557E-4</v>
      </c>
    </row>
    <row r="1799" ht="12.75" customHeight="1">
      <c r="A1799" s="1" t="s">
        <v>2479</v>
      </c>
      <c r="B1799" s="2" t="s">
        <v>2447</v>
      </c>
      <c r="C1799" s="60" t="str">
        <f t="shared" si="393"/>
        <v>D.100.01.105</v>
      </c>
      <c r="D1799" s="51" t="s">
        <v>2474</v>
      </c>
      <c r="E1799" s="62" t="s">
        <v>45</v>
      </c>
      <c r="F1799" s="63" t="str">
        <f t="shared" si="394"/>
        <v>Cold transforming Al</v>
      </c>
      <c r="G1799" s="64">
        <v>0.018469793348</v>
      </c>
      <c r="H1799" s="10">
        <f t="shared" si="395"/>
        <v>0.01846979335</v>
      </c>
      <c r="I1799" s="65">
        <v>5.8523883E-4</v>
      </c>
      <c r="J1799" s="65">
        <v>0.00121241059</v>
      </c>
      <c r="K1799" s="65">
        <v>0.0029308839279999998</v>
      </c>
      <c r="L1799" s="65">
        <v>0.01374126</v>
      </c>
      <c r="N1799" s="66">
        <v>0.0916084</v>
      </c>
      <c r="O1799" s="10">
        <f t="shared" si="396"/>
        <v>0.0916084</v>
      </c>
      <c r="Q1799" s="67">
        <v>1.7484902</v>
      </c>
      <c r="S1799" s="68">
        <v>0.0017448721</v>
      </c>
      <c r="T1799" s="68">
        <v>0.0016388951</v>
      </c>
      <c r="U1799" s="68">
        <v>7.3976112E-5</v>
      </c>
      <c r="V1799" s="68">
        <v>3.2000914E-5</v>
      </c>
      <c r="X1799" s="69">
        <v>4.6406714E-6</v>
      </c>
    </row>
    <row r="1800" ht="12.75" customHeight="1">
      <c r="A1800" s="1" t="s">
        <v>2480</v>
      </c>
      <c r="B1800" s="2" t="s">
        <v>2447</v>
      </c>
      <c r="C1800" s="60" t="str">
        <f t="shared" si="393"/>
        <v>D.100.01.106</v>
      </c>
      <c r="D1800" s="51" t="s">
        <v>2474</v>
      </c>
      <c r="E1800" s="62" t="s">
        <v>2450</v>
      </c>
      <c r="F1800" s="63" t="str">
        <f t="shared" si="394"/>
        <v>Fiber Laser cutting 1000 W  Aluminium 1mm thick, 1 meter</v>
      </c>
      <c r="G1800" s="64">
        <v>1.5139174967E-4</v>
      </c>
      <c r="H1800" s="10">
        <f t="shared" si="395"/>
        <v>0.0001513917497</v>
      </c>
      <c r="I1800" s="65">
        <v>4.7970396099999995E-6</v>
      </c>
      <c r="J1800" s="65">
        <v>9.9377917E-6</v>
      </c>
      <c r="K1800" s="65">
        <v>2.402363836E-5</v>
      </c>
      <c r="L1800" s="65">
        <v>1.1263328E-4</v>
      </c>
      <c r="N1800" s="66">
        <v>7.508885333333333E-4</v>
      </c>
      <c r="O1800" s="10">
        <f t="shared" si="396"/>
        <v>0.0007508885333</v>
      </c>
      <c r="Q1800" s="67">
        <v>0.014331887</v>
      </c>
      <c r="S1800" s="68">
        <v>1.430223E-5</v>
      </c>
      <c r="T1800" s="68">
        <v>1.3433566E-5</v>
      </c>
      <c r="U1800" s="68">
        <v>6.0636158E-7</v>
      </c>
      <c r="V1800" s="68">
        <v>2.6230258E-7</v>
      </c>
      <c r="X1800" s="69">
        <v>3.803829E-8</v>
      </c>
    </row>
    <row r="1801" ht="12.75" customHeight="1">
      <c r="A1801" s="1" t="s">
        <v>2481</v>
      </c>
      <c r="B1801" s="2" t="s">
        <v>2447</v>
      </c>
      <c r="C1801" s="60" t="str">
        <f t="shared" si="393"/>
        <v>D.100.01.107</v>
      </c>
      <c r="D1801" s="51" t="s">
        <v>2474</v>
      </c>
      <c r="E1801" s="62" t="s">
        <v>2450</v>
      </c>
      <c r="F1801" s="63" t="str">
        <f t="shared" si="394"/>
        <v>Fiber Laser cutting 6000 W  Aluminium 10mm thick, 1 meter</v>
      </c>
      <c r="G1801" s="64">
        <v>0.009083505027</v>
      </c>
      <c r="H1801" s="10">
        <f t="shared" si="395"/>
        <v>0.009083505027</v>
      </c>
      <c r="I1801" s="65">
        <v>2.87822376E-4</v>
      </c>
      <c r="J1801" s="65">
        <v>5.962675100000001E-4</v>
      </c>
      <c r="K1801" s="65">
        <v>0.001441418341</v>
      </c>
      <c r="L1801" s="65">
        <v>0.0067579968</v>
      </c>
      <c r="N1801" s="66">
        <v>0.045053312</v>
      </c>
      <c r="O1801" s="10">
        <f t="shared" si="396"/>
        <v>0.045053312</v>
      </c>
      <c r="Q1801" s="67">
        <v>0.85991321</v>
      </c>
      <c r="S1801" s="68">
        <v>8.5813382E-4</v>
      </c>
      <c r="T1801" s="68">
        <v>8.0601397E-4</v>
      </c>
      <c r="U1801" s="68">
        <v>3.6381695E-5</v>
      </c>
      <c r="V1801" s="68">
        <v>1.5738155E-5</v>
      </c>
      <c r="X1801" s="69">
        <v>2.2822974E-6</v>
      </c>
    </row>
    <row r="1802" ht="12.75" customHeight="1">
      <c r="A1802" s="1" t="s">
        <v>2482</v>
      </c>
      <c r="B1802" s="2" t="s">
        <v>2447</v>
      </c>
      <c r="C1802" s="60" t="str">
        <f t="shared" si="393"/>
        <v>D.100.01.108</v>
      </c>
      <c r="D1802" s="51" t="s">
        <v>2474</v>
      </c>
      <c r="E1802" s="62" t="s">
        <v>45</v>
      </c>
      <c r="F1802" s="63" t="str">
        <f t="shared" si="394"/>
        <v>Drilling Al (per kg removed, removed Al not counted)</v>
      </c>
      <c r="G1802" s="64">
        <v>0.012111339996999999</v>
      </c>
      <c r="H1802" s="10">
        <f t="shared" si="395"/>
        <v>0.01211134</v>
      </c>
      <c r="I1802" s="65">
        <v>3.83763168E-4</v>
      </c>
      <c r="J1802" s="65">
        <v>7.9502334E-4</v>
      </c>
      <c r="K1802" s="65">
        <v>0.001921891089</v>
      </c>
      <c r="L1802" s="65">
        <v>0.0090106624</v>
      </c>
      <c r="N1802" s="66">
        <v>0.060071082666666664</v>
      </c>
      <c r="O1802" s="10">
        <f t="shared" si="396"/>
        <v>0.06007108267</v>
      </c>
      <c r="Q1802" s="67">
        <v>1.146551</v>
      </c>
      <c r="S1802" s="68">
        <v>0.0011441784</v>
      </c>
      <c r="T1802" s="68">
        <v>0.0010746853</v>
      </c>
      <c r="U1802" s="68">
        <v>4.8508926E-5</v>
      </c>
      <c r="V1802" s="68">
        <v>2.0984206E-5</v>
      </c>
      <c r="X1802" s="69">
        <v>3.0430632E-6</v>
      </c>
    </row>
    <row r="1803" ht="12.75" customHeight="1">
      <c r="A1803" s="1" t="s">
        <v>2483</v>
      </c>
      <c r="B1803" s="2" t="s">
        <v>2447</v>
      </c>
      <c r="C1803" s="60" t="str">
        <f t="shared" si="393"/>
        <v>D.100.01.109</v>
      </c>
      <c r="D1803" s="51" t="s">
        <v>2474</v>
      </c>
      <c r="E1803" s="62" t="s">
        <v>45</v>
      </c>
      <c r="F1803" s="63" t="str">
        <f t="shared" si="394"/>
        <v>Extruding alum</v>
      </c>
      <c r="G1803" s="64">
        <v>0.1674113568775</v>
      </c>
      <c r="H1803" s="10">
        <f t="shared" si="395"/>
        <v>0.1674113569</v>
      </c>
      <c r="I1803" s="65">
        <v>0.008774587769000001</v>
      </c>
      <c r="J1803" s="65">
        <v>0.0363448368385</v>
      </c>
      <c r="K1803" s="65">
        <v>0.00785862227</v>
      </c>
      <c r="L1803" s="65">
        <v>0.11443331</v>
      </c>
      <c r="N1803" s="66">
        <v>0.7628887333333333</v>
      </c>
      <c r="O1803" s="10">
        <f t="shared" si="396"/>
        <v>0.7628887333</v>
      </c>
      <c r="Q1803" s="67">
        <v>10.448717</v>
      </c>
      <c r="S1803" s="68">
        <v>0.022355167</v>
      </c>
      <c r="T1803" s="68">
        <v>0.021063545</v>
      </c>
      <c r="U1803" s="68">
        <v>7.819701E-4</v>
      </c>
      <c r="V1803" s="68">
        <v>5.096518E-4</v>
      </c>
      <c r="X1803" s="69">
        <v>4.4462927E-5</v>
      </c>
    </row>
    <row r="1804" ht="12.75" customHeight="1">
      <c r="A1804" s="1" t="s">
        <v>2484</v>
      </c>
      <c r="B1804" s="2" t="s">
        <v>2447</v>
      </c>
      <c r="C1804" s="60" t="str">
        <f t="shared" si="393"/>
        <v>D.100.01.110</v>
      </c>
      <c r="D1804" s="51" t="s">
        <v>2474</v>
      </c>
      <c r="E1804" s="62" t="s">
        <v>45</v>
      </c>
      <c r="F1804" s="63" t="str">
        <f t="shared" si="394"/>
        <v>Forging aluminium</v>
      </c>
      <c r="G1804" s="64">
        <v>0.04062345236</v>
      </c>
      <c r="H1804" s="10">
        <f t="shared" si="395"/>
        <v>0.04062345236</v>
      </c>
      <c r="I1804" s="65">
        <v>0.00128720559</v>
      </c>
      <c r="J1804" s="65">
        <v>0.0026666408</v>
      </c>
      <c r="K1804" s="65">
        <v>0.0064463429699999995</v>
      </c>
      <c r="L1804" s="65">
        <v>0.030223263</v>
      </c>
      <c r="N1804" s="66">
        <v>0.20148842</v>
      </c>
      <c r="O1804" s="10">
        <f t="shared" si="396"/>
        <v>0.20148842</v>
      </c>
      <c r="Q1804" s="67">
        <v>3.845723</v>
      </c>
      <c r="S1804" s="68">
        <v>0.0038377651</v>
      </c>
      <c r="T1804" s="68">
        <v>0.0036046736</v>
      </c>
      <c r="U1804" s="68">
        <v>1.6270702E-4</v>
      </c>
      <c r="V1804" s="68">
        <v>7.0384525E-5</v>
      </c>
      <c r="X1804" s="69">
        <v>1.0206941E-5</v>
      </c>
    </row>
    <row r="1805" ht="12.75" customHeight="1">
      <c r="A1805" s="1" t="s">
        <v>2485</v>
      </c>
      <c r="B1805" s="2" t="s">
        <v>2447</v>
      </c>
      <c r="C1805" s="60" t="str">
        <f t="shared" si="393"/>
        <v>D.100.01.111</v>
      </c>
      <c r="D1805" s="51" t="s">
        <v>2474</v>
      </c>
      <c r="E1805" s="62" t="s">
        <v>45</v>
      </c>
      <c r="F1805" s="63" t="str">
        <f t="shared" si="394"/>
        <v>Machining aluminium</v>
      </c>
      <c r="G1805" s="64">
        <v>0.012111339996999999</v>
      </c>
      <c r="H1805" s="10">
        <f t="shared" si="395"/>
        <v>0.01211134</v>
      </c>
      <c r="I1805" s="65">
        <v>3.83763168E-4</v>
      </c>
      <c r="J1805" s="65">
        <v>7.9502334E-4</v>
      </c>
      <c r="K1805" s="65">
        <v>0.001921891089</v>
      </c>
      <c r="L1805" s="65">
        <v>0.0090106624</v>
      </c>
      <c r="N1805" s="66">
        <v>0.060071082666666664</v>
      </c>
      <c r="O1805" s="10">
        <f t="shared" si="396"/>
        <v>0.06007108267</v>
      </c>
      <c r="Q1805" s="67">
        <v>1.146551</v>
      </c>
      <c r="S1805" s="68">
        <v>0.0011441784</v>
      </c>
      <c r="T1805" s="68">
        <v>0.0010746853</v>
      </c>
      <c r="U1805" s="68">
        <v>4.8508926E-5</v>
      </c>
      <c r="V1805" s="68">
        <v>2.0984206E-5</v>
      </c>
      <c r="X1805" s="69">
        <v>3.0430632E-6</v>
      </c>
    </row>
    <row r="1806" ht="12.75" customHeight="1">
      <c r="A1806" s="1" t="s">
        <v>2486</v>
      </c>
      <c r="B1806" s="2" t="s">
        <v>2447</v>
      </c>
      <c r="C1806" s="60" t="str">
        <f t="shared" si="393"/>
        <v>D.100.01.112</v>
      </c>
      <c r="D1806" s="51" t="s">
        <v>2474</v>
      </c>
      <c r="E1806" s="62" t="s">
        <v>2450</v>
      </c>
      <c r="F1806" s="63" t="str">
        <f t="shared" si="394"/>
        <v>MIG-arc welding Al 10</v>
      </c>
      <c r="G1806" s="64">
        <v>0.61838483</v>
      </c>
      <c r="H1806" s="10">
        <f t="shared" si="395"/>
        <v>0.61838483</v>
      </c>
      <c r="I1806" s="65">
        <v>0.0195943079</v>
      </c>
      <c r="J1806" s="65">
        <v>0.040592566999999996</v>
      </c>
      <c r="K1806" s="65">
        <v>0.0981285551</v>
      </c>
      <c r="L1806" s="65">
        <v>0.4600694</v>
      </c>
      <c r="N1806" s="66">
        <v>3.0671293333333334</v>
      </c>
      <c r="O1806" s="10">
        <f t="shared" si="396"/>
        <v>3.067129333</v>
      </c>
      <c r="Q1806" s="67">
        <v>58.540981</v>
      </c>
      <c r="S1806" s="68">
        <v>0.058419843</v>
      </c>
      <c r="T1806" s="68">
        <v>0.05487164</v>
      </c>
      <c r="U1806" s="68">
        <v>0.0024767849</v>
      </c>
      <c r="V1806" s="68">
        <v>0.0010714186</v>
      </c>
      <c r="X1806" s="69">
        <v>1.5537374E-4</v>
      </c>
    </row>
    <row r="1807" ht="12.75" customHeight="1">
      <c r="A1807" s="1" t="s">
        <v>2487</v>
      </c>
      <c r="B1807" s="2" t="s">
        <v>2447</v>
      </c>
      <c r="C1807" s="60" t="str">
        <f t="shared" si="393"/>
        <v>D.100.01.113</v>
      </c>
      <c r="D1807" s="51" t="s">
        <v>2474</v>
      </c>
      <c r="E1807" s="62" t="s">
        <v>2450</v>
      </c>
      <c r="F1807" s="63" t="str">
        <f t="shared" si="394"/>
        <v>MIG-arc welding Al 12</v>
      </c>
      <c r="G1807" s="64">
        <v>1.0872450814</v>
      </c>
      <c r="H1807" s="10">
        <f t="shared" si="395"/>
        <v>1.087245081</v>
      </c>
      <c r="I1807" s="65">
        <v>0.03445074</v>
      </c>
      <c r="J1807" s="65">
        <v>0.07136990800000001</v>
      </c>
      <c r="K1807" s="65">
        <v>0.17252976339999998</v>
      </c>
      <c r="L1807" s="65">
        <v>0.80889467</v>
      </c>
      <c r="N1807" s="66">
        <v>5.392631133333333</v>
      </c>
      <c r="O1807" s="10">
        <f t="shared" si="396"/>
        <v>5.392631133</v>
      </c>
      <c r="Q1807" s="67">
        <v>102.92683</v>
      </c>
      <c r="S1807" s="68">
        <v>0.10271385</v>
      </c>
      <c r="T1807" s="68">
        <v>0.096475394</v>
      </c>
      <c r="U1807" s="68">
        <v>0.0043546867</v>
      </c>
      <c r="V1807" s="68">
        <v>0.0018837697</v>
      </c>
      <c r="X1807" s="69">
        <v>2.7317832E-4</v>
      </c>
    </row>
    <row r="1808" ht="12.75" customHeight="1">
      <c r="A1808" s="1" t="s">
        <v>2488</v>
      </c>
      <c r="B1808" s="2" t="s">
        <v>2447</v>
      </c>
      <c r="C1808" s="60" t="str">
        <f t="shared" si="393"/>
        <v>D.100.01.114</v>
      </c>
      <c r="D1808" s="51" t="s">
        <v>2474</v>
      </c>
      <c r="E1808" s="62" t="s">
        <v>2450</v>
      </c>
      <c r="F1808" s="63" t="str">
        <f t="shared" si="394"/>
        <v>MIG-arc welding Al 4</v>
      </c>
      <c r="G1808" s="64">
        <v>0.11970041026</v>
      </c>
      <c r="H1808" s="10">
        <f t="shared" si="395"/>
        <v>0.1197004103</v>
      </c>
      <c r="I1808" s="65">
        <v>0.00379285935</v>
      </c>
      <c r="J1808" s="65">
        <v>0.0078574807</v>
      </c>
      <c r="K1808" s="65">
        <v>0.01899469021</v>
      </c>
      <c r="L1808" s="65">
        <v>0.08905538</v>
      </c>
      <c r="N1808" s="66">
        <v>0.5937025333333333</v>
      </c>
      <c r="O1808" s="10">
        <f t="shared" si="396"/>
        <v>0.5937025333</v>
      </c>
      <c r="Q1808" s="67">
        <v>11.331745</v>
      </c>
      <c r="S1808" s="68">
        <v>0.011308297</v>
      </c>
      <c r="T1808" s="68">
        <v>0.010621473</v>
      </c>
      <c r="U1808" s="68">
        <v>4.7942989E-4</v>
      </c>
      <c r="V1808" s="68">
        <v>2.073939E-4</v>
      </c>
      <c r="X1808" s="69">
        <v>3.0075608E-5</v>
      </c>
    </row>
    <row r="1809" ht="12.75" customHeight="1">
      <c r="A1809" s="1" t="s">
        <v>2489</v>
      </c>
      <c r="B1809" s="2" t="s">
        <v>2447</v>
      </c>
      <c r="C1809" s="60" t="str">
        <f t="shared" si="393"/>
        <v>D.100.01.115</v>
      </c>
      <c r="D1809" s="51" t="s">
        <v>2474</v>
      </c>
      <c r="E1809" s="62" t="s">
        <v>2450</v>
      </c>
      <c r="F1809" s="63" t="str">
        <f t="shared" si="394"/>
        <v>MIG-arc welding Al 5 I-jnt</v>
      </c>
      <c r="G1809" s="64">
        <v>0.25938452777</v>
      </c>
      <c r="H1809" s="10">
        <f t="shared" si="395"/>
        <v>0.2593845278</v>
      </c>
      <c r="I1809" s="65">
        <v>0.0082189279</v>
      </c>
      <c r="J1809" s="65">
        <v>0.0170267499</v>
      </c>
      <c r="K1809" s="65">
        <v>0.04116049997</v>
      </c>
      <c r="L1809" s="65">
        <v>0.19297835</v>
      </c>
      <c r="N1809" s="66">
        <v>1.2865223333333333</v>
      </c>
      <c r="O1809" s="10">
        <f t="shared" si="396"/>
        <v>1.286522333</v>
      </c>
      <c r="Q1809" s="67">
        <v>24.5553</v>
      </c>
      <c r="S1809" s="68">
        <v>0.024504488</v>
      </c>
      <c r="T1809" s="68">
        <v>0.023016177</v>
      </c>
      <c r="U1809" s="68">
        <v>0.0010388995</v>
      </c>
      <c r="V1809" s="68">
        <v>4.4941175E-4</v>
      </c>
      <c r="X1809" s="69">
        <v>6.5172271E-5</v>
      </c>
    </row>
    <row r="1810" ht="12.75" customHeight="1">
      <c r="A1810" s="1" t="s">
        <v>2490</v>
      </c>
      <c r="B1810" s="2" t="s">
        <v>2447</v>
      </c>
      <c r="C1810" s="60" t="str">
        <f t="shared" si="393"/>
        <v>D.100.01.116</v>
      </c>
      <c r="D1810" s="51" t="s">
        <v>2474</v>
      </c>
      <c r="E1810" s="62" t="s">
        <v>2450</v>
      </c>
      <c r="F1810" s="63" t="str">
        <f t="shared" si="394"/>
        <v>MIG-arc welding Al 5 V-jnt</v>
      </c>
      <c r="G1810" s="64">
        <v>0.38907679749999996</v>
      </c>
      <c r="H1810" s="10">
        <f t="shared" si="395"/>
        <v>0.3890767975</v>
      </c>
      <c r="I1810" s="65">
        <v>0.012328391999999999</v>
      </c>
      <c r="J1810" s="65">
        <v>0.025540125</v>
      </c>
      <c r="K1810" s="65">
        <v>0.0617407505</v>
      </c>
      <c r="L1810" s="65">
        <v>0.28946753</v>
      </c>
      <c r="N1810" s="66">
        <v>1.9297835333333333</v>
      </c>
      <c r="O1810" s="10">
        <f t="shared" si="396"/>
        <v>1.929783533</v>
      </c>
      <c r="Q1810" s="67">
        <v>36.832949</v>
      </c>
      <c r="S1810" s="68">
        <v>0.036756732</v>
      </c>
      <c r="T1810" s="68">
        <v>0.034524265</v>
      </c>
      <c r="U1810" s="68">
        <v>0.0015583492</v>
      </c>
      <c r="V1810" s="68">
        <v>6.7411762E-4</v>
      </c>
      <c r="X1810" s="69">
        <v>9.7758406E-5</v>
      </c>
    </row>
    <row r="1811" ht="12.75" customHeight="1">
      <c r="A1811" s="1" t="s">
        <v>2491</v>
      </c>
      <c r="B1811" s="2" t="s">
        <v>2447</v>
      </c>
      <c r="C1811" s="60" t="str">
        <f t="shared" si="393"/>
        <v>D.100.01.117</v>
      </c>
      <c r="D1811" s="51" t="s">
        <v>2474</v>
      </c>
      <c r="E1811" s="62" t="s">
        <v>2450</v>
      </c>
      <c r="F1811" s="63" t="str">
        <f t="shared" si="394"/>
        <v>MIG-arc welding Al 6 V-jnt</v>
      </c>
      <c r="G1811" s="64">
        <v>0.4617448329</v>
      </c>
      <c r="H1811" s="10">
        <f t="shared" si="395"/>
        <v>0.4617448329</v>
      </c>
      <c r="I1811" s="65">
        <v>0.014630970699999999</v>
      </c>
      <c r="J1811" s="65">
        <v>0.030310265000000003</v>
      </c>
      <c r="K1811" s="65">
        <v>0.0732720972</v>
      </c>
      <c r="L1811" s="65">
        <v>0.3435315</v>
      </c>
      <c r="N1811" s="66">
        <v>2.29021</v>
      </c>
      <c r="O1811" s="10">
        <f t="shared" si="396"/>
        <v>2.29021</v>
      </c>
      <c r="Q1811" s="67">
        <v>43.712255</v>
      </c>
      <c r="S1811" s="68">
        <v>0.043621802</v>
      </c>
      <c r="T1811" s="68">
        <v>0.040972377</v>
      </c>
      <c r="U1811" s="68">
        <v>0.0018494028</v>
      </c>
      <c r="V1811" s="68">
        <v>8.0002286E-4</v>
      </c>
      <c r="X1811" s="69">
        <v>1.1601679E-4</v>
      </c>
    </row>
    <row r="1812" ht="12.75" customHeight="1">
      <c r="A1812" s="1" t="s">
        <v>2492</v>
      </c>
      <c r="B1812" s="2" t="s">
        <v>2447</v>
      </c>
      <c r="C1812" s="60" t="str">
        <f t="shared" si="393"/>
        <v>D.100.01.118</v>
      </c>
      <c r="D1812" s="51" t="s">
        <v>2474</v>
      </c>
      <c r="E1812" s="62" t="s">
        <v>2450</v>
      </c>
      <c r="F1812" s="63" t="str">
        <f t="shared" si="394"/>
        <v>MIG-arc welding Al 8</v>
      </c>
      <c r="G1812" s="64">
        <v>0.5884092626999999</v>
      </c>
      <c r="H1812" s="10">
        <f t="shared" si="395"/>
        <v>0.5884092627</v>
      </c>
      <c r="I1812" s="65">
        <v>0.0186444945</v>
      </c>
      <c r="J1812" s="65">
        <v>0.038624884</v>
      </c>
      <c r="K1812" s="65">
        <v>0.0933718742</v>
      </c>
      <c r="L1812" s="65">
        <v>0.43776801</v>
      </c>
      <c r="N1812" s="66">
        <v>2.9184534</v>
      </c>
      <c r="O1812" s="10">
        <f t="shared" si="396"/>
        <v>2.9184534</v>
      </c>
      <c r="Q1812" s="67">
        <v>55.703267</v>
      </c>
      <c r="S1812" s="68">
        <v>0.055588002</v>
      </c>
      <c r="T1812" s="68">
        <v>0.052211794</v>
      </c>
      <c r="U1812" s="68">
        <v>0.0023567253</v>
      </c>
      <c r="V1812" s="68">
        <v>0.0010194827</v>
      </c>
      <c r="X1812" s="69">
        <v>1.4784215E-4</v>
      </c>
    </row>
    <row r="1813" ht="12.75" customHeight="1">
      <c r="A1813" s="1" t="s">
        <v>2493</v>
      </c>
      <c r="B1813" s="2" t="s">
        <v>2447</v>
      </c>
      <c r="C1813" s="60" t="str">
        <f t="shared" si="393"/>
        <v>D.100.01.119</v>
      </c>
      <c r="D1813" s="51" t="s">
        <v>2474</v>
      </c>
      <c r="E1813" s="62" t="s">
        <v>45</v>
      </c>
      <c r="F1813" s="63" t="str">
        <f t="shared" si="394"/>
        <v>Milling Al (per kg removed, removed Al not counted)</v>
      </c>
      <c r="G1813" s="64">
        <v>0.012111339996999999</v>
      </c>
      <c r="H1813" s="10">
        <f t="shared" si="395"/>
        <v>0.01211134</v>
      </c>
      <c r="I1813" s="65">
        <v>3.83763168E-4</v>
      </c>
      <c r="J1813" s="65">
        <v>7.9502334E-4</v>
      </c>
      <c r="K1813" s="65">
        <v>0.001921891089</v>
      </c>
      <c r="L1813" s="65">
        <v>0.0090106624</v>
      </c>
      <c r="N1813" s="66">
        <v>0.060071082666666664</v>
      </c>
      <c r="O1813" s="10">
        <f t="shared" si="396"/>
        <v>0.06007108267</v>
      </c>
      <c r="Q1813" s="67">
        <v>1.146551</v>
      </c>
      <c r="S1813" s="68">
        <v>0.0011441784</v>
      </c>
      <c r="T1813" s="68">
        <v>0.0010746853</v>
      </c>
      <c r="U1813" s="68">
        <v>4.8508926E-5</v>
      </c>
      <c r="V1813" s="68">
        <v>2.0984206E-5</v>
      </c>
      <c r="X1813" s="69">
        <v>3.0430632E-6</v>
      </c>
    </row>
    <row r="1814" ht="12.75" customHeight="1">
      <c r="A1814" s="1" t="s">
        <v>2494</v>
      </c>
      <c r="B1814" s="2" t="s">
        <v>2447</v>
      </c>
      <c r="C1814" s="60" t="str">
        <f t="shared" si="393"/>
        <v>D.100.01.120</v>
      </c>
      <c r="D1814" s="51" t="s">
        <v>2474</v>
      </c>
      <c r="E1814" s="62" t="s">
        <v>45</v>
      </c>
      <c r="F1814" s="63" t="str">
        <f t="shared" si="394"/>
        <v>Rolling aluminium foil </v>
      </c>
      <c r="G1814" s="64">
        <v>0.2745551088363077</v>
      </c>
      <c r="H1814" s="10">
        <f t="shared" si="395"/>
        <v>0.2745551088</v>
      </c>
      <c r="I1814" s="65">
        <v>0.012437389885000002</v>
      </c>
      <c r="J1814" s="65">
        <v>0.025577726550000002</v>
      </c>
      <c r="K1814" s="65">
        <v>0.02535323240130769</v>
      </c>
      <c r="L1814" s="65">
        <v>0.21118676</v>
      </c>
      <c r="N1814" s="66">
        <v>1.4079117333333333</v>
      </c>
      <c r="O1814" s="10">
        <f t="shared" si="396"/>
        <v>1.407911733</v>
      </c>
      <c r="Q1814" s="67">
        <v>25.666771</v>
      </c>
      <c r="S1814" s="68">
        <v>0.028581444</v>
      </c>
      <c r="T1814" s="68">
        <v>0.02642689</v>
      </c>
      <c r="U1814" s="68">
        <v>0.0011631622</v>
      </c>
      <c r="V1814" s="68">
        <v>9.9139149E-4</v>
      </c>
      <c r="X1814" s="69">
        <v>7.3876793E-5</v>
      </c>
    </row>
    <row r="1815" ht="12.75" customHeight="1">
      <c r="A1815" s="1" t="s">
        <v>2495</v>
      </c>
      <c r="B1815" s="2" t="s">
        <v>2447</v>
      </c>
      <c r="C1815" s="60" t="str">
        <f t="shared" si="393"/>
        <v>D.100.01.121</v>
      </c>
      <c r="D1815" s="51" t="s">
        <v>2474</v>
      </c>
      <c r="E1815" s="62" t="s">
        <v>45</v>
      </c>
      <c r="F1815" s="63" t="str">
        <f t="shared" si="394"/>
        <v>Rolling aluminium sheet</v>
      </c>
      <c r="G1815" s="64">
        <v>0.09215546855682852</v>
      </c>
      <c r="H1815" s="10">
        <f t="shared" si="395"/>
        <v>0.09215546856</v>
      </c>
      <c r="I1815" s="65">
        <v>0.003908692546</v>
      </c>
      <c r="J1815" s="65">
        <v>0.00624237158</v>
      </c>
      <c r="K1815" s="65">
        <v>0.00959359343082851</v>
      </c>
      <c r="L1815" s="65">
        <v>0.072410811</v>
      </c>
      <c r="N1815" s="66">
        <v>0.48273874000000006</v>
      </c>
      <c r="O1815" s="10">
        <f t="shared" si="396"/>
        <v>0.48273874</v>
      </c>
      <c r="Q1815" s="67">
        <v>9.1047824</v>
      </c>
      <c r="S1815" s="68">
        <v>0.0092807387</v>
      </c>
      <c r="T1815" s="68">
        <v>0.0085724919</v>
      </c>
      <c r="U1815" s="68">
        <v>3.9236005E-4</v>
      </c>
      <c r="V1815" s="68">
        <v>3.1588675E-4</v>
      </c>
      <c r="X1815" s="69">
        <v>2.4606214E-5</v>
      </c>
    </row>
    <row r="1816" ht="12.75" customHeight="1">
      <c r="A1816" s="1" t="s">
        <v>2496</v>
      </c>
      <c r="B1816" s="2" t="s">
        <v>2447</v>
      </c>
      <c r="C1816" s="60" t="str">
        <f t="shared" si="393"/>
        <v>D.100.01.122</v>
      </c>
      <c r="D1816" s="51" t="s">
        <v>2474</v>
      </c>
      <c r="E1816" s="62" t="s">
        <v>45</v>
      </c>
      <c r="F1816" s="63" t="str">
        <f t="shared" si="394"/>
        <v>Rolling brass</v>
      </c>
      <c r="G1816" s="64">
        <v>0.0918194001579</v>
      </c>
      <c r="H1816" s="10">
        <f t="shared" si="395"/>
        <v>0.09181940016</v>
      </c>
      <c r="I1816" s="65">
        <v>0.011573501885999999</v>
      </c>
      <c r="J1816" s="65">
        <v>0.0134475472439</v>
      </c>
      <c r="K1816" s="65">
        <v>5.30509028E-4</v>
      </c>
      <c r="L1816" s="65">
        <v>0.066267842</v>
      </c>
      <c r="N1816" s="66">
        <v>0.4417856133333333</v>
      </c>
      <c r="O1816" s="10">
        <f t="shared" si="396"/>
        <v>0.4417856133</v>
      </c>
      <c r="Q1816" s="67">
        <v>5.3308811</v>
      </c>
      <c r="S1816" s="68">
        <v>0.010055937</v>
      </c>
      <c r="T1816" s="68">
        <v>0.0092633022</v>
      </c>
      <c r="U1816" s="68">
        <v>4.1788962E-4</v>
      </c>
      <c r="V1816" s="68">
        <v>3.7474473E-4</v>
      </c>
      <c r="X1816" s="69">
        <v>2.5015441E-5</v>
      </c>
    </row>
    <row r="1817" ht="12.75" customHeight="1">
      <c r="A1817" s="1" t="s">
        <v>2497</v>
      </c>
      <c r="B1817" s="2" t="s">
        <v>2447</v>
      </c>
      <c r="C1817" s="60" t="str">
        <f t="shared" si="393"/>
        <v>D.100.01.123</v>
      </c>
      <c r="D1817" s="51" t="s">
        <v>2474</v>
      </c>
      <c r="E1817" s="62" t="s">
        <v>2450</v>
      </c>
      <c r="F1817" s="63" t="str">
        <f t="shared" si="394"/>
        <v>Sawing Al band saw</v>
      </c>
      <c r="G1817" s="64">
        <v>0.07481275562</v>
      </c>
      <c r="H1817" s="10">
        <f t="shared" si="395"/>
        <v>0.07481275562</v>
      </c>
      <c r="I1817" s="65">
        <v>0.00237053709</v>
      </c>
      <c r="J1817" s="65">
        <v>0.0049109254</v>
      </c>
      <c r="K1817" s="65">
        <v>0.011871681129999999</v>
      </c>
      <c r="L1817" s="65">
        <v>0.055659612</v>
      </c>
      <c r="N1817" s="66">
        <v>0.37106408</v>
      </c>
      <c r="O1817" s="10">
        <f t="shared" si="396"/>
        <v>0.37106408</v>
      </c>
      <c r="Q1817" s="67">
        <v>7.0823408</v>
      </c>
      <c r="S1817" s="68">
        <v>0.0070676855</v>
      </c>
      <c r="T1817" s="68">
        <v>0.0066384206</v>
      </c>
      <c r="U1817" s="68">
        <v>2.9964368E-4</v>
      </c>
      <c r="V1817" s="68">
        <v>1.2962119E-4</v>
      </c>
      <c r="X1817" s="69">
        <v>1.8797255E-5</v>
      </c>
    </row>
    <row r="1818" ht="12.75" customHeight="1">
      <c r="A1818" s="1" t="s">
        <v>2498</v>
      </c>
      <c r="B1818" s="2" t="s">
        <v>2447</v>
      </c>
      <c r="C1818" s="60" t="str">
        <f t="shared" si="393"/>
        <v>D.100.01.124</v>
      </c>
      <c r="D1818" s="51" t="s">
        <v>2474</v>
      </c>
      <c r="E1818" s="62" t="s">
        <v>2450</v>
      </c>
      <c r="F1818" s="63" t="str">
        <f t="shared" si="394"/>
        <v>Sawing Al circular saw</v>
      </c>
      <c r="G1818" s="64">
        <v>0.14962550735</v>
      </c>
      <c r="H1818" s="10">
        <f t="shared" si="395"/>
        <v>0.1496255074</v>
      </c>
      <c r="I1818" s="65">
        <v>0.00474107419</v>
      </c>
      <c r="J1818" s="65">
        <v>0.0098218509</v>
      </c>
      <c r="K1818" s="65">
        <v>0.023743362259999998</v>
      </c>
      <c r="L1818" s="65">
        <v>0.11131922</v>
      </c>
      <c r="N1818" s="66">
        <v>0.7421281333333334</v>
      </c>
      <c r="O1818" s="10">
        <f t="shared" si="396"/>
        <v>0.7421281333</v>
      </c>
      <c r="Q1818" s="67">
        <v>14.164682</v>
      </c>
      <c r="S1818" s="68">
        <v>0.014135371</v>
      </c>
      <c r="T1818" s="68">
        <v>0.013276841</v>
      </c>
      <c r="U1818" s="68">
        <v>5.9928736E-4</v>
      </c>
      <c r="V1818" s="68">
        <v>2.5924238E-4</v>
      </c>
      <c r="X1818" s="69">
        <v>3.759451E-5</v>
      </c>
    </row>
    <row r="1819" ht="12.75" customHeight="1">
      <c r="A1819" s="1" t="s">
        <v>2499</v>
      </c>
      <c r="B1819" s="2" t="s">
        <v>2447</v>
      </c>
      <c r="C1819" s="60" t="str">
        <f t="shared" si="393"/>
        <v>D.100.01.125</v>
      </c>
      <c r="D1819" s="51" t="s">
        <v>2474</v>
      </c>
      <c r="E1819" s="62" t="s">
        <v>45</v>
      </c>
      <c r="F1819" s="63" t="str">
        <f t="shared" si="394"/>
        <v>Scouring aluminium</v>
      </c>
      <c r="G1819" s="64">
        <v>0.156942784</v>
      </c>
      <c r="H1819" s="10">
        <f t="shared" si="395"/>
        <v>0.156942784</v>
      </c>
      <c r="I1819" s="65">
        <v>0.00497293109</v>
      </c>
      <c r="J1819" s="65">
        <v>0.010302177400000001</v>
      </c>
      <c r="K1819" s="65">
        <v>0.024904505509999997</v>
      </c>
      <c r="L1819" s="65">
        <v>0.11676317</v>
      </c>
      <c r="N1819" s="66">
        <v>0.7784211333333334</v>
      </c>
      <c r="O1819" s="10">
        <f t="shared" si="396"/>
        <v>0.7784211333</v>
      </c>
      <c r="Q1819" s="67">
        <v>14.857389</v>
      </c>
      <c r="S1819" s="68">
        <v>0.014826645</v>
      </c>
      <c r="T1819" s="68">
        <v>0.01392613</v>
      </c>
      <c r="U1819" s="68">
        <v>6.2859483E-4</v>
      </c>
      <c r="V1819" s="68">
        <v>2.7192034E-4</v>
      </c>
      <c r="X1819" s="69">
        <v>3.9433028E-5</v>
      </c>
    </row>
    <row r="1820" ht="12.75" customHeight="1">
      <c r="A1820" s="1" t="s">
        <v>2500</v>
      </c>
      <c r="B1820" s="2" t="s">
        <v>2447</v>
      </c>
      <c r="C1820" s="60" t="str">
        <f t="shared" si="393"/>
        <v>D.100.01.126</v>
      </c>
      <c r="D1820" s="51" t="s">
        <v>2474</v>
      </c>
      <c r="E1820" s="62" t="s">
        <v>2450</v>
      </c>
      <c r="F1820" s="63" t="str">
        <f t="shared" si="394"/>
        <v>Seam welding Al. 0.25</v>
      </c>
      <c r="G1820" s="64">
        <v>0.4987096594</v>
      </c>
      <c r="H1820" s="10">
        <f t="shared" si="395"/>
        <v>0.4987096594</v>
      </c>
      <c r="I1820" s="65">
        <v>0.0158022477</v>
      </c>
      <c r="J1820" s="65">
        <v>0.032736743</v>
      </c>
      <c r="K1820" s="65">
        <v>0.0791378687</v>
      </c>
      <c r="L1820" s="65">
        <v>0.3710328</v>
      </c>
      <c r="N1820" s="66">
        <v>2.473552</v>
      </c>
      <c r="O1820" s="10">
        <f t="shared" si="396"/>
        <v>2.473552</v>
      </c>
      <c r="Q1820" s="67">
        <v>47.211624</v>
      </c>
      <c r="S1820" s="68">
        <v>0.04711393</v>
      </c>
      <c r="T1820" s="68">
        <v>0.044252406</v>
      </c>
      <c r="U1820" s="68">
        <v>0.0019974561</v>
      </c>
      <c r="V1820" s="68">
        <v>8.640684E-4</v>
      </c>
      <c r="X1820" s="69">
        <v>1.2530447E-4</v>
      </c>
    </row>
    <row r="1821" ht="12.75" customHeight="1">
      <c r="A1821" s="1" t="s">
        <v>2501</v>
      </c>
      <c r="B1821" s="2" t="s">
        <v>2447</v>
      </c>
      <c r="C1821" s="60" t="str">
        <f t="shared" si="393"/>
        <v>D.100.01.127</v>
      </c>
      <c r="D1821" s="51" t="s">
        <v>2474</v>
      </c>
      <c r="E1821" s="62" t="s">
        <v>2450</v>
      </c>
      <c r="F1821" s="63" t="str">
        <f t="shared" si="394"/>
        <v>Seam welding Al. 1.5</v>
      </c>
      <c r="G1821" s="64">
        <v>1.5958708511</v>
      </c>
      <c r="H1821" s="10">
        <f t="shared" si="395"/>
        <v>1.595870851</v>
      </c>
      <c r="I1821" s="65">
        <v>0.0505671934</v>
      </c>
      <c r="J1821" s="65">
        <v>0.10475757499999999</v>
      </c>
      <c r="K1821" s="65">
        <v>0.2532411827</v>
      </c>
      <c r="L1821" s="65">
        <v>1.1873049</v>
      </c>
      <c r="N1821" s="66">
        <v>7.915366000000001</v>
      </c>
      <c r="O1821" s="10">
        <f t="shared" si="396"/>
        <v>7.915366</v>
      </c>
      <c r="Q1821" s="67">
        <v>151.0772</v>
      </c>
      <c r="S1821" s="68">
        <v>0.15076458</v>
      </c>
      <c r="T1821" s="68">
        <v>0.1416077</v>
      </c>
      <c r="U1821" s="68">
        <v>0.0063918595</v>
      </c>
      <c r="V1821" s="68">
        <v>0.0027650189</v>
      </c>
      <c r="X1821" s="69">
        <v>4.009743E-4</v>
      </c>
    </row>
    <row r="1822" ht="12.75" customHeight="1">
      <c r="A1822" s="1" t="s">
        <v>2502</v>
      </c>
      <c r="B1822" s="2" t="s">
        <v>2447</v>
      </c>
      <c r="C1822" s="60" t="str">
        <f t="shared" si="393"/>
        <v>D.100.01.128</v>
      </c>
      <c r="D1822" s="51" t="s">
        <v>2474</v>
      </c>
      <c r="E1822" s="62" t="s">
        <v>2450</v>
      </c>
      <c r="F1822" s="63" t="str">
        <f t="shared" si="394"/>
        <v>Seam welding Al. 2.5</v>
      </c>
      <c r="G1822" s="64">
        <v>2.2940896125</v>
      </c>
      <c r="H1822" s="10">
        <f t="shared" si="395"/>
        <v>2.294089613</v>
      </c>
      <c r="I1822" s="65">
        <v>0.0726911401</v>
      </c>
      <c r="J1822" s="65">
        <v>0.150590671</v>
      </c>
      <c r="K1822" s="65">
        <v>0.3640382014</v>
      </c>
      <c r="L1822" s="65">
        <v>1.7067696</v>
      </c>
      <c r="N1822" s="66">
        <v>11.378464000000001</v>
      </c>
      <c r="O1822" s="10">
        <f t="shared" si="396"/>
        <v>11.378464</v>
      </c>
      <c r="Q1822" s="67">
        <v>217.17586</v>
      </c>
      <c r="S1822" s="68">
        <v>0.21672646</v>
      </c>
      <c r="T1822" s="68">
        <v>0.20356331</v>
      </c>
      <c r="U1822" s="68">
        <v>0.0091883991</v>
      </c>
      <c r="V1822" s="68">
        <v>0.0039747584</v>
      </c>
      <c r="X1822" s="69">
        <v>5.7640689E-4</v>
      </c>
    </row>
    <row r="1823" ht="12.75" customHeight="1">
      <c r="A1823" s="1" t="s">
        <v>2503</v>
      </c>
      <c r="B1823" s="2" t="s">
        <v>2447</v>
      </c>
      <c r="C1823" s="60" t="str">
        <f t="shared" si="393"/>
        <v>D.100.01.129</v>
      </c>
      <c r="D1823" s="51" t="s">
        <v>2474</v>
      </c>
      <c r="E1823" s="62" t="s">
        <v>707</v>
      </c>
      <c r="F1823" s="63" t="str">
        <f t="shared" si="394"/>
        <v>Spot welding Al. 0.5</v>
      </c>
      <c r="G1823" s="64">
        <v>0.004995927702</v>
      </c>
      <c r="H1823" s="10">
        <f t="shared" si="395"/>
        <v>0.004995927702</v>
      </c>
      <c r="I1823" s="65">
        <v>1.58302304E-4</v>
      </c>
      <c r="J1823" s="65">
        <v>3.2794713E-4</v>
      </c>
      <c r="K1823" s="65">
        <v>7.92780068E-4</v>
      </c>
      <c r="L1823" s="65">
        <v>0.0037168982</v>
      </c>
      <c r="N1823" s="66">
        <v>0.024779321333333333</v>
      </c>
      <c r="O1823" s="10">
        <f t="shared" si="396"/>
        <v>0.02477932133</v>
      </c>
      <c r="Q1823" s="67">
        <v>0.47295227</v>
      </c>
      <c r="S1823" s="68">
        <v>4.719736E-4</v>
      </c>
      <c r="T1823" s="68">
        <v>4.4330768E-4</v>
      </c>
      <c r="U1823" s="68">
        <v>2.0009932E-5</v>
      </c>
      <c r="V1823" s="68">
        <v>8.655985E-6</v>
      </c>
      <c r="X1823" s="69">
        <v>1.2552636E-6</v>
      </c>
    </row>
    <row r="1824" ht="12.75" customHeight="1">
      <c r="A1824" s="1" t="s">
        <v>2504</v>
      </c>
      <c r="B1824" s="2" t="s">
        <v>2447</v>
      </c>
      <c r="C1824" s="60" t="str">
        <f t="shared" si="393"/>
        <v>D.100.01.130</v>
      </c>
      <c r="D1824" s="51" t="s">
        <v>2474</v>
      </c>
      <c r="E1824" s="62" t="s">
        <v>707</v>
      </c>
      <c r="F1824" s="63" t="str">
        <f t="shared" si="394"/>
        <v>Spot welding Al. 1</v>
      </c>
      <c r="G1824" s="64">
        <v>0.009974193069</v>
      </c>
      <c r="H1824" s="10">
        <f t="shared" si="395"/>
        <v>0.009974193069</v>
      </c>
      <c r="I1824" s="65">
        <v>3.1604496399999997E-4</v>
      </c>
      <c r="J1824" s="65">
        <v>6.5473485E-4</v>
      </c>
      <c r="K1824" s="65">
        <v>0.001582757355</v>
      </c>
      <c r="L1824" s="65">
        <v>0.0074206559</v>
      </c>
      <c r="N1824" s="66">
        <v>0.049471039333333335</v>
      </c>
      <c r="O1824" s="10">
        <f t="shared" si="396"/>
        <v>0.04947103933</v>
      </c>
      <c r="Q1824" s="67">
        <v>0.94423248</v>
      </c>
      <c r="S1824" s="68">
        <v>9.4227861E-4</v>
      </c>
      <c r="T1824" s="68">
        <v>8.8504812E-4</v>
      </c>
      <c r="U1824" s="68">
        <v>3.9949122E-5</v>
      </c>
      <c r="V1824" s="68">
        <v>1.7281368E-5</v>
      </c>
      <c r="X1824" s="69">
        <v>2.5060894E-6</v>
      </c>
    </row>
    <row r="1825" ht="12.75" customHeight="1">
      <c r="A1825" s="1" t="s">
        <v>2505</v>
      </c>
      <c r="B1825" s="2" t="s">
        <v>2447</v>
      </c>
      <c r="C1825" s="60" t="str">
        <f t="shared" si="393"/>
        <v>D.100.01.131</v>
      </c>
      <c r="D1825" s="51" t="s">
        <v>2474</v>
      </c>
      <c r="E1825" s="62" t="s">
        <v>707</v>
      </c>
      <c r="F1825" s="63" t="str">
        <f t="shared" si="394"/>
        <v>Spot welding Al. 1.5</v>
      </c>
      <c r="G1825" s="64">
        <v>0.019958479297</v>
      </c>
      <c r="H1825" s="10">
        <f t="shared" si="395"/>
        <v>0.0199584793</v>
      </c>
      <c r="I1825" s="65">
        <v>6.32409723E-4</v>
      </c>
      <c r="J1825" s="65">
        <v>0.00131013221</v>
      </c>
      <c r="K1825" s="65">
        <v>0.0031671163639999996</v>
      </c>
      <c r="L1825" s="65">
        <v>0.014848821</v>
      </c>
      <c r="N1825" s="66">
        <v>0.09899214</v>
      </c>
      <c r="O1825" s="10">
        <f t="shared" si="396"/>
        <v>0.09899214</v>
      </c>
      <c r="Q1825" s="67">
        <v>1.8894204</v>
      </c>
      <c r="S1825" s="68">
        <v>0.0018855107</v>
      </c>
      <c r="T1825" s="68">
        <v>0.0017709918</v>
      </c>
      <c r="U1825" s="68">
        <v>7.9938668E-5</v>
      </c>
      <c r="V1825" s="68">
        <v>3.4580223E-5</v>
      </c>
      <c r="X1825" s="69">
        <v>5.0147146E-6</v>
      </c>
    </row>
    <row r="1826" ht="12.75" customHeight="1">
      <c r="A1826" s="1" t="s">
        <v>2506</v>
      </c>
      <c r="B1826" s="2" t="s">
        <v>2447</v>
      </c>
      <c r="C1826" s="60" t="str">
        <f t="shared" si="393"/>
        <v>D.100.01.132</v>
      </c>
      <c r="D1826" s="51" t="s">
        <v>2474</v>
      </c>
      <c r="E1826" s="62" t="s">
        <v>707</v>
      </c>
      <c r="F1826" s="63" t="str">
        <f t="shared" si="394"/>
        <v>Spot welding Al. 3</v>
      </c>
      <c r="G1826" s="64">
        <v>0.046880978200000006</v>
      </c>
      <c r="H1826" s="10">
        <f t="shared" si="395"/>
        <v>0.0468809782</v>
      </c>
      <c r="I1826" s="65">
        <v>0.00148548324</v>
      </c>
      <c r="J1826" s="65">
        <v>0.0030774029</v>
      </c>
      <c r="K1826" s="65">
        <v>0.00743932006</v>
      </c>
      <c r="L1826" s="65">
        <v>0.034878772</v>
      </c>
      <c r="N1826" s="66">
        <v>0.23252514666666668</v>
      </c>
      <c r="O1826" s="10">
        <f t="shared" si="396"/>
        <v>0.2325251467</v>
      </c>
      <c r="Q1826" s="67">
        <v>4.4381076</v>
      </c>
      <c r="S1826" s="68">
        <v>0.004428924</v>
      </c>
      <c r="T1826" s="68">
        <v>0.0041599276</v>
      </c>
      <c r="U1826" s="68">
        <v>1.8776997E-4</v>
      </c>
      <c r="V1826" s="68">
        <v>8.1226364E-5</v>
      </c>
      <c r="X1826" s="69">
        <v>1.1779191E-5</v>
      </c>
    </row>
    <row r="1827" ht="12.75" customHeight="1">
      <c r="A1827" s="1" t="s">
        <v>2507</v>
      </c>
      <c r="B1827" s="2" t="s">
        <v>2447</v>
      </c>
      <c r="C1827" s="60" t="str">
        <f t="shared" si="393"/>
        <v>D.100.01.133</v>
      </c>
      <c r="D1827" s="51" t="s">
        <v>2474</v>
      </c>
      <c r="E1827" s="62" t="s">
        <v>45</v>
      </c>
      <c r="F1827" s="63" t="str">
        <f t="shared" si="394"/>
        <v>Turning Al (per kg removed  removed Al not counted)</v>
      </c>
      <c r="G1827" s="64">
        <v>0.012111339996999999</v>
      </c>
      <c r="H1827" s="10">
        <f t="shared" si="395"/>
        <v>0.01211134</v>
      </c>
      <c r="I1827" s="65">
        <v>3.83763168E-4</v>
      </c>
      <c r="J1827" s="65">
        <v>7.9502334E-4</v>
      </c>
      <c r="K1827" s="65">
        <v>0.001921891089</v>
      </c>
      <c r="L1827" s="65">
        <v>0.0090106624</v>
      </c>
      <c r="N1827" s="66">
        <v>0.060071082666666664</v>
      </c>
      <c r="O1827" s="10">
        <f t="shared" si="396"/>
        <v>0.06007108267</v>
      </c>
      <c r="Q1827" s="67">
        <v>1.146551</v>
      </c>
      <c r="S1827" s="68">
        <v>0.0011441784</v>
      </c>
      <c r="T1827" s="68">
        <v>0.0010746853</v>
      </c>
      <c r="U1827" s="68">
        <v>4.8508926E-5</v>
      </c>
      <c r="V1827" s="68">
        <v>2.0984206E-5</v>
      </c>
      <c r="X1827" s="69">
        <v>3.0430632E-6</v>
      </c>
    </row>
    <row r="1828" ht="12.75" customHeight="1">
      <c r="A1828" s="1" t="s">
        <v>2508</v>
      </c>
      <c r="B1828" s="2" t="s">
        <v>2447</v>
      </c>
      <c r="C1828" s="60" t="str">
        <f t="shared" si="393"/>
        <v>D.100.01.134</v>
      </c>
      <c r="D1828" s="51" t="s">
        <v>2474</v>
      </c>
      <c r="E1828" s="62" t="s">
        <v>2450</v>
      </c>
      <c r="F1828" s="63" t="str">
        <f t="shared" si="394"/>
        <v>Welding aluminium arc (0.0183 kg electrode)</v>
      </c>
      <c r="G1828" s="64">
        <v>0.0646702447600015</v>
      </c>
      <c r="H1828" s="10">
        <f t="shared" si="395"/>
        <v>0.06467024476</v>
      </c>
      <c r="I1828" s="65">
        <v>0.0024436918701000003</v>
      </c>
      <c r="J1828" s="65">
        <v>0.0060420714839</v>
      </c>
      <c r="K1828" s="65">
        <v>0.0197901014060015</v>
      </c>
      <c r="L1828" s="65">
        <v>0.03639438</v>
      </c>
      <c r="N1828" s="66">
        <v>0.2426292</v>
      </c>
      <c r="O1828" s="10">
        <f t="shared" si="396"/>
        <v>0.2426292</v>
      </c>
      <c r="Q1828" s="67">
        <v>2.6501751</v>
      </c>
      <c r="S1828" s="68">
        <v>0.0054934126</v>
      </c>
      <c r="T1828" s="68">
        <v>0.0052173493</v>
      </c>
      <c r="U1828" s="68">
        <v>2.2277598E-4</v>
      </c>
      <c r="V1828" s="68">
        <v>5.3287281E-5</v>
      </c>
      <c r="X1828" s="69">
        <v>1.1911397E-5</v>
      </c>
    </row>
    <row r="1829" ht="12.75" customHeight="1">
      <c r="B1829" s="2"/>
      <c r="C1829" s="60"/>
      <c r="D1829" s="75" t="s">
        <v>2509</v>
      </c>
      <c r="E1829" s="62"/>
      <c r="G1829" s="10"/>
      <c r="H1829" s="10"/>
      <c r="I1829" s="10"/>
      <c r="J1829" s="10"/>
      <c r="K1829" s="10"/>
      <c r="L1829" s="10"/>
      <c r="N1829" s="10"/>
      <c r="O1829" s="10"/>
      <c r="Q1829" s="67"/>
    </row>
    <row r="1830" ht="12.75" customHeight="1">
      <c r="A1830" s="1" t="s">
        <v>2510</v>
      </c>
      <c r="B1830" s="2" t="s">
        <v>1316</v>
      </c>
      <c r="C1830" s="60" t="str">
        <f t="shared" ref="C1830:C1843" si="397">MID(A1830,1,12)</f>
        <v>D.110.01.101</v>
      </c>
      <c r="D1830" s="51" t="s">
        <v>2509</v>
      </c>
      <c r="E1830" s="62" t="s">
        <v>45</v>
      </c>
      <c r="F1830" s="63" t="str">
        <f t="shared" ref="F1830:F1843" si="398">MID(A1830, 21,85)</f>
        <v>Corrugated board making  (excl the paper)</v>
      </c>
      <c r="G1830" s="94">
        <v>0.027179746776799837</v>
      </c>
      <c r="H1830" s="10">
        <v>0.027179746776799837</v>
      </c>
      <c r="I1830" s="95">
        <v>0.0013969962391</v>
      </c>
      <c r="J1830" s="95">
        <v>0.00207795434256</v>
      </c>
      <c r="K1830" s="95">
        <v>0.0020661051951398344</v>
      </c>
      <c r="L1830" s="95">
        <v>0.021638691</v>
      </c>
      <c r="N1830" s="66">
        <v>0.14425794000000003</v>
      </c>
      <c r="O1830" s="10">
        <f t="shared" ref="O1830:O1843" si="399">N1830</f>
        <v>0.14425794</v>
      </c>
      <c r="Q1830" s="67">
        <v>2.5524158</v>
      </c>
      <c r="S1830" s="68">
        <v>0.0028131502</v>
      </c>
      <c r="T1830" s="68">
        <v>0.0025739458</v>
      </c>
      <c r="U1830" s="68">
        <v>1.1741401E-4</v>
      </c>
      <c r="V1830" s="68">
        <v>1.2179034E-4</v>
      </c>
      <c r="X1830" s="69">
        <v>7.559218E-6</v>
      </c>
    </row>
    <row r="1831" ht="12.75" customHeight="1">
      <c r="A1831" s="1" t="s">
        <v>2511</v>
      </c>
      <c r="B1831" s="2" t="s">
        <v>1316</v>
      </c>
      <c r="C1831" s="60" t="str">
        <f t="shared" si="397"/>
        <v>D.110.01.102</v>
      </c>
      <c r="D1831" s="51" t="s">
        <v>2509</v>
      </c>
      <c r="E1831" s="62" t="s">
        <v>729</v>
      </c>
      <c r="F1831" s="63" t="str">
        <f t="shared" si="398"/>
        <v>Printing per m2  100%  offset conventional (incl ink)</v>
      </c>
      <c r="G1831" s="94">
        <v>0.0041742222615000005</v>
      </c>
      <c r="H1831" s="10">
        <f t="shared" ref="H1831:H1843" si="400">G1831</f>
        <v>0.004174222262</v>
      </c>
      <c r="I1831" s="95">
        <v>1.8773453049999997E-4</v>
      </c>
      <c r="J1831" s="95">
        <v>0.0019059228380000001</v>
      </c>
      <c r="K1831" s="95">
        <v>3.2969989300000004E-4</v>
      </c>
      <c r="L1831" s="95">
        <v>0.001750865</v>
      </c>
      <c r="N1831" s="66">
        <v>0.011672433333333334</v>
      </c>
      <c r="O1831" s="10">
        <f t="shared" si="399"/>
        <v>0.01167243333</v>
      </c>
      <c r="Q1831" s="67">
        <v>0.2807861</v>
      </c>
      <c r="S1831" s="68">
        <v>2.7380361E-4</v>
      </c>
      <c r="T1831" s="68">
        <v>2.5369288E-4</v>
      </c>
      <c r="U1831" s="68">
        <v>1.0139878E-5</v>
      </c>
      <c r="V1831" s="68">
        <v>9.9708527E-6</v>
      </c>
      <c r="X1831" s="69">
        <v>7.6133407E-7</v>
      </c>
    </row>
    <row r="1832" ht="12.75" customHeight="1">
      <c r="A1832" s="1" t="s">
        <v>2512</v>
      </c>
      <c r="B1832" s="2" t="s">
        <v>1316</v>
      </c>
      <c r="C1832" s="60" t="str">
        <f t="shared" si="397"/>
        <v>D.110.01.103</v>
      </c>
      <c r="D1832" s="51" t="s">
        <v>2509</v>
      </c>
      <c r="E1832" s="62" t="s">
        <v>729</v>
      </c>
      <c r="F1832" s="63" t="str">
        <f t="shared" si="398"/>
        <v>Printing per m2  100%  UV inkjet  (incl ink)</v>
      </c>
      <c r="G1832" s="94">
        <v>0.022999233409999997</v>
      </c>
      <c r="H1832" s="10">
        <f t="shared" si="400"/>
        <v>0.02299923341</v>
      </c>
      <c r="I1832" s="95">
        <v>0.0019123435999999997</v>
      </c>
      <c r="J1832" s="95">
        <v>0.011704840349999999</v>
      </c>
      <c r="K1832" s="95">
        <v>0.0018047399599999997</v>
      </c>
      <c r="L1832" s="95">
        <v>0.0075773095</v>
      </c>
      <c r="N1832" s="66">
        <v>0.05051539666666666</v>
      </c>
      <c r="O1832" s="10">
        <f t="shared" si="399"/>
        <v>0.05051539667</v>
      </c>
      <c r="Q1832" s="67">
        <v>1.2585137</v>
      </c>
      <c r="S1832" s="68">
        <v>0.0014320136</v>
      </c>
      <c r="T1832" s="68">
        <v>0.0013225322</v>
      </c>
      <c r="U1832" s="68">
        <v>4.7533333E-5</v>
      </c>
      <c r="V1832" s="68">
        <v>6.1948126E-5</v>
      </c>
      <c r="X1832" s="69">
        <v>4.3820276E-6</v>
      </c>
    </row>
    <row r="1833" ht="12.75" customHeight="1">
      <c r="A1833" s="1" t="s">
        <v>2513</v>
      </c>
      <c r="B1833" s="2" t="s">
        <v>1316</v>
      </c>
      <c r="C1833" s="60" t="str">
        <f t="shared" si="397"/>
        <v>D.110.01.106</v>
      </c>
      <c r="D1833" s="51" t="s">
        <v>2509</v>
      </c>
      <c r="E1833" s="62" t="s">
        <v>729</v>
      </c>
      <c r="F1833" s="63" t="str">
        <f t="shared" si="398"/>
        <v>Printing per m2  100% extra paint varnish layer (incl paint)</v>
      </c>
      <c r="G1833" s="94">
        <v>0.0030104546495</v>
      </c>
      <c r="H1833" s="10">
        <f t="shared" si="400"/>
        <v>0.00301045465</v>
      </c>
      <c r="I1833" s="95">
        <v>2.933750178E-4</v>
      </c>
      <c r="J1833" s="95">
        <v>0.0015013176944</v>
      </c>
      <c r="K1833" s="95">
        <v>2.3451337300000003E-5</v>
      </c>
      <c r="L1833" s="95">
        <v>0.0011923106</v>
      </c>
      <c r="N1833" s="66">
        <v>0.007948737333333334</v>
      </c>
      <c r="O1833" s="10">
        <f t="shared" si="399"/>
        <v>0.007948737333</v>
      </c>
      <c r="Q1833" s="67">
        <v>0.20521385</v>
      </c>
      <c r="S1833" s="68">
        <v>2.648423E-4</v>
      </c>
      <c r="T1833" s="68">
        <v>2.4185355E-4</v>
      </c>
      <c r="U1833" s="68">
        <v>9.0443355E-6</v>
      </c>
      <c r="V1833" s="68">
        <v>1.3944408E-5</v>
      </c>
      <c r="X1833" s="69">
        <v>7.1638045E-7</v>
      </c>
    </row>
    <row r="1834" ht="12.75" customHeight="1">
      <c r="A1834" s="1" t="s">
        <v>2514</v>
      </c>
      <c r="B1834" s="2" t="s">
        <v>1316</v>
      </c>
      <c r="C1834" s="60" t="str">
        <f t="shared" si="397"/>
        <v>D.110.01.107</v>
      </c>
      <c r="D1834" s="51" t="s">
        <v>2509</v>
      </c>
      <c r="E1834" s="62" t="s">
        <v>729</v>
      </c>
      <c r="F1834" s="63" t="str">
        <f t="shared" si="398"/>
        <v>Printing per m2  100% flexographic print (incl ink)</v>
      </c>
      <c r="G1834" s="94">
        <v>0.0036257658053999997</v>
      </c>
      <c r="H1834" s="10">
        <f t="shared" si="400"/>
        <v>0.003625765805</v>
      </c>
      <c r="I1834" s="95">
        <v>1.646979441E-4</v>
      </c>
      <c r="J1834" s="95">
        <v>0.0017034592589999999</v>
      </c>
      <c r="K1834" s="95">
        <v>2.766033023E-4</v>
      </c>
      <c r="L1834" s="95">
        <v>0.0014810053</v>
      </c>
      <c r="N1834" s="66">
        <v>0.009873368666666667</v>
      </c>
      <c r="O1834" s="10">
        <f t="shared" si="399"/>
        <v>0.009873368667</v>
      </c>
      <c r="Q1834" s="67">
        <v>0.24053197</v>
      </c>
      <c r="S1834" s="68">
        <v>2.3428576E-4</v>
      </c>
      <c r="T1834" s="68">
        <v>2.1693026E-4</v>
      </c>
      <c r="U1834" s="68">
        <v>8.6142471E-6</v>
      </c>
      <c r="V1834" s="68">
        <v>8.7412492E-6</v>
      </c>
      <c r="X1834" s="69">
        <v>6.5285334E-7</v>
      </c>
    </row>
    <row r="1835" ht="12.75" customHeight="1">
      <c r="A1835" s="1" t="s">
        <v>2515</v>
      </c>
      <c r="B1835" s="2" t="s">
        <v>1316</v>
      </c>
      <c r="C1835" s="60" t="str">
        <f t="shared" si="397"/>
        <v>D.110.01.108</v>
      </c>
      <c r="D1835" s="51" t="s">
        <v>2509</v>
      </c>
      <c r="E1835" s="62" t="s">
        <v>729</v>
      </c>
      <c r="F1835" s="63" t="str">
        <f t="shared" si="398"/>
        <v>Printing per m2  100% rotogravure print (incl ink)</v>
      </c>
      <c r="G1835" s="94">
        <v>0.0054794440158</v>
      </c>
      <c r="H1835" s="10">
        <f t="shared" si="400"/>
        <v>0.005479444016</v>
      </c>
      <c r="I1835" s="95">
        <v>2.455722908E-4</v>
      </c>
      <c r="J1835" s="95">
        <v>0.0024764526980000003</v>
      </c>
      <c r="K1835" s="95">
        <v>4.37975927E-4</v>
      </c>
      <c r="L1835" s="95">
        <v>0.0023194431</v>
      </c>
      <c r="N1835" s="66">
        <v>0.015462954000000001</v>
      </c>
      <c r="O1835" s="10">
        <f t="shared" si="399"/>
        <v>0.015462954</v>
      </c>
      <c r="Q1835" s="67">
        <v>0.37036609</v>
      </c>
      <c r="S1835" s="68">
        <v>3.6129633E-4</v>
      </c>
      <c r="T1835" s="68">
        <v>3.3483741E-4</v>
      </c>
      <c r="U1835" s="68">
        <v>1.341298E-5</v>
      </c>
      <c r="V1835" s="68">
        <v>1.3045933E-5</v>
      </c>
      <c r="X1835" s="69">
        <v>1.0038716E-6</v>
      </c>
    </row>
    <row r="1836" ht="12.75" customHeight="1">
      <c r="A1836" s="1" t="s">
        <v>2516</v>
      </c>
      <c r="B1836" s="2" t="s">
        <v>1316</v>
      </c>
      <c r="C1836" s="60" t="str">
        <f t="shared" si="397"/>
        <v>D.110.01.202</v>
      </c>
      <c r="D1836" s="51" t="s">
        <v>2509</v>
      </c>
      <c r="E1836" s="62" t="s">
        <v>729</v>
      </c>
      <c r="F1836" s="63" t="str">
        <f t="shared" si="398"/>
        <v>Printing per m2  offset  conventional  electricity only</v>
      </c>
      <c r="G1836" s="94">
        <v>0.001350440954</v>
      </c>
      <c r="H1836" s="10">
        <f t="shared" si="400"/>
        <v>0.001350440954</v>
      </c>
      <c r="I1836" s="95">
        <v>4.27904353E-5</v>
      </c>
      <c r="J1836" s="95">
        <v>8.864684700000001E-5</v>
      </c>
      <c r="K1836" s="95">
        <v>2.142950717E-4</v>
      </c>
      <c r="L1836" s="95">
        <v>0.0010047086</v>
      </c>
      <c r="N1836" s="66">
        <v>0.0066980573333333335</v>
      </c>
      <c r="O1836" s="10">
        <f t="shared" si="399"/>
        <v>0.006698057333</v>
      </c>
      <c r="Q1836" s="67">
        <v>0.12784295</v>
      </c>
      <c r="S1836" s="68">
        <v>1.2757841E-4</v>
      </c>
      <c r="T1836" s="68">
        <v>1.1982977E-4</v>
      </c>
      <c r="U1836" s="68">
        <v>5.4088517E-6</v>
      </c>
      <c r="V1836" s="68">
        <v>2.339785E-6</v>
      </c>
      <c r="X1836" s="69">
        <v>3.3930823E-7</v>
      </c>
    </row>
    <row r="1837" ht="12.75" customHeight="1">
      <c r="A1837" s="1" t="s">
        <v>2517</v>
      </c>
      <c r="B1837" s="2" t="s">
        <v>1316</v>
      </c>
      <c r="C1837" s="60" t="str">
        <f t="shared" si="397"/>
        <v>D.110.01.203</v>
      </c>
      <c r="D1837" s="51" t="s">
        <v>2509</v>
      </c>
      <c r="E1837" s="62" t="s">
        <v>729</v>
      </c>
      <c r="F1837" s="63" t="str">
        <f t="shared" si="398"/>
        <v>Printing per m2  UV inkjet  electricity only</v>
      </c>
      <c r="G1837" s="94">
        <v>0.0017555732634</v>
      </c>
      <c r="H1837" s="10">
        <f t="shared" si="400"/>
        <v>0.001755573263</v>
      </c>
      <c r="I1837" s="95">
        <v>5.56275662E-5</v>
      </c>
      <c r="J1837" s="95">
        <v>1.1524090099999999E-4</v>
      </c>
      <c r="K1837" s="95">
        <v>2.785835962E-4</v>
      </c>
      <c r="L1837" s="95">
        <v>0.0013061212</v>
      </c>
      <c r="N1837" s="66">
        <v>0.008707474666666668</v>
      </c>
      <c r="O1837" s="10">
        <f t="shared" si="399"/>
        <v>0.008707474667</v>
      </c>
      <c r="Q1837" s="67">
        <v>0.16619583</v>
      </c>
      <c r="S1837" s="68">
        <v>1.6585193E-4</v>
      </c>
      <c r="T1837" s="68">
        <v>1.557787E-4</v>
      </c>
      <c r="U1837" s="68">
        <v>7.0315072E-6</v>
      </c>
      <c r="V1837" s="68">
        <v>3.0417205E-6</v>
      </c>
      <c r="X1837" s="69">
        <v>4.411007E-7</v>
      </c>
    </row>
    <row r="1838" ht="12.75" customHeight="1">
      <c r="A1838" s="1" t="s">
        <v>2518</v>
      </c>
      <c r="B1838" s="2" t="s">
        <v>1316</v>
      </c>
      <c r="C1838" s="60" t="str">
        <f t="shared" si="397"/>
        <v>D.110.01.204</v>
      </c>
      <c r="D1838" s="51" t="s">
        <v>2509</v>
      </c>
      <c r="E1838" s="62" t="s">
        <v>729</v>
      </c>
      <c r="F1838" s="63" t="str">
        <f t="shared" si="398"/>
        <v>Printing per m2  flexographic print  electricity only</v>
      </c>
      <c r="G1838" s="94">
        <v>0.001090020597</v>
      </c>
      <c r="H1838" s="10">
        <f t="shared" si="400"/>
        <v>0.001090020597</v>
      </c>
      <c r="I1838" s="95">
        <v>3.4538685E-5</v>
      </c>
      <c r="J1838" s="95">
        <v>7.1552101E-5</v>
      </c>
      <c r="K1838" s="95">
        <v>1.72970201E-4</v>
      </c>
      <c r="L1838" s="95">
        <v>8.1095961E-4</v>
      </c>
      <c r="N1838" s="66">
        <v>0.0054063974</v>
      </c>
      <c r="O1838" s="10">
        <f t="shared" si="399"/>
        <v>0.0054063974</v>
      </c>
      <c r="Q1838" s="67">
        <v>0.10318959</v>
      </c>
      <c r="S1838" s="68">
        <v>1.0297606E-4</v>
      </c>
      <c r="T1838" s="68">
        <v>9.6721676E-5</v>
      </c>
      <c r="U1838" s="68">
        <v>4.3658033E-6</v>
      </c>
      <c r="V1838" s="68">
        <v>1.8885785E-6</v>
      </c>
      <c r="X1838" s="69">
        <v>2.7387569E-7</v>
      </c>
    </row>
    <row r="1839" ht="12.75" customHeight="1">
      <c r="A1839" s="1" t="s">
        <v>2519</v>
      </c>
      <c r="B1839" s="2" t="s">
        <v>1316</v>
      </c>
      <c r="C1839" s="60" t="str">
        <f t="shared" si="397"/>
        <v>D.110.01.205</v>
      </c>
      <c r="D1839" s="51" t="s">
        <v>2509</v>
      </c>
      <c r="E1839" s="62" t="s">
        <v>729</v>
      </c>
      <c r="F1839" s="63" t="str">
        <f t="shared" si="398"/>
        <v>Printing per m2  rotogravure print  electricity only</v>
      </c>
      <c r="G1839" s="94">
        <v>0.0018167010346</v>
      </c>
      <c r="H1839" s="10">
        <f t="shared" si="400"/>
        <v>0.001816701035</v>
      </c>
      <c r="I1839" s="95">
        <v>5.75644753E-5</v>
      </c>
      <c r="J1839" s="95">
        <v>1.19253501E-4</v>
      </c>
      <c r="K1839" s="95">
        <v>2.882836583E-4</v>
      </c>
      <c r="L1839" s="95">
        <v>0.0013515994</v>
      </c>
      <c r="N1839" s="66">
        <v>0.009010662666666667</v>
      </c>
      <c r="O1839" s="10">
        <f t="shared" si="399"/>
        <v>0.009010662667</v>
      </c>
      <c r="Q1839" s="67">
        <v>0.17198264</v>
      </c>
      <c r="S1839" s="68">
        <v>1.7162676E-4</v>
      </c>
      <c r="T1839" s="68">
        <v>1.6120279E-4</v>
      </c>
      <c r="U1839" s="68">
        <v>7.2763389E-6</v>
      </c>
      <c r="V1839" s="68">
        <v>3.1476309E-6</v>
      </c>
      <c r="X1839" s="69">
        <v>4.5645948E-7</v>
      </c>
    </row>
    <row r="1840" ht="12.75" customHeight="1">
      <c r="A1840" s="1" t="s">
        <v>2520</v>
      </c>
      <c r="B1840" s="2" t="s">
        <v>1316</v>
      </c>
      <c r="C1840" s="60" t="str">
        <f t="shared" si="397"/>
        <v>D.110.01.301</v>
      </c>
      <c r="D1840" s="51" t="s">
        <v>2509</v>
      </c>
      <c r="E1840" s="62" t="s">
        <v>729</v>
      </c>
      <c r="F1840" s="63" t="str">
        <f t="shared" si="398"/>
        <v>printing plate offset</v>
      </c>
      <c r="G1840" s="64">
        <v>1.38204650085711</v>
      </c>
      <c r="H1840" s="10">
        <f t="shared" si="400"/>
        <v>1.382046501</v>
      </c>
      <c r="I1840" s="65">
        <v>0.053076892254</v>
      </c>
      <c r="J1840" s="65">
        <v>0.131998138112</v>
      </c>
      <c r="K1840" s="65">
        <v>0.43738631049110993</v>
      </c>
      <c r="L1840" s="65">
        <v>0.75958516</v>
      </c>
      <c r="N1840" s="66">
        <v>5.063901066666666</v>
      </c>
      <c r="O1840" s="10">
        <f t="shared" si="399"/>
        <v>5.063901067</v>
      </c>
      <c r="Q1840" s="67">
        <v>51.769827</v>
      </c>
      <c r="S1840" s="68">
        <v>0.11633881</v>
      </c>
      <c r="T1840" s="68">
        <v>0.11059927</v>
      </c>
      <c r="U1840" s="68">
        <v>0.004701661</v>
      </c>
      <c r="V1840" s="68">
        <v>0.0010378742</v>
      </c>
      <c r="X1840" s="69">
        <v>2.4809626E-4</v>
      </c>
    </row>
    <row r="1841" ht="12.75" customHeight="1">
      <c r="A1841" s="1" t="s">
        <v>2521</v>
      </c>
      <c r="B1841" s="2" t="s">
        <v>1316</v>
      </c>
      <c r="C1841" s="60" t="str">
        <f t="shared" si="397"/>
        <v>D.110.01.302</v>
      </c>
      <c r="D1841" s="51" t="s">
        <v>2509</v>
      </c>
      <c r="E1841" s="62" t="s">
        <v>729</v>
      </c>
      <c r="F1841" s="63" t="str">
        <f t="shared" si="398"/>
        <v>printing plate flexo</v>
      </c>
      <c r="G1841" s="64">
        <v>4.93930206972</v>
      </c>
      <c r="H1841" s="10">
        <f t="shared" si="400"/>
        <v>4.93930207</v>
      </c>
      <c r="I1841" s="65">
        <v>0.1605603304</v>
      </c>
      <c r="J1841" s="65">
        <v>3.14074173932</v>
      </c>
      <c r="K1841" s="65">
        <v>0.0</v>
      </c>
      <c r="L1841" s="65">
        <v>1.638</v>
      </c>
      <c r="N1841" s="66">
        <v>10.92</v>
      </c>
      <c r="O1841" s="10">
        <f t="shared" si="399"/>
        <v>10.92</v>
      </c>
      <c r="Q1841" s="67">
        <v>292.8744</v>
      </c>
      <c r="S1841" s="68">
        <v>0.24584322</v>
      </c>
      <c r="T1841" s="68">
        <v>0.21789889</v>
      </c>
      <c r="U1841" s="68">
        <v>0.0092411692</v>
      </c>
      <c r="V1841" s="68">
        <v>0.018703156</v>
      </c>
      <c r="X1841" s="69">
        <v>8.1800888E-4</v>
      </c>
    </row>
    <row r="1842" ht="12.75" customHeight="1">
      <c r="A1842" s="1" t="s">
        <v>2522</v>
      </c>
      <c r="B1842" s="2" t="s">
        <v>1316</v>
      </c>
      <c r="C1842" s="60" t="str">
        <f t="shared" si="397"/>
        <v>D.110.01.303</v>
      </c>
      <c r="D1842" s="51" t="s">
        <v>2509</v>
      </c>
      <c r="E1842" s="62" t="s">
        <v>729</v>
      </c>
      <c r="F1842" s="63" t="str">
        <f t="shared" si="398"/>
        <v>printing plate rotogravure</v>
      </c>
      <c r="G1842" s="64">
        <v>1.9373576108623896</v>
      </c>
      <c r="H1842" s="10">
        <f t="shared" si="400"/>
        <v>1.937357611</v>
      </c>
      <c r="I1842" s="65">
        <v>0.09488008259</v>
      </c>
      <c r="J1842" s="65">
        <v>0.16032416979</v>
      </c>
      <c r="K1842" s="65">
        <v>0.34599315848238965</v>
      </c>
      <c r="L1842" s="65">
        <v>1.3361602</v>
      </c>
      <c r="N1842" s="66">
        <v>8.907734666666666</v>
      </c>
      <c r="O1842" s="10">
        <f t="shared" si="399"/>
        <v>8.907734667</v>
      </c>
      <c r="Q1842" s="67">
        <v>167.04602</v>
      </c>
      <c r="S1842" s="68">
        <v>0.17346417</v>
      </c>
      <c r="T1842" s="68">
        <v>0.16187073</v>
      </c>
      <c r="U1842" s="68">
        <v>0.0073066579</v>
      </c>
      <c r="V1842" s="68">
        <v>0.0042867871</v>
      </c>
      <c r="X1842" s="69">
        <v>4.6250291E-4</v>
      </c>
    </row>
    <row r="1843" ht="12.75" customHeight="1">
      <c r="A1843" s="1" t="s">
        <v>2523</v>
      </c>
      <c r="B1843" s="2" t="s">
        <v>1316</v>
      </c>
      <c r="C1843" s="60" t="str">
        <f t="shared" si="397"/>
        <v>D.110.01.400</v>
      </c>
      <c r="D1843" s="51" t="s">
        <v>2509</v>
      </c>
      <c r="E1843" s="62" t="s">
        <v>45</v>
      </c>
      <c r="F1843" s="63" t="str">
        <f t="shared" si="398"/>
        <v>negligible extra converting (e.g. a bag from paper - etc)</v>
      </c>
      <c r="G1843" s="64">
        <v>1.1445216213E-4</v>
      </c>
      <c r="H1843" s="10">
        <f t="shared" si="400"/>
        <v>0.0001144521621</v>
      </c>
      <c r="I1843" s="65">
        <v>3.62656193E-6</v>
      </c>
      <c r="J1843" s="65">
        <v>7.5129705E-6</v>
      </c>
      <c r="K1843" s="65">
        <v>1.81618707E-5</v>
      </c>
      <c r="L1843" s="65">
        <v>8.5150759E-5</v>
      </c>
      <c r="N1843" s="66">
        <v>5.676717266666667E-4</v>
      </c>
      <c r="O1843" s="10">
        <f t="shared" si="399"/>
        <v>0.0005676717267</v>
      </c>
      <c r="Q1843" s="67">
        <v>0.010834906</v>
      </c>
      <c r="S1843" s="68">
        <v>1.0812486E-5</v>
      </c>
      <c r="T1843" s="68">
        <v>1.0155776E-5</v>
      </c>
      <c r="U1843" s="68">
        <v>4.5840935E-7</v>
      </c>
      <c r="V1843" s="68">
        <v>1.9830075E-7</v>
      </c>
      <c r="X1843" s="69">
        <v>2.8756947E-8</v>
      </c>
    </row>
    <row r="1844" ht="12.75" customHeight="1">
      <c r="B1844" s="2"/>
      <c r="C1844" s="60"/>
      <c r="D1844" s="75" t="s">
        <v>2524</v>
      </c>
      <c r="E1844" s="62"/>
      <c r="G1844" s="10"/>
      <c r="H1844" s="10"/>
      <c r="I1844" s="10"/>
      <c r="J1844" s="10"/>
      <c r="K1844" s="10"/>
      <c r="L1844" s="10"/>
      <c r="N1844" s="10"/>
      <c r="O1844" s="10"/>
      <c r="Q1844" s="67"/>
    </row>
    <row r="1845" ht="12.75" customHeight="1">
      <c r="A1845" s="1" t="s">
        <v>2525</v>
      </c>
      <c r="B1845" s="2" t="s">
        <v>1363</v>
      </c>
      <c r="C1845" s="60" t="str">
        <f t="shared" ref="C1845:C1853" si="401">MID(A1845,1,12)</f>
        <v>D.120.01.101</v>
      </c>
      <c r="D1845" s="51" t="s">
        <v>2524</v>
      </c>
      <c r="E1845" s="62" t="s">
        <v>45</v>
      </c>
      <c r="F1845" s="63" t="str">
        <f t="shared" ref="F1845:F1853" si="402">MID(A1845, 21,85)</f>
        <v>blow moulding - machine only</v>
      </c>
      <c r="G1845" s="64">
        <v>0.03905907115</v>
      </c>
      <c r="H1845" s="10">
        <f t="shared" ref="H1845:H1853" si="403">G1845</f>
        <v>0.03905907115</v>
      </c>
      <c r="I1845" s="65">
        <v>0.00123763618</v>
      </c>
      <c r="J1845" s="65">
        <v>0.0025639503000000003</v>
      </c>
      <c r="K1845" s="65">
        <v>0.00619809867</v>
      </c>
      <c r="L1845" s="65">
        <v>0.029059386</v>
      </c>
      <c r="N1845" s="66">
        <v>0.19372924</v>
      </c>
      <c r="O1845" s="10">
        <f t="shared" ref="O1845:O1853" si="404">N1845</f>
        <v>0.19372924</v>
      </c>
      <c r="Q1845" s="67">
        <v>3.6976268</v>
      </c>
      <c r="S1845" s="68">
        <v>0.0036899754</v>
      </c>
      <c r="T1845" s="68">
        <v>0.0034658601</v>
      </c>
      <c r="U1845" s="68">
        <v>1.5644129E-4</v>
      </c>
      <c r="V1845" s="68">
        <v>6.7674065E-5</v>
      </c>
      <c r="X1845" s="69">
        <v>9.8138789E-6</v>
      </c>
    </row>
    <row r="1846" ht="12.75" customHeight="1">
      <c r="A1846" s="1" t="s">
        <v>2526</v>
      </c>
      <c r="B1846" s="2" t="s">
        <v>1363</v>
      </c>
      <c r="C1846" s="60" t="str">
        <f t="shared" si="401"/>
        <v>D.120.01.102</v>
      </c>
      <c r="D1846" s="51" t="s">
        <v>2524</v>
      </c>
      <c r="E1846" s="62" t="s">
        <v>45</v>
      </c>
      <c r="F1846" s="63" t="str">
        <f t="shared" si="402"/>
        <v>blow moulding - production site</v>
      </c>
      <c r="G1846" s="64">
        <v>0.20256216268</v>
      </c>
      <c r="H1846" s="10">
        <f t="shared" si="403"/>
        <v>0.2025621627</v>
      </c>
      <c r="I1846" s="65">
        <v>0.00641843897</v>
      </c>
      <c r="J1846" s="65">
        <v>0.0132967654</v>
      </c>
      <c r="K1846" s="65">
        <v>0.03214362831</v>
      </c>
      <c r="L1846" s="65">
        <v>0.15070333</v>
      </c>
      <c r="N1846" s="66">
        <v>1.0046888666666667</v>
      </c>
      <c r="O1846" s="10">
        <f t="shared" si="404"/>
        <v>1.004688867</v>
      </c>
      <c r="Q1846" s="67">
        <v>19.176065</v>
      </c>
      <c r="S1846" s="68">
        <v>0.019136384</v>
      </c>
      <c r="T1846" s="68">
        <v>0.017974111</v>
      </c>
      <c r="U1846" s="68">
        <v>8.1131179E-4</v>
      </c>
      <c r="V1846" s="68">
        <v>3.5096085E-4</v>
      </c>
      <c r="X1846" s="69">
        <v>5.0895232E-5</v>
      </c>
    </row>
    <row r="1847" ht="12.75" customHeight="1">
      <c r="A1847" s="1" t="s">
        <v>2527</v>
      </c>
      <c r="B1847" s="2" t="s">
        <v>1363</v>
      </c>
      <c r="C1847" s="60" t="str">
        <f t="shared" si="401"/>
        <v>D.120.01.103</v>
      </c>
      <c r="D1847" s="51" t="s">
        <v>2524</v>
      </c>
      <c r="E1847" s="62" t="s">
        <v>45</v>
      </c>
      <c r="F1847" s="63" t="str">
        <f t="shared" si="402"/>
        <v>extrusion - machine only</v>
      </c>
      <c r="G1847" s="64">
        <v>0.022708762455000003</v>
      </c>
      <c r="H1847" s="10">
        <f t="shared" si="403"/>
        <v>0.02270876246</v>
      </c>
      <c r="I1847" s="65">
        <v>7.19555941E-4</v>
      </c>
      <c r="J1847" s="65">
        <v>0.0014906687600000001</v>
      </c>
      <c r="K1847" s="65">
        <v>0.003603545754</v>
      </c>
      <c r="L1847" s="65">
        <v>0.016894992</v>
      </c>
      <c r="N1847" s="66">
        <v>0.11263328000000002</v>
      </c>
      <c r="O1847" s="10">
        <f t="shared" si="404"/>
        <v>0.11263328</v>
      </c>
      <c r="Q1847" s="67">
        <v>2.149783</v>
      </c>
      <c r="S1847" s="68">
        <v>0.0021453345</v>
      </c>
      <c r="T1847" s="68">
        <v>0.0020150349</v>
      </c>
      <c r="U1847" s="68">
        <v>9.0954236E-5</v>
      </c>
      <c r="V1847" s="68">
        <v>3.9345386E-5</v>
      </c>
      <c r="X1847" s="69">
        <v>5.7057435E-6</v>
      </c>
    </row>
    <row r="1848" ht="12.75" customHeight="1">
      <c r="A1848" s="1" t="s">
        <v>2528</v>
      </c>
      <c r="B1848" s="2" t="s">
        <v>1363</v>
      </c>
      <c r="C1848" s="60" t="str">
        <f t="shared" si="401"/>
        <v>D.120.01.104</v>
      </c>
      <c r="D1848" s="51" t="s">
        <v>2524</v>
      </c>
      <c r="E1848" s="62" t="s">
        <v>45</v>
      </c>
      <c r="F1848" s="63" t="str">
        <f t="shared" si="402"/>
        <v>extrusion - production site</v>
      </c>
      <c r="G1848" s="64">
        <v>0.06176783359</v>
      </c>
      <c r="H1848" s="10">
        <f t="shared" si="403"/>
        <v>0.06176783359</v>
      </c>
      <c r="I1848" s="65">
        <v>0.0019571921699999997</v>
      </c>
      <c r="J1848" s="65">
        <v>0.004054619000000001</v>
      </c>
      <c r="K1848" s="65">
        <v>0.00980164442</v>
      </c>
      <c r="L1848" s="65">
        <v>0.045954378</v>
      </c>
      <c r="N1848" s="66">
        <v>0.30636251999999997</v>
      </c>
      <c r="O1848" s="10">
        <f t="shared" si="404"/>
        <v>0.30636252</v>
      </c>
      <c r="Q1848" s="67">
        <v>5.8474099</v>
      </c>
      <c r="S1848" s="68">
        <v>0.00583531</v>
      </c>
      <c r="T1848" s="68">
        <v>0.005480895</v>
      </c>
      <c r="U1848" s="68">
        <v>2.4739552E-4</v>
      </c>
      <c r="V1848" s="68">
        <v>1.0701945E-4</v>
      </c>
      <c r="X1848" s="69">
        <v>1.5519622E-5</v>
      </c>
    </row>
    <row r="1849" ht="12.75" customHeight="1">
      <c r="A1849" s="1" t="s">
        <v>2529</v>
      </c>
      <c r="B1849" s="2" t="s">
        <v>1363</v>
      </c>
      <c r="C1849" s="60" t="str">
        <f t="shared" si="401"/>
        <v>D.120.01.105</v>
      </c>
      <c r="D1849" s="51" t="s">
        <v>2524</v>
      </c>
      <c r="E1849" s="62" t="s">
        <v>45</v>
      </c>
      <c r="F1849" s="63" t="str">
        <f t="shared" si="402"/>
        <v>injection moulding - machine only</v>
      </c>
      <c r="G1849" s="64">
        <v>0.08447659574000001</v>
      </c>
      <c r="H1849" s="10">
        <f t="shared" si="403"/>
        <v>0.08447659574</v>
      </c>
      <c r="I1849" s="65">
        <v>0.0026767480600000003</v>
      </c>
      <c r="J1849" s="65">
        <v>0.0055452878</v>
      </c>
      <c r="K1849" s="65">
        <v>0.013405189880000001</v>
      </c>
      <c r="L1849" s="65">
        <v>0.06284937</v>
      </c>
      <c r="N1849" s="66">
        <v>0.41899580000000003</v>
      </c>
      <c r="O1849" s="10">
        <f t="shared" si="404"/>
        <v>0.4189958</v>
      </c>
      <c r="Q1849" s="67">
        <v>7.9971929</v>
      </c>
      <c r="S1849" s="68">
        <v>0.0079806445</v>
      </c>
      <c r="T1849" s="68">
        <v>0.0074959299</v>
      </c>
      <c r="U1849" s="68">
        <v>3.3834976E-4</v>
      </c>
      <c r="V1849" s="68">
        <v>1.4636484E-4</v>
      </c>
      <c r="X1849" s="69">
        <v>2.1225366E-5</v>
      </c>
    </row>
    <row r="1850" ht="12.75" customHeight="1">
      <c r="A1850" s="1" t="s">
        <v>2530</v>
      </c>
      <c r="B1850" s="2" t="s">
        <v>1363</v>
      </c>
      <c r="C1850" s="60" t="str">
        <f t="shared" si="401"/>
        <v>D.120.01.106</v>
      </c>
      <c r="D1850" s="51" t="s">
        <v>2524</v>
      </c>
      <c r="E1850" s="62" t="s">
        <v>45</v>
      </c>
      <c r="F1850" s="63" t="str">
        <f t="shared" si="402"/>
        <v>injection moulding - production site</v>
      </c>
      <c r="G1850" s="64">
        <v>0.21527906357</v>
      </c>
      <c r="H1850" s="10">
        <f t="shared" si="403"/>
        <v>0.2152790636</v>
      </c>
      <c r="I1850" s="65">
        <v>0.00682139038</v>
      </c>
      <c r="J1850" s="65">
        <v>0.0141315398</v>
      </c>
      <c r="K1850" s="65">
        <v>0.03416161339</v>
      </c>
      <c r="L1850" s="65">
        <v>0.16016452</v>
      </c>
      <c r="N1850" s="66">
        <v>1.0677634666666667</v>
      </c>
      <c r="O1850" s="10">
        <f t="shared" si="404"/>
        <v>1.067763467</v>
      </c>
      <c r="Q1850" s="67">
        <v>20.379943</v>
      </c>
      <c r="S1850" s="68">
        <v>0.020337771</v>
      </c>
      <c r="T1850" s="68">
        <v>0.019102531</v>
      </c>
      <c r="U1850" s="68">
        <v>8.6224616E-4</v>
      </c>
      <c r="V1850" s="68">
        <v>3.7299426E-4</v>
      </c>
      <c r="X1850" s="69">
        <v>5.4090449E-5</v>
      </c>
    </row>
    <row r="1851" ht="12.75" customHeight="1">
      <c r="A1851" s="1" t="s">
        <v>2531</v>
      </c>
      <c r="B1851" s="2" t="s">
        <v>1363</v>
      </c>
      <c r="C1851" s="60" t="str">
        <f t="shared" si="401"/>
        <v>D.120.01.107</v>
      </c>
      <c r="D1851" s="51" t="s">
        <v>2524</v>
      </c>
      <c r="E1851" s="62" t="s">
        <v>45</v>
      </c>
      <c r="F1851" s="63" t="str">
        <f t="shared" si="402"/>
        <v>Recycling mixed polymer</v>
      </c>
      <c r="G1851" s="64">
        <v>0.07102296318747789</v>
      </c>
      <c r="H1851" s="10">
        <f t="shared" si="403"/>
        <v>0.07102296319</v>
      </c>
      <c r="I1851" s="65">
        <v>0.002554441531</v>
      </c>
      <c r="J1851" s="65">
        <v>0.0044618270873</v>
      </c>
      <c r="K1851" s="65">
        <v>0.006742681569177881</v>
      </c>
      <c r="L1851" s="65">
        <v>0.057264013</v>
      </c>
      <c r="N1851" s="66">
        <v>0.3817600866666667</v>
      </c>
      <c r="O1851" s="10">
        <f t="shared" si="404"/>
        <v>0.3817600867</v>
      </c>
      <c r="Q1851" s="67">
        <v>6.5067772</v>
      </c>
      <c r="S1851" s="68">
        <v>0.0071880137</v>
      </c>
      <c r="T1851" s="68">
        <v>0.0066227439</v>
      </c>
      <c r="U1851" s="68">
        <v>3.0463729E-4</v>
      </c>
      <c r="V1851" s="68">
        <v>2.6063253E-4</v>
      </c>
      <c r="X1851" s="69">
        <v>1.9030526E-5</v>
      </c>
    </row>
    <row r="1852" ht="12.75" customHeight="1">
      <c r="A1852" s="1" t="s">
        <v>2532</v>
      </c>
      <c r="B1852" s="2" t="s">
        <v>1363</v>
      </c>
      <c r="C1852" s="60" t="str">
        <f t="shared" si="401"/>
        <v>D.120.01.108</v>
      </c>
      <c r="D1852" s="51" t="s">
        <v>2524</v>
      </c>
      <c r="E1852" s="62" t="s">
        <v>45</v>
      </c>
      <c r="F1852" s="63" t="str">
        <f t="shared" si="402"/>
        <v>thermo forming - machine only</v>
      </c>
      <c r="G1852" s="64">
        <v>0.03996742195</v>
      </c>
      <c r="H1852" s="10">
        <f t="shared" si="403"/>
        <v>0.03996742195</v>
      </c>
      <c r="I1852" s="65">
        <v>0.00126641845</v>
      </c>
      <c r="J1852" s="65">
        <v>0.002623577</v>
      </c>
      <c r="K1852" s="65">
        <v>0.0063422405</v>
      </c>
      <c r="L1852" s="65">
        <v>0.029735186</v>
      </c>
      <c r="N1852" s="66">
        <v>0.19823457333333333</v>
      </c>
      <c r="O1852" s="10">
        <f t="shared" si="404"/>
        <v>0.1982345733</v>
      </c>
      <c r="Q1852" s="67">
        <v>3.7836181</v>
      </c>
      <c r="S1852" s="68">
        <v>0.0037757888</v>
      </c>
      <c r="T1852" s="68">
        <v>0.0035464615</v>
      </c>
      <c r="U1852" s="68">
        <v>1.6007946E-4</v>
      </c>
      <c r="V1852" s="68">
        <v>6.924788E-5</v>
      </c>
      <c r="X1852" s="69">
        <v>1.0042109E-5</v>
      </c>
    </row>
    <row r="1853" ht="12.75" customHeight="1">
      <c r="A1853" s="1" t="s">
        <v>2533</v>
      </c>
      <c r="B1853" s="2" t="s">
        <v>1363</v>
      </c>
      <c r="C1853" s="60" t="str">
        <f t="shared" si="401"/>
        <v>D.120.01.109</v>
      </c>
      <c r="D1853" s="51" t="s">
        <v>2524</v>
      </c>
      <c r="E1853" s="62" t="s">
        <v>45</v>
      </c>
      <c r="F1853" s="63" t="str">
        <f t="shared" si="402"/>
        <v>thermo forming - production site</v>
      </c>
      <c r="G1853" s="64">
        <v>0.08175154502000001</v>
      </c>
      <c r="H1853" s="10">
        <f t="shared" si="403"/>
        <v>0.08175154502</v>
      </c>
      <c r="I1853" s="65">
        <v>0.00259040145</v>
      </c>
      <c r="J1853" s="65">
        <v>0.0053664075</v>
      </c>
      <c r="K1853" s="65">
        <v>0.01297276507</v>
      </c>
      <c r="L1853" s="65">
        <v>0.060821971</v>
      </c>
      <c r="N1853" s="66">
        <v>0.4054798066666667</v>
      </c>
      <c r="O1853" s="10">
        <f t="shared" si="404"/>
        <v>0.4054798067</v>
      </c>
      <c r="Q1853" s="67">
        <v>7.7392189</v>
      </c>
      <c r="S1853" s="68">
        <v>0.0077232044</v>
      </c>
      <c r="T1853" s="68">
        <v>0.0072541257</v>
      </c>
      <c r="U1853" s="68">
        <v>3.2743525E-4</v>
      </c>
      <c r="V1853" s="68">
        <v>1.4164339E-4</v>
      </c>
      <c r="X1853" s="69">
        <v>2.0540677E-5</v>
      </c>
    </row>
    <row r="1854" ht="12.75" customHeight="1">
      <c r="B1854" s="2"/>
      <c r="C1854" s="60"/>
      <c r="D1854" s="75" t="s">
        <v>2534</v>
      </c>
      <c r="E1854" s="62"/>
      <c r="G1854" s="10"/>
      <c r="H1854" s="10"/>
      <c r="I1854" s="10"/>
      <c r="J1854" s="10"/>
      <c r="K1854" s="10"/>
      <c r="L1854" s="10"/>
      <c r="N1854" s="10"/>
      <c r="O1854" s="10"/>
      <c r="Q1854" s="67"/>
    </row>
    <row r="1855" ht="12.75" customHeight="1">
      <c r="A1855" s="1" t="s">
        <v>2535</v>
      </c>
      <c r="B1855" s="2" t="s">
        <v>1645</v>
      </c>
      <c r="C1855" s="60" t="str">
        <f t="shared" ref="C1855:C1858" si="405">MID(A1855,1,12)</f>
        <v>D.140.01.101</v>
      </c>
      <c r="D1855" s="51" t="s">
        <v>2534</v>
      </c>
      <c r="E1855" s="62" t="s">
        <v>2536</v>
      </c>
      <c r="F1855" s="63" t="str">
        <f t="shared" ref="F1855:F1858" si="406">MID(A1855, 21,85)</f>
        <v>Chain sawing</v>
      </c>
      <c r="G1855" s="64">
        <v>1.90504069009E-4</v>
      </c>
      <c r="H1855" s="10">
        <f t="shared" ref="H1855:H1858" si="407">G1855</f>
        <v>0.000190504069</v>
      </c>
      <c r="I1855" s="65">
        <v>6.985765450999999E-6</v>
      </c>
      <c r="J1855" s="65">
        <v>1.4858574306999998E-5</v>
      </c>
      <c r="K1855" s="65">
        <v>5.7565899251E-5</v>
      </c>
      <c r="L1855" s="65">
        <v>1.1109383E-4</v>
      </c>
      <c r="N1855" s="66">
        <v>7.406255333333334E-4</v>
      </c>
      <c r="O1855" s="10">
        <f t="shared" ref="O1855:O1858" si="408">N1855</f>
        <v>0.0007406255333</v>
      </c>
      <c r="Q1855" s="67">
        <v>0.011316366</v>
      </c>
      <c r="S1855" s="68">
        <v>1.5629017E-5</v>
      </c>
      <c r="T1855" s="68">
        <v>1.4208996E-5</v>
      </c>
      <c r="U1855" s="68">
        <v>6.3495808E-7</v>
      </c>
      <c r="V1855" s="68">
        <v>7.8506299E-7</v>
      </c>
      <c r="X1855" s="69">
        <v>3.9218056E-8</v>
      </c>
    </row>
    <row r="1856" ht="12.75" customHeight="1">
      <c r="A1856" s="1" t="s">
        <v>2537</v>
      </c>
      <c r="B1856" s="2" t="s">
        <v>1645</v>
      </c>
      <c r="C1856" s="60" t="str">
        <f t="shared" si="405"/>
        <v>D.140.01.102</v>
      </c>
      <c r="D1856" s="51" t="s">
        <v>2534</v>
      </c>
      <c r="E1856" s="62" t="s">
        <v>2536</v>
      </c>
      <c r="F1856" s="63" t="str">
        <f t="shared" si="406"/>
        <v>Power sawing (petrol)</v>
      </c>
      <c r="G1856" s="64">
        <v>5.85234912853E-4</v>
      </c>
      <c r="H1856" s="10">
        <f t="shared" si="407"/>
        <v>0.0005852349129</v>
      </c>
      <c r="I1856" s="65">
        <v>1.061802401E-5</v>
      </c>
      <c r="J1856" s="65">
        <v>2.8969740893E-5</v>
      </c>
      <c r="K1856" s="65">
        <v>1.9059290795000002E-4</v>
      </c>
      <c r="L1856" s="65">
        <v>3.5505424E-4</v>
      </c>
      <c r="N1856" s="66">
        <v>0.002367028266666667</v>
      </c>
      <c r="O1856" s="10">
        <f t="shared" si="408"/>
        <v>0.002367028267</v>
      </c>
      <c r="Q1856" s="67">
        <v>0.034526526</v>
      </c>
      <c r="S1856" s="68">
        <v>4.6417733E-5</v>
      </c>
      <c r="T1856" s="68">
        <v>4.2114194E-5</v>
      </c>
      <c r="U1856" s="68">
        <v>1.907157E-6</v>
      </c>
      <c r="V1856" s="68">
        <v>2.3963816E-6</v>
      </c>
      <c r="X1856" s="69">
        <v>1.1535595E-7</v>
      </c>
    </row>
    <row r="1857" ht="12.75" customHeight="1">
      <c r="A1857" s="1" t="s">
        <v>2538</v>
      </c>
      <c r="B1857" s="2" t="s">
        <v>1645</v>
      </c>
      <c r="C1857" s="60" t="str">
        <f t="shared" si="405"/>
        <v>D.140.01.103</v>
      </c>
      <c r="D1857" s="51" t="s">
        <v>2534</v>
      </c>
      <c r="E1857" s="62" t="s">
        <v>45</v>
      </c>
      <c r="F1857" s="63" t="str">
        <f t="shared" si="406"/>
        <v>Shaving hardwood per kg dry mass removed</v>
      </c>
      <c r="G1857" s="64">
        <v>0.15139174967000002</v>
      </c>
      <c r="H1857" s="10">
        <f t="shared" si="407"/>
        <v>0.1513917497</v>
      </c>
      <c r="I1857" s="65">
        <v>0.00479703961</v>
      </c>
      <c r="J1857" s="65">
        <v>0.0099377917</v>
      </c>
      <c r="K1857" s="65">
        <v>0.024023638360000002</v>
      </c>
      <c r="L1857" s="65">
        <v>0.11263328</v>
      </c>
      <c r="N1857" s="66">
        <v>0.7508885333333334</v>
      </c>
      <c r="O1857" s="10">
        <f t="shared" si="408"/>
        <v>0.7508885333</v>
      </c>
      <c r="Q1857" s="67">
        <v>14.331887</v>
      </c>
      <c r="S1857" s="68">
        <v>0.01430223</v>
      </c>
      <c r="T1857" s="68">
        <v>0.013433566</v>
      </c>
      <c r="U1857" s="68">
        <v>6.0636158E-4</v>
      </c>
      <c r="V1857" s="68">
        <v>2.6230258E-4</v>
      </c>
      <c r="X1857" s="69">
        <v>3.803829E-5</v>
      </c>
    </row>
    <row r="1858" ht="12.75" customHeight="1">
      <c r="A1858" s="1" t="s">
        <v>2539</v>
      </c>
      <c r="B1858" s="2" t="s">
        <v>1645</v>
      </c>
      <c r="C1858" s="60" t="str">
        <f t="shared" si="405"/>
        <v>D.140.01.104</v>
      </c>
      <c r="D1858" s="51" t="s">
        <v>2534</v>
      </c>
      <c r="E1858" s="62" t="s">
        <v>45</v>
      </c>
      <c r="F1858" s="63" t="str">
        <f t="shared" si="406"/>
        <v>Shaving softwood per kg dry mass removed</v>
      </c>
      <c r="G1858" s="64">
        <v>0.11354381232</v>
      </c>
      <c r="H1858" s="10">
        <f t="shared" si="407"/>
        <v>0.1135438123</v>
      </c>
      <c r="I1858" s="65">
        <v>0.0035977797499999998</v>
      </c>
      <c r="J1858" s="65">
        <v>0.0074533438</v>
      </c>
      <c r="K1858" s="65">
        <v>0.01801772877</v>
      </c>
      <c r="L1858" s="65">
        <v>0.08447496</v>
      </c>
      <c r="N1858" s="66">
        <v>0.5631664000000001</v>
      </c>
      <c r="O1858" s="10">
        <f t="shared" si="408"/>
        <v>0.5631664</v>
      </c>
      <c r="Q1858" s="67">
        <v>10.748915</v>
      </c>
      <c r="S1858" s="68">
        <v>0.010726673</v>
      </c>
      <c r="T1858" s="68">
        <v>0.010075175</v>
      </c>
      <c r="U1858" s="68">
        <v>4.5477118E-4</v>
      </c>
      <c r="V1858" s="68">
        <v>1.9672693E-4</v>
      </c>
      <c r="X1858" s="69">
        <v>2.8528718E-5</v>
      </c>
    </row>
    <row r="1859" ht="12.75" customHeight="1">
      <c r="B1859" s="2"/>
      <c r="C1859" s="60"/>
      <c r="D1859" s="75" t="s">
        <v>2540</v>
      </c>
      <c r="E1859" s="62"/>
      <c r="G1859" s="10"/>
      <c r="H1859" s="10"/>
      <c r="I1859" s="10"/>
      <c r="J1859" s="10"/>
      <c r="K1859" s="10"/>
      <c r="L1859" s="10"/>
      <c r="N1859" s="10"/>
      <c r="O1859" s="10"/>
      <c r="Q1859" s="67"/>
    </row>
    <row r="1860" ht="12.75" customHeight="1">
      <c r="B1860" s="2"/>
      <c r="C1860" s="60"/>
      <c r="D1860" s="75" t="s">
        <v>2541</v>
      </c>
      <c r="E1860" s="62"/>
      <c r="G1860" s="10"/>
      <c r="H1860" s="10"/>
      <c r="I1860" s="10"/>
      <c r="J1860" s="10"/>
      <c r="K1860" s="10"/>
      <c r="L1860" s="10"/>
      <c r="N1860" s="10"/>
      <c r="O1860" s="10"/>
      <c r="Q1860" s="67"/>
    </row>
    <row r="1861" ht="12.75" customHeight="1">
      <c r="A1861" s="1" t="s">
        <v>2542</v>
      </c>
      <c r="B1861" s="2" t="s">
        <v>2543</v>
      </c>
      <c r="C1861" s="60" t="str">
        <f t="shared" ref="C1861:C1868" si="409">MID(A1861,1,12)</f>
        <v>F.010.01.101</v>
      </c>
      <c r="D1861" s="51" t="s">
        <v>2541</v>
      </c>
      <c r="E1861" s="62" t="s">
        <v>45</v>
      </c>
      <c r="F1861" s="63" t="str">
        <f t="shared" ref="F1861:F1868" si="410">MID(A1861, 21,85)</f>
        <v>BR and IIR (Butyl rubber) co-firing in electrical power plant</v>
      </c>
      <c r="G1861" s="64">
        <v>-0.062850728994</v>
      </c>
      <c r="H1861" s="10">
        <f t="shared" ref="H1861:H1933" si="411">G1861</f>
        <v>-0.06285072899</v>
      </c>
      <c r="I1861" s="65">
        <v>-0.00808974644</v>
      </c>
      <c r="J1861" s="65">
        <v>-0.015676822894</v>
      </c>
      <c r="K1861" s="65">
        <v>-0.005418015660000001</v>
      </c>
      <c r="L1861" s="65">
        <v>-0.033666144</v>
      </c>
      <c r="N1861" s="66">
        <v>-0.22444096000000002</v>
      </c>
      <c r="O1861" s="10">
        <f t="shared" ref="O1861:O1933" si="412">N1861</f>
        <v>-0.22444096</v>
      </c>
      <c r="Q1861" s="67">
        <v>-54.443555</v>
      </c>
      <c r="S1861" s="68">
        <v>-0.0088348673</v>
      </c>
      <c r="T1861" s="68">
        <v>-0.0048811961</v>
      </c>
      <c r="U1861" s="68">
        <v>-1.2645483E-4</v>
      </c>
      <c r="V1861" s="68">
        <v>-0.0038272164</v>
      </c>
      <c r="X1861" s="69">
        <v>-7.3231504E-5</v>
      </c>
    </row>
    <row r="1862" ht="12.75" customHeight="1">
      <c r="A1862" s="1" t="s">
        <v>2544</v>
      </c>
      <c r="B1862" s="2" t="s">
        <v>2543</v>
      </c>
      <c r="C1862" s="60" t="str">
        <f t="shared" si="409"/>
        <v>F.010.01.102</v>
      </c>
      <c r="D1862" s="51" t="s">
        <v>2541</v>
      </c>
      <c r="E1862" s="62" t="s">
        <v>45</v>
      </c>
      <c r="F1862" s="63" t="str">
        <f t="shared" si="410"/>
        <v>EVA (Ethylene vinyl acetate) co-firing in electrical power plant</v>
      </c>
      <c r="G1862" s="64">
        <v>-0.053727423906</v>
      </c>
      <c r="H1862" s="10">
        <f t="shared" si="411"/>
        <v>-0.05372742391</v>
      </c>
      <c r="I1862" s="65">
        <v>-0.0022889556100000002</v>
      </c>
      <c r="J1862" s="65">
        <v>-0.006991100696000001</v>
      </c>
      <c r="K1862" s="65">
        <v>-0.0038202416</v>
      </c>
      <c r="L1862" s="65">
        <v>-0.040627126</v>
      </c>
      <c r="N1862" s="66">
        <v>-0.2708475066666667</v>
      </c>
      <c r="O1862" s="10">
        <f t="shared" si="412"/>
        <v>-0.2708475067</v>
      </c>
      <c r="Q1862" s="67">
        <v>-38.388138</v>
      </c>
      <c r="S1862" s="68">
        <v>-0.0073740098</v>
      </c>
      <c r="T1862" s="68">
        <v>-0.0045320052</v>
      </c>
      <c r="U1862" s="68">
        <v>-1.4343515E-4</v>
      </c>
      <c r="V1862" s="68">
        <v>-0.0026985694</v>
      </c>
      <c r="X1862" s="69">
        <v>-5.2699327E-5</v>
      </c>
    </row>
    <row r="1863" ht="12.75" customHeight="1">
      <c r="A1863" s="1" t="s">
        <v>2545</v>
      </c>
      <c r="B1863" s="2" t="s">
        <v>2543</v>
      </c>
      <c r="C1863" s="60" t="str">
        <f t="shared" si="409"/>
        <v>F.010.01.103</v>
      </c>
      <c r="D1863" s="51" t="s">
        <v>2541</v>
      </c>
      <c r="E1863" s="62" t="s">
        <v>45</v>
      </c>
      <c r="F1863" s="63" t="str">
        <f t="shared" si="410"/>
        <v>IR (Polyisoprene rubber) co-firing in electrical power plant</v>
      </c>
      <c r="G1863" s="64">
        <v>-0.083940974418</v>
      </c>
      <c r="H1863" s="10">
        <f t="shared" si="411"/>
        <v>-0.08394097442</v>
      </c>
      <c r="I1863" s="65">
        <v>-0.00789359669</v>
      </c>
      <c r="J1863" s="65">
        <v>-0.015336107778000001</v>
      </c>
      <c r="K1863" s="65">
        <v>-0.00532190895</v>
      </c>
      <c r="L1863" s="65">
        <v>-0.055389361</v>
      </c>
      <c r="N1863" s="66">
        <v>-0.36926240666666665</v>
      </c>
      <c r="O1863" s="10">
        <f t="shared" si="412"/>
        <v>-0.3692624067</v>
      </c>
      <c r="Q1863" s="67">
        <v>-53.477815</v>
      </c>
      <c r="S1863" s="68">
        <v>-0.0110836</v>
      </c>
      <c r="T1863" s="68">
        <v>-0.0070878732</v>
      </c>
      <c r="U1863" s="68">
        <v>-2.363987E-4</v>
      </c>
      <c r="V1863" s="68">
        <v>-0.0037593278</v>
      </c>
      <c r="X1863" s="69">
        <v>-7.6049511E-5</v>
      </c>
    </row>
    <row r="1864" ht="12.75" customHeight="1">
      <c r="A1864" s="1" t="s">
        <v>2546</v>
      </c>
      <c r="B1864" s="2" t="s">
        <v>2543</v>
      </c>
      <c r="C1864" s="60" t="str">
        <f t="shared" si="409"/>
        <v>F.010.01.104</v>
      </c>
      <c r="D1864" s="51" t="s">
        <v>2541</v>
      </c>
      <c r="E1864" s="62" t="s">
        <v>45</v>
      </c>
      <c r="F1864" s="63" t="str">
        <f t="shared" si="410"/>
        <v>Natural rubber co-firing in electrical power plant</v>
      </c>
      <c r="G1864" s="64">
        <v>-0.532999010198</v>
      </c>
      <c r="H1864" s="10">
        <f t="shared" si="411"/>
        <v>-0.5329990102</v>
      </c>
      <c r="I1864" s="65">
        <v>-0.00640539095</v>
      </c>
      <c r="J1864" s="65">
        <v>-0.013203350467999999</v>
      </c>
      <c r="K1864" s="65">
        <v>-0.00499754878</v>
      </c>
      <c r="L1864" s="65">
        <v>-0.50839272</v>
      </c>
      <c r="N1864" s="66">
        <v>-3.3892848000000004</v>
      </c>
      <c r="O1864" s="10">
        <f t="shared" si="412"/>
        <v>-3.3892848</v>
      </c>
      <c r="Q1864" s="67">
        <v>-50.218445</v>
      </c>
      <c r="S1864" s="68">
        <v>-0.059605536</v>
      </c>
      <c r="T1864" s="68">
        <v>-0.053558855</v>
      </c>
      <c r="U1864" s="68">
        <v>-0.0025164773</v>
      </c>
      <c r="V1864" s="68">
        <v>-0.003530204</v>
      </c>
      <c r="X1864" s="69">
        <v>-1.5563611E-4</v>
      </c>
    </row>
    <row r="1865" ht="12.75" customHeight="1">
      <c r="A1865" s="1" t="s">
        <v>2547</v>
      </c>
      <c r="B1865" s="2" t="s">
        <v>2543</v>
      </c>
      <c r="C1865" s="60" t="str">
        <f t="shared" si="409"/>
        <v>F.010.01.105</v>
      </c>
      <c r="D1865" s="51" t="s">
        <v>2541</v>
      </c>
      <c r="E1865" s="62" t="s">
        <v>45</v>
      </c>
      <c r="F1865" s="63" t="str">
        <f t="shared" si="410"/>
        <v>Polychloroprene (Neoprene, CR) co-firing in electrical power plant</v>
      </c>
      <c r="G1865" s="64">
        <v>0.49694871344779995</v>
      </c>
      <c r="H1865" s="10">
        <f t="shared" si="411"/>
        <v>0.4969487134</v>
      </c>
      <c r="I1865" s="65">
        <v>0.05360198974</v>
      </c>
      <c r="J1865" s="65">
        <v>0.4484380834978</v>
      </c>
      <c r="K1865" s="65">
        <v>-0.00295528129</v>
      </c>
      <c r="L1865" s="65">
        <v>-0.0021360785</v>
      </c>
      <c r="N1865" s="66">
        <v>-0.014240523333333335</v>
      </c>
      <c r="O1865" s="10">
        <f t="shared" si="412"/>
        <v>-0.01424052333</v>
      </c>
      <c r="Q1865" s="67">
        <v>-29.696484</v>
      </c>
      <c r="S1865" s="68">
        <v>-0.003582605</v>
      </c>
      <c r="T1865" s="68">
        <v>-0.0014843981</v>
      </c>
      <c r="U1865" s="68">
        <v>-1.0634351E-5</v>
      </c>
      <c r="V1865" s="68">
        <v>-0.0020875726</v>
      </c>
      <c r="X1865" s="69">
        <v>5.5492936E-5</v>
      </c>
    </row>
    <row r="1866" ht="12.75" customHeight="1">
      <c r="A1866" s="1" t="s">
        <v>2548</v>
      </c>
      <c r="B1866" s="2" t="s">
        <v>2543</v>
      </c>
      <c r="C1866" s="60" t="str">
        <f t="shared" si="409"/>
        <v>F.010.01.106</v>
      </c>
      <c r="D1866" s="51" t="s">
        <v>2541</v>
      </c>
      <c r="E1866" s="62" t="s">
        <v>45</v>
      </c>
      <c r="F1866" s="63" t="str">
        <f t="shared" si="410"/>
        <v>PU (Polyurethane) co-firing in electrical power plant</v>
      </c>
      <c r="G1866" s="64">
        <v>-0.004737216364000003</v>
      </c>
      <c r="H1866" s="10">
        <f t="shared" si="411"/>
        <v>-0.004737216364</v>
      </c>
      <c r="I1866" s="65">
        <v>-0.00640151817</v>
      </c>
      <c r="J1866" s="65">
        <v>-0.011856553254</v>
      </c>
      <c r="K1866" s="65">
        <v>-0.00379621494</v>
      </c>
      <c r="L1866" s="65">
        <v>0.01731707</v>
      </c>
      <c r="N1866" s="66">
        <v>0.11544713333333334</v>
      </c>
      <c r="O1866" s="10">
        <f t="shared" si="412"/>
        <v>0.1154471333</v>
      </c>
      <c r="Q1866" s="67">
        <v>-38.146704</v>
      </c>
      <c r="S1866" s="68">
        <v>-0.0019093711</v>
      </c>
      <c r="T1866" s="68">
        <v>6.6100425E-4</v>
      </c>
      <c r="U1866" s="68">
        <v>1.112219E-4</v>
      </c>
      <c r="V1866" s="68">
        <v>-0.0026815973</v>
      </c>
      <c r="X1866" s="69">
        <v>-4.4152712E-5</v>
      </c>
    </row>
    <row r="1867" ht="12.75" customHeight="1">
      <c r="A1867" s="1" t="s">
        <v>2549</v>
      </c>
      <c r="B1867" s="2" t="s">
        <v>2543</v>
      </c>
      <c r="C1867" s="60" t="str">
        <f t="shared" si="409"/>
        <v>F.010.01.107</v>
      </c>
      <c r="D1867" s="51" t="s">
        <v>2541</v>
      </c>
      <c r="E1867" s="62" t="s">
        <v>45</v>
      </c>
      <c r="F1867" s="63" t="str">
        <f t="shared" si="410"/>
        <v>SBR (Styrene butadiene rubber) co-firing in electrical power plant</v>
      </c>
      <c r="G1867" s="64">
        <v>0.0014556572410000003</v>
      </c>
      <c r="H1867" s="10">
        <f t="shared" si="411"/>
        <v>0.001455657241</v>
      </c>
      <c r="I1867" s="65">
        <v>-0.00549916621</v>
      </c>
      <c r="J1867" s="65">
        <v>-0.011964243779</v>
      </c>
      <c r="K1867" s="65">
        <v>-0.0048533887700000005</v>
      </c>
      <c r="L1867" s="65">
        <v>0.023772456</v>
      </c>
      <c r="N1867" s="66">
        <v>0.15848304000000002</v>
      </c>
      <c r="O1867" s="10">
        <f t="shared" si="412"/>
        <v>0.15848304</v>
      </c>
      <c r="Q1867" s="67">
        <v>-48.769836</v>
      </c>
      <c r="S1867" s="68">
        <v>-0.0017269199</v>
      </c>
      <c r="T1867" s="68">
        <v>0.0015266584</v>
      </c>
      <c r="U1867" s="68">
        <v>1.7479288E-4</v>
      </c>
      <c r="V1867" s="68">
        <v>-0.0034283712</v>
      </c>
      <c r="X1867" s="69">
        <v>-5.4512971E-5</v>
      </c>
    </row>
    <row r="1868" ht="12.75" customHeight="1">
      <c r="A1868" s="1" t="s">
        <v>2550</v>
      </c>
      <c r="B1868" s="2" t="s">
        <v>2543</v>
      </c>
      <c r="C1868" s="60" t="str">
        <f t="shared" si="409"/>
        <v>F.010.01.108</v>
      </c>
      <c r="D1868" s="51" t="s">
        <v>2541</v>
      </c>
      <c r="E1868" s="62" t="s">
        <v>45</v>
      </c>
      <c r="F1868" s="63" t="str">
        <f t="shared" si="410"/>
        <v>Silicone rubber co-firing in electrical power plant</v>
      </c>
      <c r="G1868" s="64">
        <v>0.018639205968899997</v>
      </c>
      <c r="H1868" s="10">
        <f t="shared" si="411"/>
        <v>0.01863920597</v>
      </c>
      <c r="I1868" s="65">
        <v>-0.0061034205499999996</v>
      </c>
      <c r="J1868" s="65">
        <v>-0.009998684391100002</v>
      </c>
      <c r="K1868" s="65">
        <v>-0.00245072109</v>
      </c>
      <c r="L1868" s="65">
        <v>0.037192032</v>
      </c>
      <c r="N1868" s="66">
        <v>0.24794688</v>
      </c>
      <c r="O1868" s="10">
        <f t="shared" si="412"/>
        <v>0.24794688</v>
      </c>
      <c r="Q1868" s="67">
        <v>-24.626353</v>
      </c>
      <c r="S1868" s="68">
        <v>0.0011885452</v>
      </c>
      <c r="T1868" s="68">
        <v>0.0027344765</v>
      </c>
      <c r="U1868" s="68">
        <v>1.8522646E-4</v>
      </c>
      <c r="V1868" s="68">
        <v>-0.0017311577</v>
      </c>
      <c r="X1868" s="69">
        <v>-2.4866098E-5</v>
      </c>
    </row>
    <row r="1869" ht="12.75" customHeight="1">
      <c r="B1869" s="2"/>
      <c r="C1869" s="60"/>
      <c r="D1869" s="75" t="s">
        <v>2551</v>
      </c>
      <c r="E1869" s="62"/>
      <c r="G1869" s="10"/>
      <c r="H1869" s="10" t="str">
        <f t="shared" si="411"/>
        <v/>
      </c>
      <c r="I1869" s="10"/>
      <c r="J1869" s="10"/>
      <c r="K1869" s="10"/>
      <c r="L1869" s="10"/>
      <c r="N1869" s="10"/>
      <c r="O1869" s="10" t="str">
        <f t="shared" si="412"/>
        <v/>
      </c>
      <c r="Q1869" s="67"/>
    </row>
    <row r="1870" ht="12.75" customHeight="1">
      <c r="A1870" s="1" t="s">
        <v>2552</v>
      </c>
      <c r="B1870" s="2" t="s">
        <v>2543</v>
      </c>
      <c r="C1870" s="60" t="str">
        <f t="shared" ref="C1870:C1882" si="413">MID(A1870,1,12)</f>
        <v>F.020.01.101</v>
      </c>
      <c r="D1870" s="51" t="s">
        <v>2551</v>
      </c>
      <c r="E1870" s="62" t="s">
        <v>45</v>
      </c>
      <c r="F1870" s="63" t="str">
        <f t="shared" ref="F1870:F1882" si="414">MID(A1870, 21,85)</f>
        <v>CFRP (50%) co-firing in electrical power plant</v>
      </c>
      <c r="G1870" s="64">
        <v>-0.006853896671500001</v>
      </c>
      <c r="H1870" s="10">
        <f t="shared" si="411"/>
        <v>-0.006853896672</v>
      </c>
      <c r="I1870" s="65">
        <v>-0.0028582714600000002</v>
      </c>
      <c r="J1870" s="65">
        <v>-0.0056013853815</v>
      </c>
      <c r="K1870" s="65">
        <v>-0.00197018753</v>
      </c>
      <c r="L1870" s="65">
        <v>0.0035759477</v>
      </c>
      <c r="N1870" s="66">
        <v>0.023839651333333337</v>
      </c>
      <c r="O1870" s="10">
        <f t="shared" si="412"/>
        <v>0.02383965133</v>
      </c>
      <c r="Q1870" s="67">
        <v>-19.797656</v>
      </c>
      <c r="S1870" s="68">
        <v>-0.0014837961</v>
      </c>
      <c r="T1870" s="68">
        <v>-1.2669842E-4</v>
      </c>
      <c r="U1870" s="68">
        <v>3.4617348E-5</v>
      </c>
      <c r="V1870" s="68">
        <v>-0.001391715</v>
      </c>
      <c r="X1870" s="69">
        <v>-2.3638564E-5</v>
      </c>
    </row>
    <row r="1871" ht="12.75" customHeight="1">
      <c r="A1871" s="1" t="s">
        <v>2553</v>
      </c>
      <c r="B1871" s="2" t="s">
        <v>2543</v>
      </c>
      <c r="C1871" s="60" t="str">
        <f t="shared" si="413"/>
        <v>F.020.01.102</v>
      </c>
      <c r="D1871" s="51" t="s">
        <v>2551</v>
      </c>
      <c r="E1871" s="62" t="s">
        <v>45</v>
      </c>
      <c r="F1871" s="63" t="str">
        <f t="shared" si="414"/>
        <v>DMC (50%) co-firing in electrical power plant</v>
      </c>
      <c r="G1871" s="64">
        <v>0.006828312515899999</v>
      </c>
      <c r="H1871" s="10">
        <f t="shared" si="411"/>
        <v>0.006828312516</v>
      </c>
      <c r="I1871" s="65">
        <v>-0.00230708416</v>
      </c>
      <c r="J1871" s="65">
        <v>-0.0048114751541</v>
      </c>
      <c r="K1871" s="65">
        <v>-0.00185005417</v>
      </c>
      <c r="L1871" s="65">
        <v>0.015796926</v>
      </c>
      <c r="N1871" s="66">
        <v>0.10531284</v>
      </c>
      <c r="O1871" s="10">
        <f t="shared" si="412"/>
        <v>0.10531284</v>
      </c>
      <c r="Q1871" s="67">
        <v>-18.590482</v>
      </c>
      <c r="S1871" s="68">
        <v>2.853311E-5</v>
      </c>
      <c r="T1871" s="68">
        <v>0.0012366749</v>
      </c>
      <c r="U1871" s="68">
        <v>9.8712606E-5</v>
      </c>
      <c r="V1871" s="68">
        <v>-0.0013068544</v>
      </c>
      <c r="X1871" s="69">
        <v>-1.9655897E-5</v>
      </c>
    </row>
    <row r="1872" ht="12.75" customHeight="1">
      <c r="A1872" s="1" t="s">
        <v>2554</v>
      </c>
      <c r="B1872" s="2" t="s">
        <v>2543</v>
      </c>
      <c r="C1872" s="60" t="str">
        <f t="shared" si="413"/>
        <v>F.020.01.103</v>
      </c>
      <c r="D1872" s="51" t="s">
        <v>2551</v>
      </c>
      <c r="E1872" s="62" t="s">
        <v>45</v>
      </c>
      <c r="F1872" s="63" t="str">
        <f t="shared" si="414"/>
        <v>Flexible Polymer Foam co-firing in electrical power plant</v>
      </c>
      <c r="G1872" s="64">
        <v>0.023840165164400004</v>
      </c>
      <c r="H1872" s="10">
        <f t="shared" si="411"/>
        <v>0.02384016516</v>
      </c>
      <c r="I1872" s="65">
        <v>-0.0075939499700000005</v>
      </c>
      <c r="J1872" s="65">
        <v>-0.012939520335599999</v>
      </c>
      <c r="K1872" s="65">
        <v>-0.0034958815299999998</v>
      </c>
      <c r="L1872" s="65">
        <v>0.047869517</v>
      </c>
      <c r="N1872" s="66">
        <v>0.31913011333333335</v>
      </c>
      <c r="O1872" s="10">
        <f t="shared" si="412"/>
        <v>0.3191301133</v>
      </c>
      <c r="Q1872" s="67">
        <v>-35.128768</v>
      </c>
      <c r="S1872" s="68">
        <v>0.0013569738</v>
      </c>
      <c r="T1872" s="68">
        <v>0.0035782749</v>
      </c>
      <c r="U1872" s="68">
        <v>2.4814453E-4</v>
      </c>
      <c r="V1872" s="68">
        <v>-0.0024694456</v>
      </c>
      <c r="X1872" s="69">
        <v>-3.5758263E-5</v>
      </c>
    </row>
    <row r="1873" ht="12.75" customHeight="1">
      <c r="A1873" s="1" t="s">
        <v>2555</v>
      </c>
      <c r="B1873" s="2" t="s">
        <v>2543</v>
      </c>
      <c r="C1873" s="60" t="str">
        <f t="shared" si="413"/>
        <v>F.020.01.104</v>
      </c>
      <c r="D1873" s="51" t="s">
        <v>2551</v>
      </c>
      <c r="E1873" s="62" t="s">
        <v>45</v>
      </c>
      <c r="F1873" s="63" t="str">
        <f t="shared" si="414"/>
        <v>GFRP (50%) co-firing in electrical power plant</v>
      </c>
      <c r="G1873" s="64">
        <v>0.006828312515899999</v>
      </c>
      <c r="H1873" s="10">
        <f t="shared" si="411"/>
        <v>0.006828312516</v>
      </c>
      <c r="I1873" s="65">
        <v>-0.00230708416</v>
      </c>
      <c r="J1873" s="65">
        <v>-0.0048114751541</v>
      </c>
      <c r="K1873" s="65">
        <v>-0.00185005417</v>
      </c>
      <c r="L1873" s="65">
        <v>0.015796926</v>
      </c>
      <c r="N1873" s="66">
        <v>0.10531284</v>
      </c>
      <c r="O1873" s="10">
        <f t="shared" si="412"/>
        <v>0.10531284</v>
      </c>
      <c r="Q1873" s="67">
        <v>-18.590482</v>
      </c>
      <c r="S1873" s="68">
        <v>2.853311E-5</v>
      </c>
      <c r="T1873" s="68">
        <v>0.0012366749</v>
      </c>
      <c r="U1873" s="68">
        <v>9.8712606E-5</v>
      </c>
      <c r="V1873" s="68">
        <v>-0.0013068544</v>
      </c>
      <c r="X1873" s="69">
        <v>-1.9655897E-5</v>
      </c>
    </row>
    <row r="1874" ht="12.75" customHeight="1">
      <c r="A1874" s="1" t="s">
        <v>2556</v>
      </c>
      <c r="B1874" s="2" t="s">
        <v>2543</v>
      </c>
      <c r="C1874" s="60" t="str">
        <f t="shared" si="413"/>
        <v>F.020.01.105</v>
      </c>
      <c r="D1874" s="51" t="s">
        <v>2551</v>
      </c>
      <c r="E1874" s="62" t="s">
        <v>45</v>
      </c>
      <c r="F1874" s="63" t="str">
        <f t="shared" si="414"/>
        <v>Hardwood 0% MC  Bamboo &amp; Cork  co-firing in electrical power plant</v>
      </c>
      <c r="G1874" s="64">
        <v>-0.2265248992119</v>
      </c>
      <c r="H1874" s="10">
        <f t="shared" si="411"/>
        <v>-0.2265248992</v>
      </c>
      <c r="I1874" s="65">
        <v>-0.00203873363</v>
      </c>
      <c r="J1874" s="65">
        <v>-0.0048143713819</v>
      </c>
      <c r="K1874" s="65">
        <v>-0.0021383742</v>
      </c>
      <c r="L1874" s="65">
        <v>-0.21753342</v>
      </c>
      <c r="N1874" s="66">
        <v>-1.4502228000000001</v>
      </c>
      <c r="O1874" s="10">
        <f t="shared" si="412"/>
        <v>-1.4502228</v>
      </c>
      <c r="Q1874" s="67">
        <v>-21.4877</v>
      </c>
      <c r="S1874" s="68">
        <v>-0.025363776</v>
      </c>
      <c r="T1874" s="68">
        <v>-0.022782862</v>
      </c>
      <c r="U1874" s="68">
        <v>-0.0010703939</v>
      </c>
      <c r="V1874" s="68">
        <v>-0.00151052</v>
      </c>
      <c r="X1874" s="69">
        <v>-6.6167619E-5</v>
      </c>
    </row>
    <row r="1875" ht="12.75" customHeight="1">
      <c r="A1875" s="1" t="s">
        <v>2557</v>
      </c>
      <c r="B1875" s="2" t="s">
        <v>2543</v>
      </c>
      <c r="C1875" s="60" t="str">
        <f t="shared" si="413"/>
        <v>F.020.01.106</v>
      </c>
      <c r="D1875" s="51" t="s">
        <v>2551</v>
      </c>
      <c r="E1875" s="62" t="s">
        <v>45</v>
      </c>
      <c r="F1875" s="63" t="str">
        <f t="shared" si="414"/>
        <v>Hardwood 12% MC  Bamboo &amp; Cork  co-firing in electrical power plant</v>
      </c>
      <c r="G1875" s="64">
        <v>-0.19327712810689998</v>
      </c>
      <c r="H1875" s="10">
        <f t="shared" si="411"/>
        <v>-0.1932771281</v>
      </c>
      <c r="I1875" s="65">
        <v>-6.99348549E-4</v>
      </c>
      <c r="J1875" s="65">
        <v>-0.0028948894378999996</v>
      </c>
      <c r="K1875" s="65">
        <v>-0.00184645012</v>
      </c>
      <c r="L1875" s="65">
        <v>-0.18783644</v>
      </c>
      <c r="N1875" s="66">
        <v>-1.2522429333333334</v>
      </c>
      <c r="O1875" s="10">
        <f t="shared" si="412"/>
        <v>-1.252242933</v>
      </c>
      <c r="Q1875" s="67">
        <v>-18.554267</v>
      </c>
      <c r="S1875" s="68">
        <v>-0.021688816</v>
      </c>
      <c r="T1875" s="68">
        <v>-0.019469865</v>
      </c>
      <c r="U1875" s="68">
        <v>-9.1464246E-4</v>
      </c>
      <c r="V1875" s="68">
        <v>-0.0013043085</v>
      </c>
      <c r="X1875" s="69">
        <v>-5.6489739E-5</v>
      </c>
    </row>
    <row r="1876" ht="12.75" customHeight="1">
      <c r="A1876" s="1" t="s">
        <v>2558</v>
      </c>
      <c r="B1876" s="2" t="s">
        <v>2543</v>
      </c>
      <c r="C1876" s="60" t="str">
        <f t="shared" si="413"/>
        <v>F.020.01.107</v>
      </c>
      <c r="D1876" s="51" t="s">
        <v>2551</v>
      </c>
      <c r="E1876" s="62" t="s">
        <v>45</v>
      </c>
      <c r="F1876" s="63" t="str">
        <f t="shared" si="414"/>
        <v>Hardwood fresh 50% MC  Bamboo &amp; Cork,  co-firing in electrical power plant</v>
      </c>
      <c r="G1876" s="64">
        <v>-0.088334583633</v>
      </c>
      <c r="H1876" s="10">
        <f t="shared" si="411"/>
        <v>-0.08833458363</v>
      </c>
      <c r="I1876" s="65">
        <v>0.0035282579240000006</v>
      </c>
      <c r="J1876" s="65">
        <v>0.0031637225030000005</v>
      </c>
      <c r="K1876" s="65">
        <v>-9.2502706E-4</v>
      </c>
      <c r="L1876" s="65">
        <v>-0.094101537</v>
      </c>
      <c r="N1876" s="66">
        <v>-0.62734358</v>
      </c>
      <c r="O1876" s="10">
        <f t="shared" si="412"/>
        <v>-0.62734358</v>
      </c>
      <c r="Q1876" s="67">
        <v>-9.295241</v>
      </c>
      <c r="S1876" s="68">
        <v>-0.010089251</v>
      </c>
      <c r="T1876" s="68">
        <v>-0.0090127921</v>
      </c>
      <c r="U1876" s="68">
        <v>-4.2303183E-4</v>
      </c>
      <c r="V1876" s="68">
        <v>-6.5342718E-4</v>
      </c>
      <c r="X1876" s="69">
        <v>-2.5942685E-5</v>
      </c>
    </row>
    <row r="1877" ht="12.75" customHeight="1">
      <c r="A1877" s="1" t="s">
        <v>2559</v>
      </c>
      <c r="B1877" s="2" t="s">
        <v>2543</v>
      </c>
      <c r="C1877" s="60" t="str">
        <f t="shared" si="413"/>
        <v>F.020.01.108</v>
      </c>
      <c r="D1877" s="51" t="s">
        <v>2551</v>
      </c>
      <c r="E1877" s="62" t="s">
        <v>45</v>
      </c>
      <c r="F1877" s="63" t="str">
        <f t="shared" si="414"/>
        <v>Paper Cardboard Leather Cotton Wool co-firing in electrical power plant</v>
      </c>
      <c r="G1877" s="64">
        <v>-0.18821471261310002</v>
      </c>
      <c r="H1877" s="10">
        <f t="shared" si="411"/>
        <v>-0.1882147126</v>
      </c>
      <c r="I1877" s="65">
        <v>-4.95409252E-4</v>
      </c>
      <c r="J1877" s="65">
        <v>-0.0026026226011</v>
      </c>
      <c r="K1877" s="65">
        <v>-0.0018020007599999998</v>
      </c>
      <c r="L1877" s="65">
        <v>-0.18331468</v>
      </c>
      <c r="N1877" s="66">
        <v>-1.2220978666666669</v>
      </c>
      <c r="O1877" s="10">
        <f t="shared" si="412"/>
        <v>-1.222097867</v>
      </c>
      <c r="Q1877" s="67">
        <v>-18.107612</v>
      </c>
      <c r="S1877" s="68">
        <v>-0.021129254</v>
      </c>
      <c r="T1877" s="68">
        <v>-0.018965417</v>
      </c>
      <c r="U1877" s="68">
        <v>-8.9092721E-4</v>
      </c>
      <c r="V1877" s="68">
        <v>-0.0012729101</v>
      </c>
      <c r="X1877" s="69">
        <v>-5.5016152E-5</v>
      </c>
    </row>
    <row r="1878" ht="12.75" customHeight="1">
      <c r="A1878" s="1" t="s">
        <v>2560</v>
      </c>
      <c r="B1878" s="2" t="s">
        <v>2543</v>
      </c>
      <c r="C1878" s="60" t="str">
        <f t="shared" si="413"/>
        <v>F.020.01.109</v>
      </c>
      <c r="D1878" s="51" t="s">
        <v>2551</v>
      </c>
      <c r="E1878" s="62" t="s">
        <v>45</v>
      </c>
      <c r="F1878" s="63" t="str">
        <f t="shared" si="414"/>
        <v>Rigid Polymer Foam co-firing in electrical power plant</v>
      </c>
      <c r="G1878" s="64">
        <v>0.023840165164400004</v>
      </c>
      <c r="H1878" s="10">
        <f t="shared" si="411"/>
        <v>0.02384016516</v>
      </c>
      <c r="I1878" s="65">
        <v>-0.0075939499700000005</v>
      </c>
      <c r="J1878" s="65">
        <v>-0.012939520335599999</v>
      </c>
      <c r="K1878" s="65">
        <v>-0.0034958815299999998</v>
      </c>
      <c r="L1878" s="65">
        <v>0.047869517</v>
      </c>
      <c r="N1878" s="66">
        <v>0.31913011333333335</v>
      </c>
      <c r="O1878" s="10">
        <f t="shared" si="412"/>
        <v>0.3191301133</v>
      </c>
      <c r="Q1878" s="67">
        <v>-35.128768</v>
      </c>
      <c r="S1878" s="68">
        <v>0.0013569738</v>
      </c>
      <c r="T1878" s="68">
        <v>0.0035782749</v>
      </c>
      <c r="U1878" s="68">
        <v>2.4814453E-4</v>
      </c>
      <c r="V1878" s="68">
        <v>-0.0024694456</v>
      </c>
      <c r="X1878" s="69">
        <v>-3.5758263E-5</v>
      </c>
    </row>
    <row r="1879" ht="12.75" customHeight="1">
      <c r="A1879" s="1" t="s">
        <v>2561</v>
      </c>
      <c r="B1879" s="2" t="s">
        <v>2543</v>
      </c>
      <c r="C1879" s="60" t="str">
        <f t="shared" si="413"/>
        <v>F.020.01.110</v>
      </c>
      <c r="D1879" s="51" t="s">
        <v>2551</v>
      </c>
      <c r="E1879" s="62" t="s">
        <v>45</v>
      </c>
      <c r="F1879" s="63" t="str">
        <f t="shared" si="414"/>
        <v>SMC (50%) co-firing in electrical power plant</v>
      </c>
      <c r="G1879" s="64">
        <v>0.061498329515899994</v>
      </c>
      <c r="H1879" s="10">
        <f t="shared" si="411"/>
        <v>0.06149832952</v>
      </c>
      <c r="I1879" s="65">
        <v>-0.00200108416</v>
      </c>
      <c r="J1879" s="65">
        <v>-0.004447458154100001</v>
      </c>
      <c r="K1879" s="65">
        <v>-0.00185005417</v>
      </c>
      <c r="L1879" s="65">
        <v>0.069796926</v>
      </c>
      <c r="N1879" s="66">
        <v>0.46531284</v>
      </c>
      <c r="O1879" s="10">
        <f t="shared" si="412"/>
        <v>0.46531284</v>
      </c>
      <c r="Q1879" s="67">
        <v>-18.590482</v>
      </c>
      <c r="S1879" s="68">
        <v>0.0059348056</v>
      </c>
      <c r="T1879" s="68">
        <v>0.006867601</v>
      </c>
      <c r="U1879" s="68">
        <v>3.7405891E-4</v>
      </c>
      <c r="V1879" s="68">
        <v>-0.0013068544</v>
      </c>
      <c r="X1879" s="69">
        <v>-9.4321637E-6</v>
      </c>
    </row>
    <row r="1880" ht="12.75" customHeight="1">
      <c r="A1880" s="1" t="s">
        <v>2562</v>
      </c>
      <c r="B1880" s="2" t="s">
        <v>2543</v>
      </c>
      <c r="C1880" s="60" t="str">
        <f t="shared" si="413"/>
        <v>F.020.01.111</v>
      </c>
      <c r="D1880" s="51" t="s">
        <v>2551</v>
      </c>
      <c r="E1880" s="62" t="s">
        <v>45</v>
      </c>
      <c r="F1880" s="63" t="str">
        <f t="shared" si="414"/>
        <v>Softwood 0% MC co-firing in electrical power plant</v>
      </c>
      <c r="G1880" s="64">
        <v>-0.2299595515141</v>
      </c>
      <c r="H1880" s="10">
        <f t="shared" si="411"/>
        <v>-0.2299595515</v>
      </c>
      <c r="I1880" s="65">
        <v>-0.0018980897899999998</v>
      </c>
      <c r="J1880" s="65">
        <v>-0.0046873274941</v>
      </c>
      <c r="K1880" s="65">
        <v>-0.00217441423</v>
      </c>
      <c r="L1880" s="65">
        <v>-0.22119972</v>
      </c>
      <c r="N1880" s="66">
        <v>-1.4746648</v>
      </c>
      <c r="O1880" s="10">
        <f t="shared" si="412"/>
        <v>-1.4746648</v>
      </c>
      <c r="Q1880" s="67">
        <v>-21.849852</v>
      </c>
      <c r="S1880" s="68">
        <v>-0.025756228</v>
      </c>
      <c r="T1880" s="68">
        <v>-0.023133403</v>
      </c>
      <c r="U1880" s="68">
        <v>-0.0010868469</v>
      </c>
      <c r="V1880" s="68">
        <v>-0.0015359782</v>
      </c>
      <c r="X1880" s="69">
        <v>-6.7176441E-5</v>
      </c>
    </row>
    <row r="1881" ht="12.75" customHeight="1">
      <c r="A1881" s="1" t="s">
        <v>2563</v>
      </c>
      <c r="B1881" s="2" t="s">
        <v>2543</v>
      </c>
      <c r="C1881" s="60" t="str">
        <f t="shared" si="413"/>
        <v>F.020.01.112</v>
      </c>
      <c r="D1881" s="51" t="s">
        <v>2551</v>
      </c>
      <c r="E1881" s="62" t="s">
        <v>45</v>
      </c>
      <c r="F1881" s="63" t="str">
        <f t="shared" si="414"/>
        <v>Softwood 12% MC co-firing in electrical power plant</v>
      </c>
      <c r="G1881" s="64">
        <v>-0.1957540241856</v>
      </c>
      <c r="H1881" s="10">
        <f t="shared" si="411"/>
        <v>-0.1957540242</v>
      </c>
      <c r="I1881" s="65">
        <v>-5.201216199999999E-4</v>
      </c>
      <c r="J1881" s="65">
        <v>-0.0027125517456</v>
      </c>
      <c r="K1881" s="65">
        <v>-0.00187408082</v>
      </c>
      <c r="L1881" s="65">
        <v>-0.19064727</v>
      </c>
      <c r="N1881" s="66">
        <v>-1.2709818000000002</v>
      </c>
      <c r="O1881" s="10">
        <f t="shared" si="412"/>
        <v>-1.2709818</v>
      </c>
      <c r="Q1881" s="67">
        <v>-18.831917</v>
      </c>
      <c r="S1881" s="68">
        <v>-0.021975405</v>
      </c>
      <c r="T1881" s="68">
        <v>-0.019724969</v>
      </c>
      <c r="U1881" s="68">
        <v>-9.2660871E-4</v>
      </c>
      <c r="V1881" s="68">
        <v>-0.0013238265</v>
      </c>
      <c r="X1881" s="69">
        <v>-5.7219774E-5</v>
      </c>
    </row>
    <row r="1882" ht="12.75" customHeight="1">
      <c r="A1882" s="1" t="s">
        <v>2564</v>
      </c>
      <c r="B1882" s="2" t="s">
        <v>2543</v>
      </c>
      <c r="C1882" s="60" t="str">
        <f t="shared" si="413"/>
        <v>F.020.01.113</v>
      </c>
      <c r="D1882" s="51" t="s">
        <v>2551</v>
      </c>
      <c r="E1882" s="62" t="s">
        <v>45</v>
      </c>
      <c r="F1882" s="63" t="str">
        <f t="shared" si="414"/>
        <v>Softwood fresh 50% MC co-firing in electrical power plant</v>
      </c>
      <c r="G1882" s="64">
        <v>-0.0890327877748</v>
      </c>
      <c r="H1882" s="10">
        <f t="shared" si="411"/>
        <v>-0.08903278777</v>
      </c>
      <c r="I1882" s="65">
        <v>0.003779139193</v>
      </c>
      <c r="J1882" s="65">
        <v>0.0034487484322</v>
      </c>
      <c r="K1882" s="65">
        <v>-9.370404E-4</v>
      </c>
      <c r="L1882" s="65">
        <v>-0.095323635</v>
      </c>
      <c r="N1882" s="66">
        <v>-0.6354909000000001</v>
      </c>
      <c r="O1882" s="10">
        <f t="shared" si="412"/>
        <v>-0.6354909</v>
      </c>
      <c r="Q1882" s="67">
        <v>-9.4159585</v>
      </c>
      <c r="S1882" s="68">
        <v>-0.010179237</v>
      </c>
      <c r="T1882" s="68">
        <v>-0.0090906577</v>
      </c>
      <c r="U1882" s="68">
        <v>-4.266657E-4</v>
      </c>
      <c r="V1882" s="68">
        <v>-6.6191325E-4</v>
      </c>
      <c r="X1882" s="69">
        <v>-2.6154973E-5</v>
      </c>
    </row>
    <row r="1883" ht="12.75" customHeight="1">
      <c r="B1883" s="2"/>
      <c r="C1883" s="60"/>
      <c r="D1883" s="75" t="s">
        <v>2565</v>
      </c>
      <c r="E1883" s="62"/>
      <c r="G1883" s="10"/>
      <c r="H1883" s="10" t="str">
        <f t="shared" si="411"/>
        <v/>
      </c>
      <c r="I1883" s="10"/>
      <c r="J1883" s="10"/>
      <c r="K1883" s="10"/>
      <c r="L1883" s="10"/>
      <c r="N1883" s="10"/>
      <c r="O1883" s="10" t="str">
        <f t="shared" si="412"/>
        <v/>
      </c>
      <c r="Q1883" s="67"/>
    </row>
    <row r="1884" ht="12.75" customHeight="1">
      <c r="A1884" s="1" t="s">
        <v>2566</v>
      </c>
      <c r="B1884" s="2" t="s">
        <v>2543</v>
      </c>
      <c r="C1884" s="60" t="str">
        <f t="shared" ref="C1884:C1911" si="415">MID(A1884,1,12)</f>
        <v>F.030.01.101</v>
      </c>
      <c r="D1884" s="51" t="s">
        <v>2565</v>
      </c>
      <c r="E1884" s="62" t="s">
        <v>45</v>
      </c>
      <c r="F1884" s="63" t="str">
        <f t="shared" ref="F1884:F1911" si="416">MID(A1884, 21,85)</f>
        <v>ABS (Acrylonitrile butadiene styrene) co-firing in electrical power plant</v>
      </c>
      <c r="G1884" s="64">
        <v>-0.019354913436</v>
      </c>
      <c r="H1884" s="10">
        <f t="shared" si="411"/>
        <v>-0.01935491344</v>
      </c>
      <c r="I1884" s="65">
        <v>-0.006356899830000001</v>
      </c>
      <c r="J1884" s="65">
        <v>-0.012671872736</v>
      </c>
      <c r="K1884" s="65">
        <v>-0.00457347797</v>
      </c>
      <c r="L1884" s="65">
        <v>0.0042473371</v>
      </c>
      <c r="N1884" s="66">
        <v>0.028315580666666666</v>
      </c>
      <c r="O1884" s="10">
        <f t="shared" si="412"/>
        <v>0.02831558067</v>
      </c>
      <c r="Q1884" s="67">
        <v>-45.95712</v>
      </c>
      <c r="S1884" s="68">
        <v>-0.0038275024</v>
      </c>
      <c r="T1884" s="68">
        <v>-6.5927681E-4</v>
      </c>
      <c r="U1884" s="68">
        <v>6.242022E-5</v>
      </c>
      <c r="V1884" s="68">
        <v>-0.0032306458</v>
      </c>
      <c r="X1884" s="69">
        <v>-5.5457654E-5</v>
      </c>
    </row>
    <row r="1885" ht="12.75" customHeight="1">
      <c r="A1885" s="1" t="s">
        <v>2567</v>
      </c>
      <c r="B1885" s="2" t="s">
        <v>2543</v>
      </c>
      <c r="C1885" s="60" t="str">
        <f t="shared" si="415"/>
        <v>F.030.01.102</v>
      </c>
      <c r="D1885" s="51" t="s">
        <v>2565</v>
      </c>
      <c r="E1885" s="62" t="s">
        <v>45</v>
      </c>
      <c r="F1885" s="63" t="str">
        <f t="shared" si="416"/>
        <v>bio-PE (Polyethylene) co-firing in electrical power plant</v>
      </c>
      <c r="G1885" s="64">
        <v>-0.5728396019499999</v>
      </c>
      <c r="H1885" s="10">
        <f t="shared" si="411"/>
        <v>-0.572839602</v>
      </c>
      <c r="I1885" s="65">
        <v>-0.00750815284</v>
      </c>
      <c r="J1885" s="65">
        <v>-0.01491785014</v>
      </c>
      <c r="K1885" s="65">
        <v>-0.00535794897</v>
      </c>
      <c r="L1885" s="65">
        <v>-0.54505565</v>
      </c>
      <c r="N1885" s="66">
        <v>-3.6337043333333336</v>
      </c>
      <c r="O1885" s="10">
        <f t="shared" si="412"/>
        <v>-3.633704333</v>
      </c>
      <c r="Q1885" s="67">
        <v>-53.839968</v>
      </c>
      <c r="S1885" s="68">
        <v>-0.064032279</v>
      </c>
      <c r="T1885" s="68">
        <v>-0.057543726</v>
      </c>
      <c r="U1885" s="68">
        <v>-0.0027037669</v>
      </c>
      <c r="V1885" s="68">
        <v>-0.003784786</v>
      </c>
      <c r="X1885" s="69">
        <v>-1.6724935E-4</v>
      </c>
    </row>
    <row r="1886" ht="12.75" customHeight="1">
      <c r="A1886" s="1" t="s">
        <v>2568</v>
      </c>
      <c r="B1886" s="2" t="s">
        <v>2543</v>
      </c>
      <c r="C1886" s="60" t="str">
        <f t="shared" si="415"/>
        <v>F.030.01.103</v>
      </c>
      <c r="D1886" s="51" t="s">
        <v>2565</v>
      </c>
      <c r="E1886" s="62" t="s">
        <v>45</v>
      </c>
      <c r="F1886" s="63" t="str">
        <f t="shared" si="416"/>
        <v>CA (Cellulose polymers) co-firing in electrical power plant</v>
      </c>
      <c r="G1886" s="64">
        <v>-0.1881865234284</v>
      </c>
      <c r="H1886" s="10">
        <f t="shared" si="411"/>
        <v>-0.1881865234</v>
      </c>
      <c r="I1886" s="65">
        <v>-0.001052290528</v>
      </c>
      <c r="J1886" s="65">
        <v>-0.0032516655204000004</v>
      </c>
      <c r="K1886" s="65">
        <v>-0.00178998738</v>
      </c>
      <c r="L1886" s="65">
        <v>-0.18209258</v>
      </c>
      <c r="N1886" s="66">
        <v>-1.2139505333333334</v>
      </c>
      <c r="O1886" s="10">
        <f t="shared" si="412"/>
        <v>-1.213950533</v>
      </c>
      <c r="Q1886" s="67">
        <v>-17.986895</v>
      </c>
      <c r="S1886" s="68">
        <v>-0.021100516</v>
      </c>
      <c r="T1886" s="68">
        <v>-0.018946023</v>
      </c>
      <c r="U1886" s="68">
        <v>-8.90069E-4</v>
      </c>
      <c r="V1886" s="68">
        <v>-0.001264424</v>
      </c>
      <c r="X1886" s="69">
        <v>-5.4989842E-5</v>
      </c>
    </row>
    <row r="1887" ht="12.75" customHeight="1">
      <c r="A1887" s="1" t="s">
        <v>2569</v>
      </c>
      <c r="B1887" s="2" t="s">
        <v>2543</v>
      </c>
      <c r="C1887" s="60" t="str">
        <f t="shared" si="415"/>
        <v>F.030.01.104</v>
      </c>
      <c r="D1887" s="51" t="s">
        <v>2565</v>
      </c>
      <c r="E1887" s="62" t="s">
        <v>45</v>
      </c>
      <c r="F1887" s="63" t="str">
        <f t="shared" si="416"/>
        <v>Ionomer co-firing in electrical power plant</v>
      </c>
      <c r="G1887" s="64">
        <v>-0.009075748966999999</v>
      </c>
      <c r="H1887" s="10">
        <f t="shared" si="411"/>
        <v>-0.009075748967</v>
      </c>
      <c r="I1887" s="65">
        <v>-0.006449645010000001</v>
      </c>
      <c r="J1887" s="65">
        <v>-0.012685564017</v>
      </c>
      <c r="K1887" s="65">
        <v>-0.00448698194</v>
      </c>
      <c r="L1887" s="65">
        <v>0.014546442</v>
      </c>
      <c r="N1887" s="66">
        <v>0.09697628</v>
      </c>
      <c r="O1887" s="10">
        <f t="shared" si="412"/>
        <v>0.09697628</v>
      </c>
      <c r="Q1887" s="67">
        <v>-45.087955</v>
      </c>
      <c r="S1887" s="68">
        <v>-0.0026742594</v>
      </c>
      <c r="T1887" s="68">
        <v>3.8358758E-4</v>
      </c>
      <c r="U1887" s="68">
        <v>1.1169916E-4</v>
      </c>
      <c r="V1887" s="68">
        <v>-0.0031695461</v>
      </c>
      <c r="X1887" s="69">
        <v>-5.2608873E-5</v>
      </c>
    </row>
    <row r="1888" ht="12.75" customHeight="1">
      <c r="A1888" s="1" t="s">
        <v>2570</v>
      </c>
      <c r="B1888" s="2" t="s">
        <v>2543</v>
      </c>
      <c r="C1888" s="60" t="str">
        <f t="shared" si="415"/>
        <v>F.030.01.105</v>
      </c>
      <c r="D1888" s="51" t="s">
        <v>2565</v>
      </c>
      <c r="E1888" s="62" t="s">
        <v>45</v>
      </c>
      <c r="F1888" s="63" t="str">
        <f t="shared" si="416"/>
        <v>PA-11 (Nylon-11) co-firing in electrical power plant</v>
      </c>
      <c r="G1888" s="64">
        <v>-0.481563883087</v>
      </c>
      <c r="H1888" s="10">
        <f t="shared" si="411"/>
        <v>-0.4815638831</v>
      </c>
      <c r="I1888" s="65">
        <v>-0.006844404409999999</v>
      </c>
      <c r="J1888" s="65">
        <v>-0.013161880107000002</v>
      </c>
      <c r="K1888" s="65">
        <v>-0.00449298857</v>
      </c>
      <c r="L1888" s="65">
        <v>-0.45706461</v>
      </c>
      <c r="N1888" s="66">
        <v>-3.0470974</v>
      </c>
      <c r="O1888" s="10">
        <f t="shared" si="412"/>
        <v>-3.0470974</v>
      </c>
      <c r="Q1888" s="67">
        <v>-45.148314</v>
      </c>
      <c r="S1888" s="68">
        <v>-0.05380498</v>
      </c>
      <c r="T1888" s="68">
        <v>-0.048358933</v>
      </c>
      <c r="U1888" s="68">
        <v>-0.0022722581</v>
      </c>
      <c r="V1888" s="68">
        <v>-0.0031737892</v>
      </c>
      <c r="X1888" s="69">
        <v>-1.4058271E-4</v>
      </c>
    </row>
    <row r="1889" ht="12.75" customHeight="1">
      <c r="A1889" s="1" t="s">
        <v>2571</v>
      </c>
      <c r="B1889" s="2" t="s">
        <v>2543</v>
      </c>
      <c r="C1889" s="60" t="str">
        <f t="shared" si="415"/>
        <v>F.030.01.106</v>
      </c>
      <c r="D1889" s="51" t="s">
        <v>2565</v>
      </c>
      <c r="E1889" s="62" t="s">
        <v>45</v>
      </c>
      <c r="F1889" s="63" t="str">
        <f t="shared" si="416"/>
        <v>PA (Nylons, Polyamides) co-firing in electrical power plant</v>
      </c>
      <c r="G1889" s="64">
        <v>8.522527148999981E-4</v>
      </c>
      <c r="H1889" s="10">
        <f t="shared" si="411"/>
        <v>0.0008522527149</v>
      </c>
      <c r="I1889" s="65">
        <v>-0.004958546340000001</v>
      </c>
      <c r="J1889" s="65">
        <v>-0.0097588148351</v>
      </c>
      <c r="K1889" s="65">
        <v>-0.00345503611</v>
      </c>
      <c r="L1889" s="65">
        <v>0.01902465</v>
      </c>
      <c r="N1889" s="66">
        <v>0.126831</v>
      </c>
      <c r="O1889" s="10">
        <f t="shared" si="412"/>
        <v>0.126831</v>
      </c>
      <c r="Q1889" s="67">
        <v>-34.718329</v>
      </c>
      <c r="S1889" s="68">
        <v>-0.0012108148</v>
      </c>
      <c r="T1889" s="68">
        <v>0.0011042069</v>
      </c>
      <c r="U1889" s="68">
        <v>1.2557122E-4</v>
      </c>
      <c r="V1889" s="68">
        <v>-0.002440593</v>
      </c>
      <c r="X1889" s="69">
        <v>-3.9050514E-5</v>
      </c>
    </row>
    <row r="1890" ht="12.75" customHeight="1">
      <c r="A1890" s="1" t="s">
        <v>2572</v>
      </c>
      <c r="B1890" s="2" t="s">
        <v>2543</v>
      </c>
      <c r="C1890" s="60" t="str">
        <f t="shared" si="415"/>
        <v>F.030.01.107</v>
      </c>
      <c r="D1890" s="51" t="s">
        <v>2565</v>
      </c>
      <c r="E1890" s="62" t="s">
        <v>45</v>
      </c>
      <c r="F1890" s="63" t="str">
        <f t="shared" si="416"/>
        <v>PC (Polycarbonate) co-firing in electrical power plant</v>
      </c>
      <c r="G1890" s="64">
        <v>0.054090118437</v>
      </c>
      <c r="H1890" s="10">
        <f t="shared" si="411"/>
        <v>0.05409011844</v>
      </c>
      <c r="I1890" s="65">
        <v>-0.00520753727</v>
      </c>
      <c r="J1890" s="65">
        <v>-0.010234867393</v>
      </c>
      <c r="K1890" s="65">
        <v>-0.0036160148999999997</v>
      </c>
      <c r="L1890" s="65">
        <v>0.073148538</v>
      </c>
      <c r="N1890" s="66">
        <v>0.48765692</v>
      </c>
      <c r="O1890" s="10">
        <f t="shared" si="412"/>
        <v>0.48765692</v>
      </c>
      <c r="Q1890" s="67">
        <v>-36.335942</v>
      </c>
      <c r="S1890" s="68">
        <v>0.0044916648</v>
      </c>
      <c r="T1890" s="68">
        <v>0.0066459903</v>
      </c>
      <c r="U1890" s="68">
        <v>3.9998074E-4</v>
      </c>
      <c r="V1890" s="68">
        <v>-0.0025543063</v>
      </c>
      <c r="X1890" s="69">
        <v>-3.0984875E-5</v>
      </c>
    </row>
    <row r="1891" ht="12.75" customHeight="1">
      <c r="A1891" s="1" t="s">
        <v>2573</v>
      </c>
      <c r="B1891" s="2" t="s">
        <v>2543</v>
      </c>
      <c r="C1891" s="60" t="str">
        <f t="shared" si="415"/>
        <v>F.030.01.108</v>
      </c>
      <c r="D1891" s="51" t="s">
        <v>2565</v>
      </c>
      <c r="E1891" s="62" t="s">
        <v>45</v>
      </c>
      <c r="F1891" s="63" t="str">
        <f t="shared" si="416"/>
        <v>PE (Polyethylene) co-firing in electrical power plant</v>
      </c>
      <c r="G1891" s="64">
        <v>-0.10224161614999999</v>
      </c>
      <c r="H1891" s="10">
        <f t="shared" si="411"/>
        <v>-0.1022416162</v>
      </c>
      <c r="I1891" s="65">
        <v>-0.007691752839999999</v>
      </c>
      <c r="J1891" s="65">
        <v>-0.015136260339999999</v>
      </c>
      <c r="K1891" s="65">
        <v>-0.00535794897</v>
      </c>
      <c r="L1891" s="65">
        <v>-0.074055654</v>
      </c>
      <c r="N1891" s="66">
        <v>-0.49370436</v>
      </c>
      <c r="O1891" s="10">
        <f t="shared" si="412"/>
        <v>-0.49370436</v>
      </c>
      <c r="Q1891" s="67">
        <v>-53.839968</v>
      </c>
      <c r="S1891" s="68">
        <v>-0.01308742</v>
      </c>
      <c r="T1891" s="68">
        <v>-0.0089746231</v>
      </c>
      <c r="U1891" s="68">
        <v>-3.2801056E-4</v>
      </c>
      <c r="V1891" s="68">
        <v>-0.003784786</v>
      </c>
      <c r="X1891" s="69">
        <v>-7.9809402E-5</v>
      </c>
    </row>
    <row r="1892" ht="12.75" customHeight="1">
      <c r="A1892" s="1" t="s">
        <v>2574</v>
      </c>
      <c r="B1892" s="2" t="s">
        <v>2543</v>
      </c>
      <c r="C1892" s="60" t="str">
        <f t="shared" si="415"/>
        <v>F.030.01.111</v>
      </c>
      <c r="D1892" s="51" t="s">
        <v>2565</v>
      </c>
      <c r="E1892" s="62" t="s">
        <v>45</v>
      </c>
      <c r="F1892" s="63" t="str">
        <f t="shared" si="416"/>
        <v>PET (Polyethylene terephthalate) co-firing in electrical power plant</v>
      </c>
      <c r="G1892" s="64">
        <v>0.050991728274</v>
      </c>
      <c r="H1892" s="10">
        <f t="shared" si="411"/>
        <v>0.05099172827</v>
      </c>
      <c r="I1892" s="65">
        <v>-0.00129296871</v>
      </c>
      <c r="J1892" s="65">
        <v>-0.004654677796</v>
      </c>
      <c r="K1892" s="65">
        <v>-0.00278949722</v>
      </c>
      <c r="L1892" s="65">
        <v>0.059728872</v>
      </c>
      <c r="N1892" s="66">
        <v>0.39819248</v>
      </c>
      <c r="O1892" s="10">
        <f t="shared" si="412"/>
        <v>0.39819248</v>
      </c>
      <c r="Q1892" s="67">
        <v>-28.030584</v>
      </c>
      <c r="S1892" s="68">
        <v>0.0043674713</v>
      </c>
      <c r="T1892" s="68">
        <v>0.0059880112</v>
      </c>
      <c r="U1892" s="68">
        <v>3.4992494E-4</v>
      </c>
      <c r="V1892" s="68">
        <v>-0.0019704648</v>
      </c>
      <c r="X1892" s="69">
        <v>-2.1633461E-5</v>
      </c>
    </row>
    <row r="1893" ht="12.75" customHeight="1">
      <c r="A1893" s="1" t="s">
        <v>2575</v>
      </c>
      <c r="B1893" s="2" t="s">
        <v>2543</v>
      </c>
      <c r="C1893" s="60" t="str">
        <f t="shared" si="415"/>
        <v>F.030.01.112</v>
      </c>
      <c r="D1893" s="51" t="s">
        <v>2565</v>
      </c>
      <c r="E1893" s="62" t="s">
        <v>45</v>
      </c>
      <c r="F1893" s="63" t="str">
        <f t="shared" si="416"/>
        <v>PHA (Polyhydroxyalkanoates) co-firing in electrical power plant</v>
      </c>
      <c r="G1893" s="64">
        <v>-0.3404116211648</v>
      </c>
      <c r="H1893" s="10">
        <f t="shared" si="411"/>
        <v>-0.3404116212</v>
      </c>
      <c r="I1893" s="65">
        <v>-0.0056222255199999994</v>
      </c>
      <c r="J1893" s="65">
        <v>-0.0102181476548</v>
      </c>
      <c r="K1893" s="65">
        <v>-0.00315950799</v>
      </c>
      <c r="L1893" s="65">
        <v>-0.32141174</v>
      </c>
      <c r="N1893" s="66">
        <v>-2.1427449333333333</v>
      </c>
      <c r="O1893" s="10">
        <f t="shared" si="412"/>
        <v>-2.142744933</v>
      </c>
      <c r="Q1893" s="67">
        <v>-31.74868</v>
      </c>
      <c r="S1893" s="68">
        <v>-0.037998084</v>
      </c>
      <c r="T1893" s="68">
        <v>-0.034161037</v>
      </c>
      <c r="U1893" s="68">
        <v>-0.0016052113</v>
      </c>
      <c r="V1893" s="68">
        <v>-0.0022318357</v>
      </c>
      <c r="X1893" s="69">
        <v>-9.9350764E-5</v>
      </c>
    </row>
    <row r="1894" ht="12.75" customHeight="1">
      <c r="A1894" s="1" t="s">
        <v>2576</v>
      </c>
      <c r="B1894" s="2" t="s">
        <v>2543</v>
      </c>
      <c r="C1894" s="60" t="str">
        <f t="shared" si="415"/>
        <v>F.030.01.113</v>
      </c>
      <c r="D1894" s="51" t="s">
        <v>2565</v>
      </c>
      <c r="E1894" s="62" t="s">
        <v>45</v>
      </c>
      <c r="F1894" s="63" t="str">
        <f t="shared" si="416"/>
        <v>PLA (Polylactide) co-firing in electrical power plant</v>
      </c>
      <c r="G1894" s="64">
        <v>-0.22349226728959998</v>
      </c>
      <c r="H1894" s="10">
        <f t="shared" si="411"/>
        <v>-0.2234922673</v>
      </c>
      <c r="I1894" s="65">
        <v>-0.00236297747</v>
      </c>
      <c r="J1894" s="65">
        <v>-0.005159825549599999</v>
      </c>
      <c r="K1894" s="65">
        <v>-0.0021023342699999998</v>
      </c>
      <c r="L1894" s="65">
        <v>-0.21386713</v>
      </c>
      <c r="N1894" s="66">
        <v>-1.4257808666666667</v>
      </c>
      <c r="O1894" s="10">
        <f t="shared" si="412"/>
        <v>-1.425780867</v>
      </c>
      <c r="Q1894" s="67">
        <v>-21.125548</v>
      </c>
      <c r="S1894" s="68">
        <v>-0.025008073</v>
      </c>
      <c r="T1894" s="68">
        <v>-0.022467405</v>
      </c>
      <c r="U1894" s="68">
        <v>-0.0010556064</v>
      </c>
      <c r="V1894" s="68">
        <v>-0.0014850618</v>
      </c>
      <c r="X1894" s="69">
        <v>-6.5270384E-5</v>
      </c>
    </row>
    <row r="1895" ht="12.75" customHeight="1">
      <c r="A1895" s="1" t="s">
        <v>2577</v>
      </c>
      <c r="B1895" s="2" t="s">
        <v>2543</v>
      </c>
      <c r="C1895" s="60" t="str">
        <f t="shared" si="415"/>
        <v>F.030.01.114</v>
      </c>
      <c r="D1895" s="51" t="s">
        <v>2565</v>
      </c>
      <c r="E1895" s="62" t="s">
        <v>45</v>
      </c>
      <c r="F1895" s="63" t="str">
        <f t="shared" si="416"/>
        <v>PMMA (Polymethyl methacrylate) co-firing in electrical power plant</v>
      </c>
      <c r="G1895" s="64">
        <v>0.007347061824100002</v>
      </c>
      <c r="H1895" s="10">
        <f t="shared" si="411"/>
        <v>0.007347061824</v>
      </c>
      <c r="I1895" s="65">
        <v>-0.00434880077</v>
      </c>
      <c r="J1895" s="65">
        <v>-0.0085422214259</v>
      </c>
      <c r="K1895" s="65">
        <v>-0.00301534798</v>
      </c>
      <c r="L1895" s="65">
        <v>0.023253432</v>
      </c>
      <c r="N1895" s="66">
        <v>0.15502288</v>
      </c>
      <c r="O1895" s="10">
        <f t="shared" si="412"/>
        <v>0.15502288</v>
      </c>
      <c r="Q1895" s="67">
        <v>-30.300071</v>
      </c>
      <c r="S1895" s="68">
        <v>-3.4119669E-4</v>
      </c>
      <c r="T1895" s="68">
        <v>0.0016458423</v>
      </c>
      <c r="U1895" s="68">
        <v>1.4296386E-4</v>
      </c>
      <c r="V1895" s="68">
        <v>-0.0021300029</v>
      </c>
      <c r="X1895" s="69">
        <v>-3.285777E-5</v>
      </c>
    </row>
    <row r="1896" ht="12.75" customHeight="1">
      <c r="A1896" s="1" t="s">
        <v>2578</v>
      </c>
      <c r="B1896" s="2" t="s">
        <v>2543</v>
      </c>
      <c r="C1896" s="60" t="str">
        <f t="shared" si="415"/>
        <v>F.030.01.115</v>
      </c>
      <c r="D1896" s="51" t="s">
        <v>2565</v>
      </c>
      <c r="E1896" s="62" t="s">
        <v>45</v>
      </c>
      <c r="F1896" s="63" t="str">
        <f t="shared" si="416"/>
        <v>POM (Polyoxymethylene, polyacetaal) co-firing in electrical power plant</v>
      </c>
      <c r="G1896" s="64">
        <v>0.0160851978722</v>
      </c>
      <c r="H1896" s="10">
        <f t="shared" si="411"/>
        <v>0.01608519787</v>
      </c>
      <c r="I1896" s="65">
        <v>-0.0027662778</v>
      </c>
      <c r="J1896" s="65">
        <v>-0.0054248404778</v>
      </c>
      <c r="K1896" s="65">
        <v>-0.00191012085</v>
      </c>
      <c r="L1896" s="65">
        <v>0.026186437</v>
      </c>
      <c r="N1896" s="66">
        <v>0.17457624666666668</v>
      </c>
      <c r="O1896" s="10">
        <f t="shared" si="412"/>
        <v>0.1745762467</v>
      </c>
      <c r="Q1896" s="67">
        <v>-19.194069</v>
      </c>
      <c r="S1896" s="68">
        <v>0.0010215999</v>
      </c>
      <c r="T1896" s="68">
        <v>0.0022225996</v>
      </c>
      <c r="U1896" s="68">
        <v>1.4828506E-4</v>
      </c>
      <c r="V1896" s="68">
        <v>-0.0013492847</v>
      </c>
      <c r="X1896" s="69">
        <v>-1.8691726E-5</v>
      </c>
    </row>
    <row r="1897" ht="12.75" customHeight="1">
      <c r="A1897" s="1" t="s">
        <v>2579</v>
      </c>
      <c r="B1897" s="2" t="s">
        <v>2543</v>
      </c>
      <c r="C1897" s="60" t="str">
        <f t="shared" si="415"/>
        <v>F.030.01.116</v>
      </c>
      <c r="D1897" s="51" t="s">
        <v>2565</v>
      </c>
      <c r="E1897" s="62" t="s">
        <v>45</v>
      </c>
      <c r="F1897" s="63" t="str">
        <f t="shared" si="416"/>
        <v>PP (Polypropylene) co-firing in electrical power plant</v>
      </c>
      <c r="G1897" s="64">
        <v>-0.07771663724399999</v>
      </c>
      <c r="H1897" s="10">
        <f t="shared" si="411"/>
        <v>-0.07771663724</v>
      </c>
      <c r="I1897" s="65">
        <v>-0.00737338512</v>
      </c>
      <c r="J1897" s="65">
        <v>-0.014501172944000001</v>
      </c>
      <c r="K1897" s="65">
        <v>-0.00512849418</v>
      </c>
      <c r="L1897" s="65">
        <v>-0.050713585</v>
      </c>
      <c r="N1897" s="66">
        <v>-0.33809056666666665</v>
      </c>
      <c r="O1897" s="10">
        <f t="shared" si="412"/>
        <v>-0.3380905667</v>
      </c>
      <c r="Q1897" s="67">
        <v>-51.534265</v>
      </c>
      <c r="S1897" s="68">
        <v>-0.010345865</v>
      </c>
      <c r="T1897" s="68">
        <v>-0.0065109123</v>
      </c>
      <c r="U1897" s="68">
        <v>-2.1225019E-4</v>
      </c>
      <c r="V1897" s="68">
        <v>-0.0036227021</v>
      </c>
      <c r="X1897" s="69">
        <v>-7.2648857E-5</v>
      </c>
    </row>
    <row r="1898" ht="12.75" customHeight="1">
      <c r="A1898" s="1" t="s">
        <v>2580</v>
      </c>
      <c r="B1898" s="2" t="s">
        <v>2543</v>
      </c>
      <c r="C1898" s="60" t="str">
        <f t="shared" si="415"/>
        <v>F.030.01.117</v>
      </c>
      <c r="D1898" s="51" t="s">
        <v>2565</v>
      </c>
      <c r="E1898" s="62" t="s">
        <v>45</v>
      </c>
      <c r="F1898" s="63" t="str">
        <f t="shared" si="416"/>
        <v>PS (Polystyrene) co-firing in electrical power plant</v>
      </c>
      <c r="G1898" s="64">
        <v>-0.032811925641</v>
      </c>
      <c r="H1898" s="10">
        <f t="shared" si="411"/>
        <v>-0.03281192564</v>
      </c>
      <c r="I1898" s="65">
        <v>-0.00723786593</v>
      </c>
      <c r="J1898" s="65">
        <v>-0.014247347920999999</v>
      </c>
      <c r="K1898" s="65">
        <v>-0.00504560219</v>
      </c>
      <c r="L1898" s="65">
        <v>-0.0062811096</v>
      </c>
      <c r="N1898" s="66">
        <v>-0.041874064</v>
      </c>
      <c r="O1898" s="10">
        <f t="shared" si="412"/>
        <v>-0.041874064</v>
      </c>
      <c r="Q1898" s="67">
        <v>-50.701315</v>
      </c>
      <c r="S1898" s="68">
        <v>-0.005454672</v>
      </c>
      <c r="T1898" s="68">
        <v>-0.0019019925</v>
      </c>
      <c r="U1898" s="68">
        <v>1.1468781E-5</v>
      </c>
      <c r="V1898" s="68">
        <v>-0.0035641483</v>
      </c>
      <c r="X1898" s="69">
        <v>-6.3357762E-5</v>
      </c>
    </row>
    <row r="1899" ht="12.75" customHeight="1">
      <c r="A1899" s="1" t="s">
        <v>2581</v>
      </c>
      <c r="B1899" s="2" t="s">
        <v>2543</v>
      </c>
      <c r="C1899" s="60" t="str">
        <f t="shared" si="415"/>
        <v>F.030.01.118</v>
      </c>
      <c r="D1899" s="51" t="s">
        <v>2565</v>
      </c>
      <c r="E1899" s="62" t="s">
        <v>45</v>
      </c>
      <c r="F1899" s="63" t="str">
        <f t="shared" si="416"/>
        <v>PTFE (Teflon  Polytetrafluoroethylene) co-firing in electrical power plant</v>
      </c>
      <c r="G1899" s="64">
        <v>0.0458233339614</v>
      </c>
      <c r="H1899" s="10">
        <f t="shared" si="411"/>
        <v>0.04582333396</v>
      </c>
      <c r="I1899" s="65">
        <v>-0.001183754799</v>
      </c>
      <c r="J1899" s="65">
        <v>-0.0023074595595999996</v>
      </c>
      <c r="K1899" s="65">
        <v>-8.0489368E-4</v>
      </c>
      <c r="L1899" s="65">
        <v>0.050119442</v>
      </c>
      <c r="N1899" s="66">
        <v>0.33412961333333335</v>
      </c>
      <c r="O1899" s="10">
        <f t="shared" si="412"/>
        <v>0.3341296133</v>
      </c>
      <c r="Q1899" s="67">
        <v>-8.0880669</v>
      </c>
      <c r="S1899" s="68">
        <v>0.0046574619</v>
      </c>
      <c r="T1899" s="68">
        <v>0.0049664224</v>
      </c>
      <c r="U1899" s="68">
        <v>2.5960595E-4</v>
      </c>
      <c r="V1899" s="68">
        <v>-5.6856651E-4</v>
      </c>
      <c r="X1899" s="69">
        <v>-6.2210999E-7</v>
      </c>
    </row>
    <row r="1900" ht="12.75" customHeight="1">
      <c r="A1900" s="1" t="s">
        <v>2582</v>
      </c>
      <c r="B1900" s="2" t="s">
        <v>2543</v>
      </c>
      <c r="C1900" s="60" t="str">
        <f t="shared" si="415"/>
        <v>F.030.01.119</v>
      </c>
      <c r="D1900" s="51" t="s">
        <v>2565</v>
      </c>
      <c r="E1900" s="62" t="s">
        <v>45</v>
      </c>
      <c r="F1900" s="63" t="str">
        <f t="shared" si="416"/>
        <v>PTT (Polyltrimethylene terephthalate) co-firing in electrical power plant</v>
      </c>
      <c r="G1900" s="64">
        <v>-0.045114865081900005</v>
      </c>
      <c r="H1900" s="10">
        <f t="shared" si="411"/>
        <v>-0.04511486508</v>
      </c>
      <c r="I1900" s="65">
        <v>-0.005565945</v>
      </c>
      <c r="J1900" s="65">
        <v>-0.0097351175619</v>
      </c>
      <c r="K1900" s="65">
        <v>-0.00278709452</v>
      </c>
      <c r="L1900" s="65">
        <v>-0.027026708</v>
      </c>
      <c r="N1900" s="66">
        <v>-0.18017805333333334</v>
      </c>
      <c r="O1900" s="10">
        <f t="shared" si="412"/>
        <v>-0.1801780533</v>
      </c>
      <c r="Q1900" s="67">
        <v>-28.006441</v>
      </c>
      <c r="S1900" s="68">
        <v>-0.0058767304</v>
      </c>
      <c r="T1900" s="68">
        <v>-0.0037811689</v>
      </c>
      <c r="U1900" s="68">
        <v>-1.2679394E-4</v>
      </c>
      <c r="V1900" s="68">
        <v>-0.0019687676</v>
      </c>
      <c r="X1900" s="69">
        <v>-4.0329443E-5</v>
      </c>
    </row>
    <row r="1901" ht="12.75" customHeight="1">
      <c r="A1901" s="1" t="s">
        <v>2583</v>
      </c>
      <c r="B1901" s="2" t="s">
        <v>2543</v>
      </c>
      <c r="C1901" s="60" t="str">
        <f t="shared" si="415"/>
        <v>F.030.01.120</v>
      </c>
      <c r="D1901" s="51" t="s">
        <v>2565</v>
      </c>
      <c r="E1901" s="62" t="s">
        <v>45</v>
      </c>
      <c r="F1901" s="63" t="str">
        <f t="shared" si="416"/>
        <v>PUR (Polyurethane) co-firing in electrical power plant</v>
      </c>
      <c r="G1901" s="64">
        <v>0.023840165164400004</v>
      </c>
      <c r="H1901" s="10">
        <f t="shared" si="411"/>
        <v>0.02384016516</v>
      </c>
      <c r="I1901" s="65">
        <v>-0.0075939499700000005</v>
      </c>
      <c r="J1901" s="65">
        <v>-0.012939520335599999</v>
      </c>
      <c r="K1901" s="65">
        <v>-0.0034958815299999998</v>
      </c>
      <c r="L1901" s="65">
        <v>0.047869517</v>
      </c>
      <c r="N1901" s="66">
        <v>0.31913011333333335</v>
      </c>
      <c r="O1901" s="10">
        <f t="shared" si="412"/>
        <v>0.3191301133</v>
      </c>
      <c r="Q1901" s="67">
        <v>-35.128768</v>
      </c>
      <c r="S1901" s="68">
        <v>0.0013569738</v>
      </c>
      <c r="T1901" s="68">
        <v>0.0035782749</v>
      </c>
      <c r="U1901" s="68">
        <v>2.4814453E-4</v>
      </c>
      <c r="V1901" s="68">
        <v>-0.0024694456</v>
      </c>
      <c r="X1901" s="69">
        <v>-3.5758263E-5</v>
      </c>
    </row>
    <row r="1902" ht="12.75" customHeight="1">
      <c r="A1902" s="1" t="s">
        <v>2584</v>
      </c>
      <c r="B1902" s="2" t="s">
        <v>2543</v>
      </c>
      <c r="C1902" s="60" t="str">
        <f t="shared" si="415"/>
        <v>F.030.01.121</v>
      </c>
      <c r="D1902" s="51" t="s">
        <v>2565</v>
      </c>
      <c r="E1902" s="62" t="s">
        <v>45</v>
      </c>
      <c r="F1902" s="63" t="str">
        <f t="shared" si="416"/>
        <v>PVC (Polyvinylchloride) co-firing in electrical power plant</v>
      </c>
      <c r="G1902" s="64">
        <v>-0.013466269069599999</v>
      </c>
      <c r="H1902" s="10">
        <f t="shared" si="411"/>
        <v>-0.01346626907</v>
      </c>
      <c r="I1902" s="65">
        <v>-0.00303614285</v>
      </c>
      <c r="J1902" s="65">
        <v>-0.0059606629496</v>
      </c>
      <c r="K1902" s="65">
        <v>-0.0021023342699999998</v>
      </c>
      <c r="L1902" s="65">
        <v>-0.002367129</v>
      </c>
      <c r="N1902" s="66">
        <v>-0.01578086</v>
      </c>
      <c r="O1902" s="10">
        <f t="shared" si="412"/>
        <v>-0.01578086</v>
      </c>
      <c r="Q1902" s="67">
        <v>-21.125548</v>
      </c>
      <c r="S1902" s="68">
        <v>-0.0022494715</v>
      </c>
      <c r="T1902" s="68">
        <v>-7.7052612E-4</v>
      </c>
      <c r="U1902" s="68">
        <v>6.1163603E-6</v>
      </c>
      <c r="V1902" s="68">
        <v>-0.0014850618</v>
      </c>
      <c r="X1902" s="69">
        <v>-2.6364972E-5</v>
      </c>
    </row>
    <row r="1903" ht="12.75" customHeight="1">
      <c r="A1903" s="1" t="s">
        <v>2585</v>
      </c>
      <c r="B1903" s="2" t="s">
        <v>2543</v>
      </c>
      <c r="C1903" s="60" t="str">
        <f t="shared" si="415"/>
        <v>F.030.01.122</v>
      </c>
      <c r="D1903" s="51" t="s">
        <v>2565</v>
      </c>
      <c r="E1903" s="62" t="s">
        <v>45</v>
      </c>
      <c r="F1903" s="63" t="str">
        <f t="shared" si="416"/>
        <v>PVDC (Polyvinyliden chloride) co-firing in electrical power plant</v>
      </c>
      <c r="G1903" s="64">
        <v>0.0027812360809999995</v>
      </c>
      <c r="H1903" s="10">
        <f t="shared" si="411"/>
        <v>0.002781236081</v>
      </c>
      <c r="I1903" s="65">
        <v>-0.001815547742</v>
      </c>
      <c r="J1903" s="65">
        <v>-0.0035556494269999997</v>
      </c>
      <c r="K1903" s="65">
        <v>-0.00124938725</v>
      </c>
      <c r="L1903" s="65">
        <v>0.0094018205</v>
      </c>
      <c r="N1903" s="66">
        <v>0.06267880333333334</v>
      </c>
      <c r="O1903" s="10">
        <f t="shared" si="412"/>
        <v>0.06267880333</v>
      </c>
      <c r="Q1903" s="67">
        <v>-12.554611</v>
      </c>
      <c r="S1903" s="68">
        <v>-1.6933282E-4</v>
      </c>
      <c r="T1903" s="68">
        <v>6.5528245E-4</v>
      </c>
      <c r="U1903" s="68">
        <v>5.7935734E-5</v>
      </c>
      <c r="V1903" s="68">
        <v>-8.82551E-4</v>
      </c>
      <c r="X1903" s="69">
        <v>-1.3665997E-5</v>
      </c>
    </row>
    <row r="1904" ht="12.75" customHeight="1">
      <c r="A1904" s="1" t="s">
        <v>2586</v>
      </c>
      <c r="B1904" s="2" t="s">
        <v>2543</v>
      </c>
      <c r="C1904" s="60" t="str">
        <f t="shared" si="415"/>
        <v>F.030.01.123</v>
      </c>
      <c r="D1904" s="51" t="s">
        <v>2565</v>
      </c>
      <c r="E1904" s="62" t="s">
        <v>45</v>
      </c>
      <c r="F1904" s="63" t="str">
        <f t="shared" si="416"/>
        <v>Starch PBS 50%-50% (Polybutylene succinate) co-firing in electrical power plant</v>
      </c>
      <c r="G1904" s="64">
        <v>-0.20688323850930002</v>
      </c>
      <c r="H1904" s="10">
        <f t="shared" si="411"/>
        <v>-0.2068832385</v>
      </c>
      <c r="I1904" s="65">
        <v>-0.00275411526</v>
      </c>
      <c r="J1904" s="65">
        <v>-0.0054372157493</v>
      </c>
      <c r="K1904" s="65">
        <v>-0.0019341475</v>
      </c>
      <c r="L1904" s="65">
        <v>-0.19675776</v>
      </c>
      <c r="N1904" s="66">
        <v>-1.3117184000000002</v>
      </c>
      <c r="O1904" s="10">
        <f t="shared" si="412"/>
        <v>-1.3117184</v>
      </c>
      <c r="Q1904" s="67">
        <v>-19.435504</v>
      </c>
      <c r="S1904" s="68">
        <v>-0.023123553</v>
      </c>
      <c r="T1904" s="68">
        <v>-0.020780875</v>
      </c>
      <c r="U1904" s="68">
        <v>-9.7642054E-4</v>
      </c>
      <c r="V1904" s="68">
        <v>-0.0013662568</v>
      </c>
      <c r="X1904" s="69">
        <v>-6.0401368E-5</v>
      </c>
    </row>
    <row r="1905" ht="12.75" customHeight="1">
      <c r="A1905" s="1" t="s">
        <v>2587</v>
      </c>
      <c r="B1905" s="2" t="s">
        <v>2543</v>
      </c>
      <c r="C1905" s="60" t="str">
        <f t="shared" si="415"/>
        <v>F.030.01.124</v>
      </c>
      <c r="D1905" s="51" t="s">
        <v>2565</v>
      </c>
      <c r="E1905" s="62" t="s">
        <v>45</v>
      </c>
      <c r="F1905" s="63" t="str">
        <f t="shared" si="416"/>
        <v>PBS (Polybutylene succinate) co-firing in electrical power plant</v>
      </c>
      <c r="G1905" s="64">
        <v>-0.3432044357378</v>
      </c>
      <c r="H1905" s="10">
        <f t="shared" si="411"/>
        <v>-0.3432044357</v>
      </c>
      <c r="I1905" s="65">
        <v>-0.004618700489999999</v>
      </c>
      <c r="J1905" s="65">
        <v>-0.0090780438478</v>
      </c>
      <c r="K1905" s="65">
        <v>-0.0032075614</v>
      </c>
      <c r="L1905" s="65">
        <v>-0.32630013</v>
      </c>
      <c r="N1905" s="66">
        <v>-2.1753342000000004</v>
      </c>
      <c r="O1905" s="10">
        <f t="shared" si="412"/>
        <v>-2.1753342</v>
      </c>
      <c r="Q1905" s="67">
        <v>-32.23155</v>
      </c>
      <c r="S1905" s="68">
        <v>-0.038358026</v>
      </c>
      <c r="T1905" s="68">
        <v>-0.034472499</v>
      </c>
      <c r="U1905" s="68">
        <v>-0.0016197467</v>
      </c>
      <c r="V1905" s="68">
        <v>-0.00226578</v>
      </c>
      <c r="X1905" s="69">
        <v>-1.0019992E-4</v>
      </c>
    </row>
    <row r="1906" ht="12.75" customHeight="1">
      <c r="A1906" s="1" t="s">
        <v>2588</v>
      </c>
      <c r="B1906" s="2" t="s">
        <v>2543</v>
      </c>
      <c r="C1906" s="60" t="str">
        <f t="shared" si="415"/>
        <v>F.030.01.125</v>
      </c>
      <c r="D1906" s="51" t="s">
        <v>2565</v>
      </c>
      <c r="E1906" s="62" t="s">
        <v>45</v>
      </c>
      <c r="F1906" s="63" t="str">
        <f t="shared" si="416"/>
        <v>PBAT (Polybutylene adipate terephthalate) co-firing in electrical power plant</v>
      </c>
      <c r="G1906" s="64">
        <v>-0.3393677831856</v>
      </c>
      <c r="H1906" s="10">
        <f t="shared" si="411"/>
        <v>-0.3393677832</v>
      </c>
      <c r="I1906" s="65">
        <v>-0.00457574423</v>
      </c>
      <c r="J1906" s="65">
        <v>-0.0089866775856</v>
      </c>
      <c r="K1906" s="65">
        <v>-0.00317152137</v>
      </c>
      <c r="L1906" s="65">
        <v>-0.32263384</v>
      </c>
      <c r="N1906" s="66">
        <v>-2.1508922666666668</v>
      </c>
      <c r="O1906" s="10">
        <f t="shared" si="412"/>
        <v>-2.150892267</v>
      </c>
      <c r="Q1906" s="67">
        <v>-31.869398</v>
      </c>
      <c r="S1906" s="68">
        <v>-0.037928826</v>
      </c>
      <c r="T1906" s="68">
        <v>-0.034086876</v>
      </c>
      <c r="U1906" s="68">
        <v>-0.0016016284</v>
      </c>
      <c r="V1906" s="68">
        <v>-0.0022403218</v>
      </c>
      <c r="X1906" s="69">
        <v>-9.9079509E-5</v>
      </c>
    </row>
    <row r="1907" ht="12.75" customHeight="1">
      <c r="A1907" s="1" t="s">
        <v>2589</v>
      </c>
      <c r="B1907" s="2" t="s">
        <v>2543</v>
      </c>
      <c r="C1907" s="60" t="str">
        <f t="shared" si="415"/>
        <v>F.030.01.126</v>
      </c>
      <c r="D1907" s="51" t="s">
        <v>2565</v>
      </c>
      <c r="E1907" s="62" t="s">
        <v>45</v>
      </c>
      <c r="F1907" s="63" t="str">
        <f t="shared" si="416"/>
        <v>PHB (Polyhydroxybutyrate) co-firing in electrical power plant</v>
      </c>
      <c r="G1907" s="64">
        <v>-0.3240211631667</v>
      </c>
      <c r="H1907" s="10">
        <f t="shared" si="411"/>
        <v>-0.3240211632</v>
      </c>
      <c r="I1907" s="65">
        <v>-0.004403919500000001</v>
      </c>
      <c r="J1907" s="65">
        <v>-0.0086212124167</v>
      </c>
      <c r="K1907" s="65">
        <v>-0.00302736125</v>
      </c>
      <c r="L1907" s="65">
        <v>-0.30796867</v>
      </c>
      <c r="N1907" s="66">
        <v>-2.0531244666666666</v>
      </c>
      <c r="O1907" s="10">
        <f t="shared" si="412"/>
        <v>-2.053124467</v>
      </c>
      <c r="Q1907" s="67">
        <v>-30.420789</v>
      </c>
      <c r="S1907" s="68">
        <v>-0.036212027</v>
      </c>
      <c r="T1907" s="68">
        <v>-0.032544383</v>
      </c>
      <c r="U1907" s="68">
        <v>-0.0015291552</v>
      </c>
      <c r="V1907" s="68">
        <v>-0.002138489</v>
      </c>
      <c r="X1907" s="69">
        <v>-9.4597874E-5</v>
      </c>
    </row>
    <row r="1908" ht="12.75" customHeight="1">
      <c r="A1908" s="1" t="s">
        <v>2590</v>
      </c>
      <c r="B1908" s="2" t="s">
        <v>2543</v>
      </c>
      <c r="C1908" s="60" t="str">
        <f t="shared" si="415"/>
        <v>F.030.01.127</v>
      </c>
      <c r="D1908" s="51" t="s">
        <v>2565</v>
      </c>
      <c r="E1908" s="62" t="s">
        <v>45</v>
      </c>
      <c r="F1908" s="63" t="str">
        <f t="shared" si="416"/>
        <v>PAN (Polyacrylonitrile fibres) co-firing in electrical power plant</v>
      </c>
      <c r="G1908" s="64">
        <v>-0.00833900731</v>
      </c>
      <c r="H1908" s="10">
        <f t="shared" si="411"/>
        <v>-0.00833900731</v>
      </c>
      <c r="I1908" s="65">
        <v>-0.005170662289999999</v>
      </c>
      <c r="J1908" s="65">
        <v>-0.01013731353</v>
      </c>
      <c r="K1908" s="65">
        <v>-0.00356796149</v>
      </c>
      <c r="L1908" s="65">
        <v>0.01053693</v>
      </c>
      <c r="N1908" s="66">
        <v>0.07024620000000001</v>
      </c>
      <c r="O1908" s="10">
        <f t="shared" si="412"/>
        <v>0.0702462</v>
      </c>
      <c r="Q1908" s="67">
        <v>-35.853073</v>
      </c>
      <c r="S1908" s="68">
        <v>-0.0022464333</v>
      </c>
      <c r="T1908" s="68">
        <v>1.9068855E-4</v>
      </c>
      <c r="U1908" s="68">
        <v>8.3240145E-5</v>
      </c>
      <c r="V1908" s="68">
        <v>-0.002520362</v>
      </c>
      <c r="X1908" s="69">
        <v>-4.2050589E-5</v>
      </c>
    </row>
    <row r="1909" ht="12.75" customHeight="1">
      <c r="A1909" s="1" t="s">
        <v>2591</v>
      </c>
      <c r="B1909" s="2" t="s">
        <v>2543</v>
      </c>
      <c r="C1909" s="60" t="str">
        <f t="shared" si="415"/>
        <v>F.030.01.128</v>
      </c>
      <c r="D1909" s="51" t="s">
        <v>2565</v>
      </c>
      <c r="E1909" s="62" t="s">
        <v>45</v>
      </c>
      <c r="F1909" s="63" t="str">
        <f t="shared" si="416"/>
        <v>bio-PP (Polypropylene) co-firing in electrical power plant</v>
      </c>
      <c r="G1909" s="64">
        <v>-0.5488534541260001</v>
      </c>
      <c r="H1909" s="10">
        <f t="shared" si="411"/>
        <v>-0.5488534541</v>
      </c>
      <c r="I1909" s="65">
        <v>-0.00737889696</v>
      </c>
      <c r="J1909" s="65">
        <v>-0.014509071646</v>
      </c>
      <c r="K1909" s="65">
        <v>-0.00512969552</v>
      </c>
      <c r="L1909" s="65">
        <v>-0.52183579</v>
      </c>
      <c r="N1909" s="66">
        <v>-3.478905266666667</v>
      </c>
      <c r="O1909" s="10">
        <f t="shared" si="412"/>
        <v>-3.478905267</v>
      </c>
      <c r="Q1909" s="67">
        <v>-51.546337</v>
      </c>
      <c r="S1909" s="68">
        <v>-0.061342595</v>
      </c>
      <c r="T1909" s="68">
        <v>-0.055128732</v>
      </c>
      <c r="U1909" s="68">
        <v>-0.0025903129</v>
      </c>
      <c r="V1909" s="68">
        <v>-0.0036235507</v>
      </c>
      <c r="X1909" s="69">
        <v>-1.6024021E-4</v>
      </c>
    </row>
    <row r="1910" ht="12.75" customHeight="1">
      <c r="A1910" s="1" t="s">
        <v>2592</v>
      </c>
      <c r="B1910" s="2" t="s">
        <v>2543</v>
      </c>
      <c r="C1910" s="60" t="str">
        <f t="shared" si="415"/>
        <v>F.030.01.129</v>
      </c>
      <c r="D1910" s="51" t="s">
        <v>2565</v>
      </c>
      <c r="E1910" s="62" t="s">
        <v>45</v>
      </c>
      <c r="F1910" s="63" t="str">
        <f t="shared" si="416"/>
        <v>bio-PET (Polyethylene terephthalate) co-firing in electrical power plant</v>
      </c>
      <c r="G1910" s="64">
        <v>-0.0236307768919</v>
      </c>
      <c r="H1910" s="10">
        <f t="shared" si="411"/>
        <v>-0.02363077689</v>
      </c>
      <c r="I1910" s="65">
        <v>-0.003974745</v>
      </c>
      <c r="J1910" s="65">
        <v>-0.0078422291719</v>
      </c>
      <c r="K1910" s="65">
        <v>-0.00278709452</v>
      </c>
      <c r="L1910" s="65">
        <v>-0.0090267082</v>
      </c>
      <c r="N1910" s="66">
        <v>-0.060178054666666675</v>
      </c>
      <c r="O1910" s="10">
        <f t="shared" si="412"/>
        <v>-0.06017805467</v>
      </c>
      <c r="Q1910" s="67">
        <v>-28.006441</v>
      </c>
      <c r="S1910" s="68">
        <v>-0.0036099023</v>
      </c>
      <c r="T1910" s="68">
        <v>-0.001619631</v>
      </c>
      <c r="U1910" s="68">
        <v>-2.1503645E-5</v>
      </c>
      <c r="V1910" s="68">
        <v>-0.0019687676</v>
      </c>
      <c r="X1910" s="69">
        <v>-3.6016437E-5</v>
      </c>
    </row>
    <row r="1911" ht="12.75" customHeight="1">
      <c r="A1911" s="1" t="s">
        <v>2593</v>
      </c>
      <c r="B1911" s="2" t="s">
        <v>2543</v>
      </c>
      <c r="C1911" s="60" t="str">
        <f t="shared" si="415"/>
        <v>F.030.01.130</v>
      </c>
      <c r="D1911" s="51" t="s">
        <v>2565</v>
      </c>
      <c r="E1911" s="62" t="s">
        <v>45</v>
      </c>
      <c r="F1911" s="63" t="str">
        <f t="shared" si="416"/>
        <v>PEF (Polyethylene furan-2.5-dicarboxylate) co-firing in electrical power plant</v>
      </c>
      <c r="G1911" s="64">
        <v>-0.282784148733</v>
      </c>
      <c r="H1911" s="10">
        <f t="shared" si="411"/>
        <v>-0.2827841487</v>
      </c>
      <c r="I1911" s="65">
        <v>-0.00380292026</v>
      </c>
      <c r="J1911" s="65">
        <v>-0.0074767640630000005</v>
      </c>
      <c r="K1911" s="65">
        <v>-0.00264293441</v>
      </c>
      <c r="L1911" s="65">
        <v>-0.26886153</v>
      </c>
      <c r="N1911" s="66">
        <v>-1.7924102000000002</v>
      </c>
      <c r="O1911" s="10">
        <f t="shared" si="412"/>
        <v>-1.7924102</v>
      </c>
      <c r="Q1911" s="67">
        <v>-26.557832</v>
      </c>
      <c r="S1911" s="68">
        <v>-0.031605314</v>
      </c>
      <c r="T1911" s="68">
        <v>-0.028403781</v>
      </c>
      <c r="U1911" s="68">
        <v>-0.0013345978</v>
      </c>
      <c r="V1911" s="68">
        <v>-0.0018669348</v>
      </c>
      <c r="X1911" s="69">
        <v>-8.2560058E-5</v>
      </c>
    </row>
    <row r="1912" ht="12.75" customHeight="1">
      <c r="B1912" s="2"/>
      <c r="C1912" s="60"/>
      <c r="D1912" s="75" t="s">
        <v>2594</v>
      </c>
      <c r="E1912" s="62"/>
      <c r="G1912" s="10"/>
      <c r="H1912" s="10" t="str">
        <f t="shared" si="411"/>
        <v/>
      </c>
      <c r="I1912" s="10"/>
      <c r="J1912" s="10"/>
      <c r="K1912" s="10"/>
      <c r="L1912" s="10"/>
      <c r="N1912" s="10"/>
      <c r="O1912" s="10" t="str">
        <f t="shared" si="412"/>
        <v/>
      </c>
      <c r="Q1912" s="67"/>
    </row>
    <row r="1913" ht="12.75" customHeight="1">
      <c r="A1913" s="1" t="s">
        <v>2595</v>
      </c>
      <c r="B1913" s="2" t="s">
        <v>2543</v>
      </c>
      <c r="C1913" s="60" t="str">
        <f t="shared" ref="C1913:C1915" si="417">MID(A1913,1,12)</f>
        <v>F.040.01.101</v>
      </c>
      <c r="D1913" s="51" t="s">
        <v>2594</v>
      </c>
      <c r="E1913" s="62" t="s">
        <v>45</v>
      </c>
      <c r="F1913" s="63" t="str">
        <f t="shared" ref="F1913:F1915" si="418">MID(A1913, 21,85)</f>
        <v>Epoxies co-firing in electrical power plant</v>
      </c>
      <c r="G1913" s="64">
        <v>-0.013707793263</v>
      </c>
      <c r="H1913" s="10">
        <f t="shared" si="411"/>
        <v>-0.01370779326</v>
      </c>
      <c r="I1913" s="65">
        <v>-0.0057165429000000005</v>
      </c>
      <c r="J1913" s="65">
        <v>-0.011202770803</v>
      </c>
      <c r="K1913" s="65">
        <v>-0.00394037496</v>
      </c>
      <c r="L1913" s="65">
        <v>0.0071518954</v>
      </c>
      <c r="N1913" s="66">
        <v>0.04767930266666667</v>
      </c>
      <c r="O1913" s="10">
        <f t="shared" si="412"/>
        <v>0.04767930267</v>
      </c>
      <c r="Q1913" s="67">
        <v>-39.595313</v>
      </c>
      <c r="S1913" s="68">
        <v>-0.0029675922</v>
      </c>
      <c r="T1913" s="68">
        <v>-2.5339684E-4</v>
      </c>
      <c r="U1913" s="68">
        <v>6.9234695E-5</v>
      </c>
      <c r="V1913" s="68">
        <v>-0.0027834301</v>
      </c>
      <c r="X1913" s="69">
        <v>-4.7277128E-5</v>
      </c>
    </row>
    <row r="1914" ht="12.75" customHeight="1">
      <c r="A1914" s="1" t="s">
        <v>2596</v>
      </c>
      <c r="B1914" s="2" t="s">
        <v>2543</v>
      </c>
      <c r="C1914" s="60" t="str">
        <f t="shared" si="417"/>
        <v>F.040.01.102</v>
      </c>
      <c r="D1914" s="51" t="s">
        <v>2594</v>
      </c>
      <c r="E1914" s="62" t="s">
        <v>45</v>
      </c>
      <c r="F1914" s="63" t="str">
        <f t="shared" si="418"/>
        <v>Phenolics (Bakelite) co-firing in electrical power plant</v>
      </c>
      <c r="G1914" s="64">
        <v>0.006365305060999998</v>
      </c>
      <c r="H1914" s="10">
        <f t="shared" si="411"/>
        <v>0.006365305061</v>
      </c>
      <c r="I1914" s="65">
        <v>-0.0055633492000000005</v>
      </c>
      <c r="J1914" s="65">
        <v>-0.010953422459</v>
      </c>
      <c r="K1914" s="65">
        <v>-0.00388030828</v>
      </c>
      <c r="L1914" s="65">
        <v>0.026762385</v>
      </c>
      <c r="N1914" s="66">
        <v>0.17841590000000002</v>
      </c>
      <c r="O1914" s="10">
        <f t="shared" si="412"/>
        <v>0.1784159</v>
      </c>
      <c r="Q1914" s="67">
        <v>-38.991725</v>
      </c>
      <c r="S1914" s="68">
        <v>-7.7467031E-4</v>
      </c>
      <c r="T1914" s="68">
        <v>0.0017980147</v>
      </c>
      <c r="U1914" s="68">
        <v>1.6831472E-4</v>
      </c>
      <c r="V1914" s="68">
        <v>-0.0027409997</v>
      </c>
      <c r="X1914" s="69">
        <v>-4.2850747E-5</v>
      </c>
    </row>
    <row r="1915" ht="12.75" customHeight="1">
      <c r="A1915" s="1" t="s">
        <v>2597</v>
      </c>
      <c r="B1915" s="2" t="s">
        <v>2543</v>
      </c>
      <c r="C1915" s="60" t="str">
        <f t="shared" si="417"/>
        <v>F.040.01.103</v>
      </c>
      <c r="D1915" s="51" t="s">
        <v>2594</v>
      </c>
      <c r="E1915" s="62" t="s">
        <v>45</v>
      </c>
      <c r="F1915" s="63" t="str">
        <f t="shared" si="418"/>
        <v>Polyester co-firing in electrical power plant</v>
      </c>
      <c r="G1915" s="64">
        <v>-0.025326814962600003</v>
      </c>
      <c r="H1915" s="10">
        <f t="shared" si="411"/>
        <v>-0.02532681496</v>
      </c>
      <c r="I1915" s="65">
        <v>-0.00492547499</v>
      </c>
      <c r="J1915" s="65">
        <v>-0.009711420242600001</v>
      </c>
      <c r="K1915" s="65">
        <v>-0.00344782813</v>
      </c>
      <c r="L1915" s="65">
        <v>-0.0072420916</v>
      </c>
      <c r="N1915" s="66">
        <v>-0.04828061066666667</v>
      </c>
      <c r="O1915" s="10">
        <f t="shared" si="412"/>
        <v>-0.04828061067</v>
      </c>
      <c r="Q1915" s="67">
        <v>-34.645898</v>
      </c>
      <c r="S1915" s="68">
        <v>-0.0040425876</v>
      </c>
      <c r="T1915" s="68">
        <v>-0.0016002179</v>
      </c>
      <c r="U1915" s="68">
        <v>-6.8683893E-6</v>
      </c>
      <c r="V1915" s="68">
        <v>-0.0024355013</v>
      </c>
      <c r="X1915" s="69">
        <v>-4.3830431E-5</v>
      </c>
    </row>
    <row r="1916" ht="12.75" customHeight="1">
      <c r="B1916" s="2"/>
      <c r="C1916" s="60"/>
      <c r="D1916" s="75" t="s">
        <v>2598</v>
      </c>
      <c r="E1916" s="62"/>
      <c r="G1916" s="10"/>
      <c r="H1916" s="10" t="str">
        <f t="shared" si="411"/>
        <v/>
      </c>
      <c r="I1916" s="10"/>
      <c r="J1916" s="10"/>
      <c r="K1916" s="10"/>
      <c r="L1916" s="10"/>
      <c r="N1916" s="10"/>
      <c r="O1916" s="10" t="str">
        <f t="shared" si="412"/>
        <v/>
      </c>
      <c r="Q1916" s="67"/>
    </row>
    <row r="1917" ht="12.75" customHeight="1">
      <c r="A1917" s="1" t="s">
        <v>2599</v>
      </c>
      <c r="B1917" s="2" t="s">
        <v>2543</v>
      </c>
      <c r="C1917" s="60" t="str">
        <f t="shared" ref="C1917:C1933" si="419">MID(A1917,1,12)</f>
        <v>F.044.01.101</v>
      </c>
      <c r="D1917" s="51" t="s">
        <v>2598</v>
      </c>
      <c r="E1917" s="62" t="s">
        <v>45</v>
      </c>
      <c r="F1917" s="63" t="str">
        <f t="shared" ref="F1917:F1933" si="420">MID(A1917, 21,85)</f>
        <v>Bisphenol A  co-firing in electrical power plant</v>
      </c>
      <c r="G1917" s="64">
        <v>0.011926209737</v>
      </c>
      <c r="H1917" s="10">
        <f t="shared" si="411"/>
        <v>0.01192620974</v>
      </c>
      <c r="I1917" s="65">
        <v>-0.0056553429</v>
      </c>
      <c r="J1917" s="65">
        <v>-0.011129967403</v>
      </c>
      <c r="K1917" s="65">
        <v>-0.00394037496</v>
      </c>
      <c r="L1917" s="65">
        <v>0.032651895</v>
      </c>
      <c r="N1917" s="66">
        <v>0.21767930000000002</v>
      </c>
      <c r="O1917" s="10">
        <f t="shared" si="412"/>
        <v>0.2176793</v>
      </c>
      <c r="Q1917" s="67">
        <v>-39.595313</v>
      </c>
      <c r="S1917" s="68">
        <v>-1.9519203E-4</v>
      </c>
      <c r="T1917" s="68">
        <v>0.0023897343</v>
      </c>
      <c r="U1917" s="68">
        <v>1.9850374E-4</v>
      </c>
      <c r="V1917" s="68">
        <v>-0.0027834301</v>
      </c>
      <c r="X1917" s="69">
        <v>-4.2499881E-5</v>
      </c>
    </row>
    <row r="1918" ht="12.75" customHeight="1">
      <c r="A1918" s="1" t="s">
        <v>2600</v>
      </c>
      <c r="B1918" s="2" t="s">
        <v>2543</v>
      </c>
      <c r="C1918" s="60" t="str">
        <f t="shared" si="419"/>
        <v>F.044.01.102</v>
      </c>
      <c r="D1918" s="51" t="s">
        <v>2598</v>
      </c>
      <c r="E1918" s="62" t="s">
        <v>45</v>
      </c>
      <c r="F1918" s="63" t="str">
        <f t="shared" si="420"/>
        <v>DEHP co-firing in electrical power plant</v>
      </c>
      <c r="G1918" s="64">
        <v>-0.058454851007</v>
      </c>
      <c r="H1918" s="10">
        <f t="shared" si="411"/>
        <v>-0.05845485101</v>
      </c>
      <c r="I1918" s="65">
        <v>-0.007235542240000001</v>
      </c>
      <c r="J1918" s="65">
        <v>-0.013439269967</v>
      </c>
      <c r="K1918" s="65">
        <v>-0.0043248018</v>
      </c>
      <c r="L1918" s="65">
        <v>-0.033455237</v>
      </c>
      <c r="N1918" s="66">
        <v>-0.22303491333333333</v>
      </c>
      <c r="O1918" s="10">
        <f t="shared" si="412"/>
        <v>-0.2230349133</v>
      </c>
      <c r="Q1918" s="67">
        <v>-43.45827</v>
      </c>
      <c r="S1918" s="68">
        <v>-0.0079204096</v>
      </c>
      <c r="T1918" s="68">
        <v>-0.0047242044</v>
      </c>
      <c r="U1918" s="68">
        <v>-1.4122101E-4</v>
      </c>
      <c r="V1918" s="68">
        <v>-0.0030549842</v>
      </c>
      <c r="X1918" s="69">
        <v>-6.0151705E-5</v>
      </c>
    </row>
    <row r="1919" ht="12.75" customHeight="1">
      <c r="A1919" s="1" t="s">
        <v>2601</v>
      </c>
      <c r="B1919" s="2" t="s">
        <v>2543</v>
      </c>
      <c r="C1919" s="60" t="str">
        <f t="shared" si="419"/>
        <v>F.044.01.103</v>
      </c>
      <c r="D1919" s="51" t="s">
        <v>2598</v>
      </c>
      <c r="E1919" s="62" t="s">
        <v>45</v>
      </c>
      <c r="F1919" s="63" t="str">
        <f t="shared" si="420"/>
        <v>DINP co-firing in electrical power plant</v>
      </c>
      <c r="G1919" s="64">
        <v>-0.061494159401000004</v>
      </c>
      <c r="H1919" s="10">
        <f t="shared" si="411"/>
        <v>-0.0614941594</v>
      </c>
      <c r="I1919" s="65">
        <v>-0.00726025455</v>
      </c>
      <c r="J1919" s="65">
        <v>-0.013549198991000001</v>
      </c>
      <c r="K1919" s="65">
        <v>-0.00439688186</v>
      </c>
      <c r="L1919" s="65">
        <v>-0.036287824</v>
      </c>
      <c r="N1919" s="66">
        <v>-0.2419188266666667</v>
      </c>
      <c r="O1919" s="10">
        <f t="shared" si="412"/>
        <v>-0.2419188267</v>
      </c>
      <c r="Q1919" s="67">
        <v>-44.182574</v>
      </c>
      <c r="S1919" s="68">
        <v>-0.0082794743</v>
      </c>
      <c r="T1919" s="68">
        <v>-0.0050193854</v>
      </c>
      <c r="U1919" s="68">
        <v>-1.5418829E-4</v>
      </c>
      <c r="V1919" s="68">
        <v>-0.0031059006</v>
      </c>
      <c r="X1919" s="69">
        <v>-6.1518848E-5</v>
      </c>
    </row>
    <row r="1920" ht="12.75" customHeight="1">
      <c r="A1920" s="1" t="s">
        <v>2602</v>
      </c>
      <c r="B1920" s="2" t="s">
        <v>2543</v>
      </c>
      <c r="C1920" s="60" t="str">
        <f t="shared" si="419"/>
        <v>F.044.01.104</v>
      </c>
      <c r="D1920" s="51" t="s">
        <v>2598</v>
      </c>
      <c r="E1920" s="62" t="s">
        <v>45</v>
      </c>
      <c r="F1920" s="63" t="str">
        <f t="shared" si="420"/>
        <v>Epichlorohydrin  co-firing in electrical power plant</v>
      </c>
      <c r="G1920" s="64">
        <v>-0.012934738861100002</v>
      </c>
      <c r="H1920" s="10">
        <f t="shared" si="411"/>
        <v>-0.01293473886</v>
      </c>
      <c r="I1920" s="65">
        <v>-0.00302401491</v>
      </c>
      <c r="J1920" s="65">
        <v>-0.0059730382311</v>
      </c>
      <c r="K1920" s="65">
        <v>-0.00212636092</v>
      </c>
      <c r="L1920" s="65">
        <v>-0.0018113248</v>
      </c>
      <c r="N1920" s="66">
        <v>-0.012075498666666667</v>
      </c>
      <c r="O1920" s="10">
        <f t="shared" si="412"/>
        <v>-0.01207549867</v>
      </c>
      <c r="Q1920" s="67">
        <v>-21.366983</v>
      </c>
      <c r="S1920" s="68">
        <v>-0.0022030461</v>
      </c>
      <c r="T1920" s="68">
        <v>-7.1030177E-4</v>
      </c>
      <c r="U1920" s="68">
        <v>9.2895407E-6</v>
      </c>
      <c r="V1920" s="68">
        <v>-0.0015020339</v>
      </c>
      <c r="X1920" s="69">
        <v>-2.6529484E-5</v>
      </c>
    </row>
    <row r="1921" ht="12.75" customHeight="1">
      <c r="A1921" s="1" t="s">
        <v>2603</v>
      </c>
      <c r="B1921" s="2" t="s">
        <v>2543</v>
      </c>
      <c r="C1921" s="60" t="str">
        <f t="shared" si="419"/>
        <v>F.044.01.105</v>
      </c>
      <c r="D1921" s="51" t="s">
        <v>2598</v>
      </c>
      <c r="E1921" s="62" t="s">
        <v>45</v>
      </c>
      <c r="F1921" s="63" t="str">
        <f t="shared" si="420"/>
        <v>EVOH  co-firing in electrical power plant</v>
      </c>
      <c r="G1921" s="64">
        <v>-0.090449331292</v>
      </c>
      <c r="H1921" s="10">
        <f t="shared" si="411"/>
        <v>-0.09044933129</v>
      </c>
      <c r="I1921" s="65">
        <v>-0.0073393111</v>
      </c>
      <c r="J1921" s="65">
        <v>-0.013468759722</v>
      </c>
      <c r="K1921" s="65">
        <v>-0.00424070847</v>
      </c>
      <c r="L1921" s="65">
        <v>-0.065400552</v>
      </c>
      <c r="N1921" s="66">
        <v>-0.43600368</v>
      </c>
      <c r="O1921" s="10">
        <f t="shared" si="412"/>
        <v>-0.43600368</v>
      </c>
      <c r="Q1921" s="67">
        <v>-42.613248</v>
      </c>
      <c r="S1921" s="68">
        <v>-0.011343544</v>
      </c>
      <c r="T1921" s="68">
        <v>-0.0080427387</v>
      </c>
      <c r="U1921" s="68">
        <v>-3.0522337E-4</v>
      </c>
      <c r="V1921" s="68">
        <v>-0.0029955818</v>
      </c>
      <c r="X1921" s="69">
        <v>-6.518972E-5</v>
      </c>
    </row>
    <row r="1922" ht="12.75" customHeight="1">
      <c r="A1922" s="1" t="s">
        <v>2604</v>
      </c>
      <c r="B1922" s="2" t="s">
        <v>2543</v>
      </c>
      <c r="C1922" s="60" t="str">
        <f t="shared" si="419"/>
        <v>F.044.01.106</v>
      </c>
      <c r="D1922" s="51" t="s">
        <v>2598</v>
      </c>
      <c r="E1922" s="62" t="s">
        <v>45</v>
      </c>
      <c r="F1922" s="63" t="str">
        <f t="shared" si="420"/>
        <v>Formaldehyde  co-firing in electrical power plant</v>
      </c>
      <c r="G1922" s="64">
        <v>-0.0057005212303999995</v>
      </c>
      <c r="H1922" s="10">
        <f t="shared" si="411"/>
        <v>-0.00570052123</v>
      </c>
      <c r="I1922" s="65">
        <v>-0.0030300961899999996</v>
      </c>
      <c r="J1922" s="65">
        <v>-0.005966850590400001</v>
      </c>
      <c r="K1922" s="65">
        <v>-0.00211434755</v>
      </c>
      <c r="L1922" s="65">
        <v>0.0054107731</v>
      </c>
      <c r="N1922" s="66">
        <v>0.03607182066666667</v>
      </c>
      <c r="O1922" s="10">
        <f t="shared" si="412"/>
        <v>0.03607182067</v>
      </c>
      <c r="Q1922" s="67">
        <v>-21.246265</v>
      </c>
      <c r="S1922" s="68">
        <v>-0.0014146155</v>
      </c>
      <c r="T1922" s="68">
        <v>3.3502814E-5</v>
      </c>
      <c r="U1922" s="68">
        <v>4.5429563E-5</v>
      </c>
      <c r="V1922" s="68">
        <v>-0.0014935478</v>
      </c>
      <c r="X1922" s="69">
        <v>-2.5053107E-5</v>
      </c>
    </row>
    <row r="1923" ht="12.75" customHeight="1">
      <c r="A1923" s="1" t="s">
        <v>2605</v>
      </c>
      <c r="B1923" s="2" t="s">
        <v>2543</v>
      </c>
      <c r="C1923" s="60" t="str">
        <f t="shared" si="419"/>
        <v>F.044.01.107</v>
      </c>
      <c r="D1923" s="51" t="s">
        <v>2598</v>
      </c>
      <c r="E1923" s="62" t="s">
        <v>45</v>
      </c>
      <c r="F1923" s="63" t="str">
        <f t="shared" si="420"/>
        <v>MDI  co-firing in electrical power plant</v>
      </c>
      <c r="G1923" s="64">
        <v>0.036080715242599995</v>
      </c>
      <c r="H1923" s="10">
        <f t="shared" si="411"/>
        <v>0.03608071524</v>
      </c>
      <c r="I1923" s="65">
        <v>-0.00484564395</v>
      </c>
      <c r="J1923" s="65">
        <v>-0.0095225000174</v>
      </c>
      <c r="K1923" s="65">
        <v>-0.00336373479</v>
      </c>
      <c r="L1923" s="65">
        <v>0.053812594</v>
      </c>
      <c r="N1923" s="66">
        <v>0.3587506266666667</v>
      </c>
      <c r="O1923" s="10">
        <f t="shared" si="412"/>
        <v>0.3587506267</v>
      </c>
      <c r="Q1923" s="67">
        <v>-33.800877</v>
      </c>
      <c r="S1923" s="68">
        <v>0.0026374587</v>
      </c>
      <c r="T1923" s="68">
        <v>0.0047133357</v>
      </c>
      <c r="U1923" s="68">
        <v>3.0022188E-4</v>
      </c>
      <c r="V1923" s="68">
        <v>-0.0023760988</v>
      </c>
      <c r="X1923" s="69">
        <v>-3.1469614E-5</v>
      </c>
    </row>
    <row r="1924" ht="12.75" customHeight="1">
      <c r="A1924" s="1" t="s">
        <v>2606</v>
      </c>
      <c r="B1924" s="2" t="s">
        <v>2543</v>
      </c>
      <c r="C1924" s="60" t="str">
        <f t="shared" si="419"/>
        <v>F.044.01.108</v>
      </c>
      <c r="D1924" s="51" t="s">
        <v>2598</v>
      </c>
      <c r="E1924" s="62" t="s">
        <v>45</v>
      </c>
      <c r="F1924" s="63" t="str">
        <f t="shared" si="420"/>
        <v>MMA monomer  co-firing in electrical power plant</v>
      </c>
      <c r="G1924" s="64">
        <v>0.0022761886811000012</v>
      </c>
      <c r="H1924" s="10">
        <f t="shared" si="411"/>
        <v>0.002276188681</v>
      </c>
      <c r="I1924" s="65">
        <v>-0.00438567576</v>
      </c>
      <c r="J1924" s="65">
        <v>-0.0086397752789</v>
      </c>
      <c r="K1924" s="65">
        <v>-0.00306340128</v>
      </c>
      <c r="L1924" s="65">
        <v>0.018365041</v>
      </c>
      <c r="N1924" s="66">
        <v>0.12243360666666667</v>
      </c>
      <c r="O1924" s="10">
        <f t="shared" si="412"/>
        <v>0.1224336067</v>
      </c>
      <c r="Q1924" s="67">
        <v>-30.782941</v>
      </c>
      <c r="S1924" s="68">
        <v>-9.0937994E-4</v>
      </c>
      <c r="T1924" s="68">
        <v>0.0011355761</v>
      </c>
      <c r="U1924" s="68">
        <v>1.1899115E-4</v>
      </c>
      <c r="V1924" s="68">
        <v>-0.0021639472</v>
      </c>
      <c r="X1924" s="69">
        <v>-3.433925E-5</v>
      </c>
    </row>
    <row r="1925" ht="12.75" customHeight="1">
      <c r="A1925" s="1" t="s">
        <v>2607</v>
      </c>
      <c r="B1925" s="2" t="s">
        <v>2543</v>
      </c>
      <c r="C1925" s="60" t="str">
        <f t="shared" si="419"/>
        <v>F.044.01.109</v>
      </c>
      <c r="D1925" s="51" t="s">
        <v>2598</v>
      </c>
      <c r="E1925" s="62" t="s">
        <v>45</v>
      </c>
      <c r="F1925" s="63" t="str">
        <f t="shared" si="420"/>
        <v>Nafion co-firing in electrical power plant</v>
      </c>
      <c r="G1925" s="64">
        <v>0.0163200390089</v>
      </c>
      <c r="H1925" s="10">
        <f t="shared" si="411"/>
        <v>0.01632003901</v>
      </c>
      <c r="I1925" s="65">
        <v>-9.636671670000001E-4</v>
      </c>
      <c r="J1925" s="65">
        <v>-0.0021261751141</v>
      </c>
      <c r="K1925" s="65">
        <v>-8.7697371E-4</v>
      </c>
      <c r="L1925" s="65">
        <v>0.020286855</v>
      </c>
      <c r="N1925" s="66">
        <v>0.1352457</v>
      </c>
      <c r="O1925" s="10">
        <f t="shared" si="412"/>
        <v>0.1352457</v>
      </c>
      <c r="Q1925" s="67">
        <v>-8.8123714</v>
      </c>
      <c r="S1925" s="68">
        <v>0.0014248825</v>
      </c>
      <c r="T1925" s="68">
        <v>0.0019317916</v>
      </c>
      <c r="U1925" s="68">
        <v>1.1257387E-4</v>
      </c>
      <c r="V1925" s="68">
        <v>-6.1948291E-4</v>
      </c>
      <c r="X1925" s="69">
        <v>-6.8593471E-6</v>
      </c>
    </row>
    <row r="1926" ht="12.75" customHeight="1">
      <c r="A1926" s="1" t="s">
        <v>2608</v>
      </c>
      <c r="B1926" s="2" t="s">
        <v>2543</v>
      </c>
      <c r="C1926" s="60" t="str">
        <f t="shared" si="419"/>
        <v>F.044.01.110</v>
      </c>
      <c r="D1926" s="51" t="s">
        <v>2598</v>
      </c>
      <c r="E1926" s="62" t="s">
        <v>45</v>
      </c>
      <c r="F1926" s="63" t="str">
        <f t="shared" si="420"/>
        <v>Paperfoam  co-firing in electrical power plant</v>
      </c>
      <c r="G1926" s="64">
        <v>-0.20688323850930002</v>
      </c>
      <c r="H1926" s="10">
        <f t="shared" si="411"/>
        <v>-0.2068832385</v>
      </c>
      <c r="I1926" s="65">
        <v>-0.00275411526</v>
      </c>
      <c r="J1926" s="65">
        <v>-0.0054372157493</v>
      </c>
      <c r="K1926" s="65">
        <v>-0.0019341475</v>
      </c>
      <c r="L1926" s="65">
        <v>-0.19675776</v>
      </c>
      <c r="N1926" s="66">
        <v>-1.3117184000000002</v>
      </c>
      <c r="O1926" s="10">
        <f t="shared" si="412"/>
        <v>-1.3117184</v>
      </c>
      <c r="Q1926" s="67">
        <v>-19.435504</v>
      </c>
      <c r="S1926" s="68">
        <v>-0.023123553</v>
      </c>
      <c r="T1926" s="68">
        <v>-0.020780875</v>
      </c>
      <c r="U1926" s="68">
        <v>-9.7642054E-4</v>
      </c>
      <c r="V1926" s="68">
        <v>-0.0013662568</v>
      </c>
      <c r="X1926" s="69">
        <v>-6.0401368E-5</v>
      </c>
    </row>
    <row r="1927" ht="12.75" customHeight="1">
      <c r="A1927" s="1" t="s">
        <v>2609</v>
      </c>
      <c r="B1927" s="2" t="s">
        <v>2543</v>
      </c>
      <c r="C1927" s="60" t="str">
        <f t="shared" si="419"/>
        <v>F.044.01.111</v>
      </c>
      <c r="D1927" s="51" t="s">
        <v>2598</v>
      </c>
      <c r="E1927" s="62" t="s">
        <v>45</v>
      </c>
      <c r="F1927" s="63" t="str">
        <f t="shared" si="420"/>
        <v>PEEK (Polyetheretherketone)  co-firing in electrical power plant</v>
      </c>
      <c r="G1927" s="64">
        <v>0.028427486779499998</v>
      </c>
      <c r="H1927" s="10">
        <f t="shared" si="411"/>
        <v>0.02842748678</v>
      </c>
      <c r="I1927" s="65">
        <v>-0.00534419524</v>
      </c>
      <c r="J1927" s="65">
        <v>-0.0104605184405</v>
      </c>
      <c r="K1927" s="65">
        <v>-0.00367247754</v>
      </c>
      <c r="L1927" s="65">
        <v>0.047904678</v>
      </c>
      <c r="N1927" s="66">
        <v>0.31936452</v>
      </c>
      <c r="O1927" s="10">
        <f t="shared" si="412"/>
        <v>0.31936452</v>
      </c>
      <c r="Q1927" s="67">
        <v>-36.903314</v>
      </c>
      <c r="S1927" s="68">
        <v>0.0016946655</v>
      </c>
      <c r="T1927" s="68">
        <v>0.0040163183</v>
      </c>
      <c r="U1927" s="68">
        <v>2.7253795E-4</v>
      </c>
      <c r="V1927" s="68">
        <v>-0.0025941908</v>
      </c>
      <c r="X1927" s="69">
        <v>-3.6407082E-5</v>
      </c>
    </row>
    <row r="1928" ht="12.75" customHeight="1">
      <c r="A1928" s="1" t="s">
        <v>2610</v>
      </c>
      <c r="B1928" s="2" t="s">
        <v>2543</v>
      </c>
      <c r="C1928" s="60" t="str">
        <f t="shared" si="419"/>
        <v>F.044.01.112</v>
      </c>
      <c r="D1928" s="51" t="s">
        <v>2598</v>
      </c>
      <c r="E1928" s="62" t="s">
        <v>45</v>
      </c>
      <c r="F1928" s="63" t="str">
        <f t="shared" si="420"/>
        <v>PEI (Polyether Imide) co-firing in electrical power plant</v>
      </c>
      <c r="G1928" s="64">
        <v>0.0476616846211</v>
      </c>
      <c r="H1928" s="10">
        <f t="shared" si="411"/>
        <v>0.04766168462</v>
      </c>
      <c r="I1928" s="65">
        <v>-0.015543481190000001</v>
      </c>
      <c r="J1928" s="65">
        <v>-0.0222754707489</v>
      </c>
      <c r="K1928" s="65">
        <v>-0.00338776144</v>
      </c>
      <c r="L1928" s="65">
        <v>0.088868398</v>
      </c>
      <c r="N1928" s="66">
        <v>0.5924559866666667</v>
      </c>
      <c r="O1928" s="10">
        <f t="shared" si="412"/>
        <v>0.5924559867</v>
      </c>
      <c r="Q1928" s="67">
        <v>-34.042311</v>
      </c>
      <c r="S1928" s="68">
        <v>0.0042748781</v>
      </c>
      <c r="T1928" s="68">
        <v>0.0062872988</v>
      </c>
      <c r="U1928" s="68">
        <v>3.806503E-4</v>
      </c>
      <c r="V1928" s="68">
        <v>-0.002393071</v>
      </c>
      <c r="X1928" s="69">
        <v>-3.1730333E-5</v>
      </c>
    </row>
    <row r="1929" ht="12.75" customHeight="1">
      <c r="A1929" s="1" t="s">
        <v>2611</v>
      </c>
      <c r="B1929" s="2" t="s">
        <v>2543</v>
      </c>
      <c r="C1929" s="60" t="str">
        <f t="shared" si="419"/>
        <v>F.044.01.113</v>
      </c>
      <c r="D1929" s="51" t="s">
        <v>2598</v>
      </c>
      <c r="E1929" s="62" t="s">
        <v>45</v>
      </c>
      <c r="F1929" s="63" t="str">
        <f t="shared" si="420"/>
        <v>Phthalic anhydride co-firing in electrical power plant</v>
      </c>
      <c r="G1929" s="64">
        <v>0.0818891602015</v>
      </c>
      <c r="H1929" s="10">
        <f t="shared" si="411"/>
        <v>0.0818891602</v>
      </c>
      <c r="I1929" s="65">
        <v>-0.0037170078399999993</v>
      </c>
      <c r="J1929" s="65">
        <v>-0.0072940315085</v>
      </c>
      <c r="K1929" s="65">
        <v>-0.00257085445</v>
      </c>
      <c r="L1929" s="65">
        <v>0.095471054</v>
      </c>
      <c r="N1929" s="66">
        <v>0.6364736933333334</v>
      </c>
      <c r="O1929" s="10">
        <f t="shared" si="412"/>
        <v>0.6364736933</v>
      </c>
      <c r="Q1929" s="67">
        <v>-25.833527</v>
      </c>
      <c r="S1929" s="68">
        <v>0.0078951959</v>
      </c>
      <c r="T1929" s="68">
        <v>0.0092075807</v>
      </c>
      <c r="U1929" s="68">
        <v>5.0363362E-4</v>
      </c>
      <c r="V1929" s="68">
        <v>-0.0018160184</v>
      </c>
      <c r="X1929" s="69">
        <v>-1.3958526E-5</v>
      </c>
    </row>
    <row r="1930" ht="12.75" customHeight="1">
      <c r="A1930" s="1" t="s">
        <v>2612</v>
      </c>
      <c r="B1930" s="2" t="s">
        <v>2543</v>
      </c>
      <c r="C1930" s="60" t="str">
        <f t="shared" si="419"/>
        <v>F.044.01.114</v>
      </c>
      <c r="D1930" s="51" t="s">
        <v>2598</v>
      </c>
      <c r="E1930" s="62" t="s">
        <v>45</v>
      </c>
      <c r="F1930" s="63" t="str">
        <f t="shared" si="420"/>
        <v>Polyether-polyols co-firing in electrical power plant</v>
      </c>
      <c r="G1930" s="64">
        <v>0.015936178114000003</v>
      </c>
      <c r="H1930" s="10">
        <f t="shared" si="411"/>
        <v>0.01593617811</v>
      </c>
      <c r="I1930" s="65">
        <v>-0.0055264743199999996</v>
      </c>
      <c r="J1930" s="65">
        <v>-0.010855868596</v>
      </c>
      <c r="K1930" s="65">
        <v>-0.00383225497</v>
      </c>
      <c r="L1930" s="65">
        <v>0.036150776</v>
      </c>
      <c r="N1930" s="66">
        <v>0.24100517333333335</v>
      </c>
      <c r="O1930" s="10">
        <f t="shared" si="412"/>
        <v>0.2410051733</v>
      </c>
      <c r="Q1930" s="67">
        <v>-38.508856</v>
      </c>
      <c r="S1930" s="68">
        <v>2.8059836E-4</v>
      </c>
      <c r="T1930" s="68">
        <v>0.0027726522</v>
      </c>
      <c r="U1930" s="68">
        <v>2.1500165E-4</v>
      </c>
      <c r="V1930" s="68">
        <v>-0.0027070555</v>
      </c>
      <c r="X1930" s="69">
        <v>-4.0532788E-5</v>
      </c>
    </row>
    <row r="1931" ht="12.75" customHeight="1">
      <c r="A1931" s="1" t="s">
        <v>2613</v>
      </c>
      <c r="B1931" s="2" t="s">
        <v>2543</v>
      </c>
      <c r="C1931" s="60" t="str">
        <f t="shared" si="419"/>
        <v>F.044.01.115</v>
      </c>
      <c r="D1931" s="51" t="s">
        <v>2598</v>
      </c>
      <c r="E1931" s="62" t="s">
        <v>45</v>
      </c>
      <c r="F1931" s="63" t="str">
        <f t="shared" si="420"/>
        <v>PPS  co-firing in electrical power plant</v>
      </c>
      <c r="G1931" s="64">
        <v>0.0060807152425999995</v>
      </c>
      <c r="H1931" s="10">
        <f t="shared" si="411"/>
        <v>0.006080715243</v>
      </c>
      <c r="I1931" s="65">
        <v>-0.00484564395</v>
      </c>
      <c r="J1931" s="65">
        <v>-0.0095225000174</v>
      </c>
      <c r="K1931" s="65">
        <v>-0.00336373479</v>
      </c>
      <c r="L1931" s="65">
        <v>0.023812594</v>
      </c>
      <c r="N1931" s="66">
        <v>0.15875062666666667</v>
      </c>
      <c r="O1931" s="10">
        <f t="shared" si="412"/>
        <v>0.1587506267</v>
      </c>
      <c r="Q1931" s="67">
        <v>-33.800877</v>
      </c>
      <c r="S1931" s="68">
        <v>-6.0977745E-4</v>
      </c>
      <c r="T1931" s="68">
        <v>0.0016175277</v>
      </c>
      <c r="U1931" s="68">
        <v>1.4879374E-4</v>
      </c>
      <c r="V1931" s="68">
        <v>-0.0023760988</v>
      </c>
      <c r="X1931" s="69">
        <v>-3.7046145E-5</v>
      </c>
    </row>
    <row r="1932" ht="12.75" customHeight="1">
      <c r="A1932" s="1" t="s">
        <v>2614</v>
      </c>
      <c r="B1932" s="2" t="s">
        <v>2543</v>
      </c>
      <c r="C1932" s="60" t="str">
        <f t="shared" si="419"/>
        <v>F.044.01.116</v>
      </c>
      <c r="D1932" s="51" t="s">
        <v>2598</v>
      </c>
      <c r="E1932" s="62" t="s">
        <v>45</v>
      </c>
      <c r="F1932" s="63" t="str">
        <f t="shared" si="420"/>
        <v>PVOH (PVA) co-firing in electrical power plant</v>
      </c>
      <c r="G1932" s="64">
        <v>0.0262573813422</v>
      </c>
      <c r="H1932" s="10">
        <f t="shared" si="411"/>
        <v>0.02625738134</v>
      </c>
      <c r="I1932" s="65">
        <v>-0.00366188912</v>
      </c>
      <c r="J1932" s="65">
        <v>-0.0072150404678</v>
      </c>
      <c r="K1932" s="65">
        <v>-0.00255884107</v>
      </c>
      <c r="L1932" s="65">
        <v>0.039693152</v>
      </c>
      <c r="N1932" s="66">
        <v>0.2646210133333334</v>
      </c>
      <c r="O1932" s="10">
        <f t="shared" si="412"/>
        <v>0.2646210133</v>
      </c>
      <c r="Q1932" s="67">
        <v>-25.71281</v>
      </c>
      <c r="S1932" s="68">
        <v>0.0018766802</v>
      </c>
      <c r="T1932" s="68">
        <v>0.0034618828</v>
      </c>
      <c r="U1932" s="68">
        <v>2.2232969E-4</v>
      </c>
      <c r="V1932" s="68">
        <v>-0.0018075323</v>
      </c>
      <c r="X1932" s="69">
        <v>-2.4155667E-5</v>
      </c>
    </row>
    <row r="1933" ht="12.75" customHeight="1">
      <c r="A1933" s="1" t="s">
        <v>2615</v>
      </c>
      <c r="B1933" s="2" t="s">
        <v>2543</v>
      </c>
      <c r="C1933" s="60" t="str">
        <f t="shared" si="419"/>
        <v>F.044.01.117</v>
      </c>
      <c r="D1933" s="51" t="s">
        <v>2598</v>
      </c>
      <c r="E1933" s="62" t="s">
        <v>45</v>
      </c>
      <c r="F1933" s="63" t="str">
        <f t="shared" si="420"/>
        <v>TDI co-firing in electrical power plant</v>
      </c>
      <c r="G1933" s="64">
        <v>0.0322252514815</v>
      </c>
      <c r="H1933" s="10">
        <f t="shared" si="411"/>
        <v>0.03222525148</v>
      </c>
      <c r="I1933" s="65">
        <v>-0.0041648134800000005</v>
      </c>
      <c r="J1933" s="65">
        <v>-0.0081891314285</v>
      </c>
      <c r="K1933" s="65">
        <v>-0.00289521461</v>
      </c>
      <c r="L1933" s="65">
        <v>0.047474411</v>
      </c>
      <c r="N1933" s="66">
        <v>0.31649607333333335</v>
      </c>
      <c r="O1933" s="10">
        <f t="shared" si="412"/>
        <v>0.3164960733</v>
      </c>
      <c r="Q1933" s="67">
        <v>-29.092897</v>
      </c>
      <c r="S1933" s="68">
        <v>0.0023965301</v>
      </c>
      <c r="T1933" s="68">
        <v>0.0041773727</v>
      </c>
      <c r="U1933" s="68">
        <v>2.6429959E-4</v>
      </c>
      <c r="V1933" s="68">
        <v>-0.0020451422</v>
      </c>
      <c r="X1933" s="69">
        <v>-2.6867665E-5</v>
      </c>
    </row>
    <row r="1934" ht="12.75" customHeight="1">
      <c r="B1934" s="2"/>
      <c r="C1934" s="60"/>
      <c r="D1934" s="51"/>
      <c r="E1934" s="62"/>
      <c r="G1934" s="10"/>
      <c r="H1934" s="10"/>
      <c r="I1934" s="10"/>
      <c r="J1934" s="10"/>
      <c r="K1934" s="10"/>
      <c r="L1934" s="10"/>
      <c r="N1934" s="10"/>
      <c r="O1934" s="10"/>
      <c r="Q1934" s="67"/>
    </row>
    <row r="1935" ht="12.75" customHeight="1">
      <c r="B1935" s="2"/>
      <c r="C1935" s="60"/>
      <c r="D1935" s="75" t="s">
        <v>2616</v>
      </c>
      <c r="E1935" s="62"/>
      <c r="G1935" s="10"/>
      <c r="H1935" s="10"/>
      <c r="I1935" s="10"/>
      <c r="J1935" s="10"/>
      <c r="K1935" s="10"/>
      <c r="L1935" s="10"/>
      <c r="N1935" s="10"/>
      <c r="O1935" s="10"/>
      <c r="Q1935" s="67"/>
    </row>
    <row r="1936" ht="12.75" customHeight="1">
      <c r="A1936" s="1" t="s">
        <v>2617</v>
      </c>
      <c r="B1936" s="2" t="s">
        <v>2543</v>
      </c>
      <c r="C1936" s="60" t="str">
        <f t="shared" ref="C1936:C1942" si="421">MID(A1936,1,12)</f>
        <v>F.050.01.101</v>
      </c>
      <c r="D1936" s="51" t="s">
        <v>2616</v>
      </c>
      <c r="E1936" s="62" t="s">
        <v>45</v>
      </c>
      <c r="F1936" s="63" t="str">
        <f t="shared" ref="F1936:F1942" si="422">MID(A1936, 21,85)</f>
        <v>Hardwood 0% MC  Bamboo and Cork  combustion in small elec. power plant</v>
      </c>
      <c r="G1936" s="64">
        <v>-0.1534619060253</v>
      </c>
      <c r="H1936" s="10">
        <f t="shared" ref="H1936:H1942" si="423">G1936</f>
        <v>-0.153461906</v>
      </c>
      <c r="I1936" s="65">
        <v>9.046064090000001E-4</v>
      </c>
      <c r="J1936" s="65">
        <v>-5.962504743000002E-4</v>
      </c>
      <c r="K1936" s="65">
        <v>-0.00149686196</v>
      </c>
      <c r="L1936" s="65">
        <v>-0.1522734</v>
      </c>
      <c r="N1936" s="66">
        <v>-1.0151560000000002</v>
      </c>
      <c r="O1936" s="10">
        <f t="shared" ref="O1936:O1942" si="424">N1936</f>
        <v>-1.015156</v>
      </c>
      <c r="Q1936" s="67">
        <v>-15.04139</v>
      </c>
      <c r="S1936" s="68">
        <v>-0.017287938</v>
      </c>
      <c r="T1936" s="68">
        <v>-0.015502449</v>
      </c>
      <c r="U1936" s="68">
        <v>-7.2812526E-4</v>
      </c>
      <c r="V1936" s="68">
        <v>-0.001057364</v>
      </c>
      <c r="X1936" s="69">
        <v>-4.4900179E-5</v>
      </c>
    </row>
    <row r="1937" ht="12.75" customHeight="1">
      <c r="A1937" s="1" t="s">
        <v>2618</v>
      </c>
      <c r="B1937" s="2" t="s">
        <v>2543</v>
      </c>
      <c r="C1937" s="60" t="str">
        <f t="shared" si="421"/>
        <v>F.050.01.102</v>
      </c>
      <c r="D1937" s="51" t="s">
        <v>2616</v>
      </c>
      <c r="E1937" s="62" t="s">
        <v>45</v>
      </c>
      <c r="F1937" s="63" t="str">
        <f t="shared" si="422"/>
        <v>Hardwood 12% MC  Bamboo and Cork  combustion in small elec. power plant</v>
      </c>
      <c r="G1937" s="64">
        <v>-0.130749432601</v>
      </c>
      <c r="H1937" s="10">
        <f t="shared" si="423"/>
        <v>-0.1307494326</v>
      </c>
      <c r="I1937" s="65">
        <v>0.001819577339</v>
      </c>
      <c r="J1937" s="65">
        <v>7.150006100000005E-4</v>
      </c>
      <c r="K1937" s="65">
        <v>-0.00129744055</v>
      </c>
      <c r="L1937" s="65">
        <v>-0.13198657</v>
      </c>
      <c r="N1937" s="66">
        <v>-0.8799104666666667</v>
      </c>
      <c r="O1937" s="10">
        <f t="shared" si="424"/>
        <v>-0.8799104667</v>
      </c>
      <c r="Q1937" s="67">
        <v>-13.037481</v>
      </c>
      <c r="S1937" s="68">
        <v>-0.014777472</v>
      </c>
      <c r="T1937" s="68">
        <v>-0.013239249</v>
      </c>
      <c r="U1937" s="68">
        <v>-6.2172713E-4</v>
      </c>
      <c r="V1937" s="68">
        <v>-9.1649527E-4</v>
      </c>
      <c r="X1937" s="69">
        <v>-3.8288952E-5</v>
      </c>
    </row>
    <row r="1938" ht="12.75" customHeight="1">
      <c r="A1938" s="1" t="s">
        <v>2619</v>
      </c>
      <c r="B1938" s="2" t="s">
        <v>2543</v>
      </c>
      <c r="C1938" s="60" t="str">
        <f t="shared" si="421"/>
        <v>F.050.01.103</v>
      </c>
      <c r="D1938" s="51" t="s">
        <v>2616</v>
      </c>
      <c r="E1938" s="62" t="s">
        <v>45</v>
      </c>
      <c r="F1938" s="63" t="str">
        <f t="shared" si="422"/>
        <v>Hardwood fresh 50% MC  Bamboo and Cork  combustion in small elec. power plant</v>
      </c>
      <c r="G1938" s="64">
        <v>-0.056865501407</v>
      </c>
      <c r="H1938" s="10">
        <f t="shared" si="423"/>
        <v>-0.05686550141</v>
      </c>
      <c r="I1938" s="65">
        <v>0.0047959886690000005</v>
      </c>
      <c r="J1938" s="65">
        <v>0.0049805162</v>
      </c>
      <c r="K1938" s="65">
        <v>-6.487202760000001E-4</v>
      </c>
      <c r="L1938" s="65">
        <v>-0.065993286</v>
      </c>
      <c r="N1938" s="66">
        <v>-0.43995524</v>
      </c>
      <c r="O1938" s="10">
        <f t="shared" si="424"/>
        <v>-0.43995524</v>
      </c>
      <c r="Q1938" s="67">
        <v>-6.5187405</v>
      </c>
      <c r="S1938" s="68">
        <v>-0.0066108939</v>
      </c>
      <c r="T1938" s="68">
        <v>-0.0058770336</v>
      </c>
      <c r="U1938" s="68">
        <v>-2.7561273E-4</v>
      </c>
      <c r="V1938" s="68">
        <v>-4.5824763E-4</v>
      </c>
      <c r="X1938" s="69">
        <v>-1.6782551E-5</v>
      </c>
    </row>
    <row r="1939" ht="12.75" customHeight="1">
      <c r="A1939" s="1" t="s">
        <v>2620</v>
      </c>
      <c r="B1939" s="2" t="s">
        <v>2543</v>
      </c>
      <c r="C1939" s="60" t="str">
        <f t="shared" si="421"/>
        <v>F.050.01.104</v>
      </c>
      <c r="D1939" s="51" t="s">
        <v>2616</v>
      </c>
      <c r="E1939" s="62" t="s">
        <v>45</v>
      </c>
      <c r="F1939" s="63" t="str">
        <f t="shared" si="422"/>
        <v>Paper Cardboard Leather Cotton Wool  combustion in small elec. power plant</v>
      </c>
      <c r="G1939" s="64">
        <v>-0.1266447732598</v>
      </c>
      <c r="H1939" s="10">
        <f t="shared" si="423"/>
        <v>-0.1266447733</v>
      </c>
      <c r="I1939" s="65">
        <v>0.001984933528</v>
      </c>
      <c r="J1939" s="65">
        <v>9.519737322000003E-4</v>
      </c>
      <c r="K1939" s="65">
        <v>-0.00126140052</v>
      </c>
      <c r="L1939" s="65">
        <v>-0.12832028</v>
      </c>
      <c r="N1939" s="66">
        <v>-0.8554685333333334</v>
      </c>
      <c r="O1939" s="10">
        <f t="shared" si="424"/>
        <v>-0.8554685333</v>
      </c>
      <c r="Q1939" s="67">
        <v>-12.675329</v>
      </c>
      <c r="S1939" s="68">
        <v>-0.014323773</v>
      </c>
      <c r="T1939" s="68">
        <v>-0.012830237</v>
      </c>
      <c r="U1939" s="68">
        <v>-6.0249855E-4</v>
      </c>
      <c r="V1939" s="68">
        <v>-8.9103707E-4</v>
      </c>
      <c r="X1939" s="69">
        <v>-3.7094152E-5</v>
      </c>
    </row>
    <row r="1940" ht="12.75" customHeight="1">
      <c r="A1940" s="1" t="s">
        <v>2621</v>
      </c>
      <c r="B1940" s="2" t="s">
        <v>2543</v>
      </c>
      <c r="C1940" s="60" t="str">
        <f t="shared" si="421"/>
        <v>F.050.01.105</v>
      </c>
      <c r="D1940" s="51" t="s">
        <v>2616</v>
      </c>
      <c r="E1940" s="62" t="s">
        <v>45</v>
      </c>
      <c r="F1940" s="63" t="str">
        <f t="shared" si="422"/>
        <v>Softwood 0% MC  combustion in small elec. power plant</v>
      </c>
      <c r="G1940" s="64">
        <v>-0.1560756143921</v>
      </c>
      <c r="H1940" s="10">
        <f t="shared" si="423"/>
        <v>-0.1560756144</v>
      </c>
      <c r="I1940" s="65">
        <v>0.001078321502</v>
      </c>
      <c r="J1940" s="65">
        <v>-4.2181189409999957E-4</v>
      </c>
      <c r="K1940" s="65">
        <v>-0.001525694</v>
      </c>
      <c r="L1940" s="65">
        <v>-0.15520643</v>
      </c>
      <c r="N1940" s="66">
        <v>-1.0347095333333334</v>
      </c>
      <c r="O1940" s="10">
        <f t="shared" si="424"/>
        <v>-1.034709533</v>
      </c>
      <c r="Q1940" s="67">
        <v>-15.331112</v>
      </c>
      <c r="S1940" s="68">
        <v>-0.01758965</v>
      </c>
      <c r="T1940" s="68">
        <v>-0.015771187</v>
      </c>
      <c r="U1940" s="68">
        <v>-7.4073246E-4</v>
      </c>
      <c r="V1940" s="68">
        <v>-0.0010777305</v>
      </c>
      <c r="X1940" s="69">
        <v>-4.567004E-5</v>
      </c>
    </row>
    <row r="1941" ht="12.75" customHeight="1">
      <c r="A1941" s="1" t="s">
        <v>2622</v>
      </c>
      <c r="B1941" s="2" t="s">
        <v>2543</v>
      </c>
      <c r="C1941" s="60" t="str">
        <f t="shared" si="421"/>
        <v>F.050.01.106</v>
      </c>
      <c r="D1941" s="51" t="s">
        <v>2616</v>
      </c>
      <c r="E1941" s="62" t="s">
        <v>45</v>
      </c>
      <c r="F1941" s="63" t="str">
        <f t="shared" si="422"/>
        <v>Softwood 12% MC  combustion in small elec. power plant</v>
      </c>
      <c r="G1941" s="64">
        <v>-0.1314476387817</v>
      </c>
      <c r="H1941" s="10">
        <f t="shared" si="423"/>
        <v>-0.1314476388</v>
      </c>
      <c r="I1941" s="65">
        <v>0.0020704586089999996</v>
      </c>
      <c r="J1941" s="65">
        <v>0.0010000265393000003</v>
      </c>
      <c r="K1941" s="65">
        <v>-0.0013094539299999999</v>
      </c>
      <c r="L1941" s="65">
        <v>-0.13320867</v>
      </c>
      <c r="N1941" s="66">
        <v>-0.8880578</v>
      </c>
      <c r="O1941" s="10">
        <f t="shared" si="424"/>
        <v>-0.8880578</v>
      </c>
      <c r="Q1941" s="67">
        <v>-13.158198</v>
      </c>
      <c r="S1941" s="68">
        <v>-0.014867457</v>
      </c>
      <c r="T1941" s="68">
        <v>-0.013317115</v>
      </c>
      <c r="U1941" s="68">
        <v>-6.25361E-4</v>
      </c>
      <c r="V1941" s="68">
        <v>-9.2498134E-4</v>
      </c>
      <c r="X1941" s="69">
        <v>-3.850124E-5</v>
      </c>
    </row>
    <row r="1942" ht="12.75" customHeight="1">
      <c r="A1942" s="1" t="s">
        <v>2623</v>
      </c>
      <c r="B1942" s="2" t="s">
        <v>2543</v>
      </c>
      <c r="C1942" s="60" t="str">
        <f t="shared" si="421"/>
        <v>F.050.01.107</v>
      </c>
      <c r="D1942" s="51" t="s">
        <v>2616</v>
      </c>
      <c r="E1942" s="62" t="s">
        <v>45</v>
      </c>
      <c r="F1942" s="63" t="str">
        <f t="shared" si="422"/>
        <v>Softwood fresh  50% MC  combustion in small elec. power plant</v>
      </c>
      <c r="G1942" s="64">
        <v>-0.057016416285399996</v>
      </c>
      <c r="H1942" s="10">
        <f t="shared" si="423"/>
        <v>-0.05701641629</v>
      </c>
      <c r="I1942" s="65">
        <v>0.005068917398000001</v>
      </c>
      <c r="J1942" s="65">
        <v>0.0052971385976</v>
      </c>
      <c r="K1942" s="65">
        <v>-6.55928281E-4</v>
      </c>
      <c r="L1942" s="65">
        <v>-0.066726544</v>
      </c>
      <c r="N1942" s="66">
        <v>-0.44484362666666666</v>
      </c>
      <c r="O1942" s="10">
        <f t="shared" si="424"/>
        <v>-0.4448436267</v>
      </c>
      <c r="Q1942" s="67">
        <v>-6.5911709</v>
      </c>
      <c r="S1942" s="68">
        <v>-0.0066403863</v>
      </c>
      <c r="T1942" s="68">
        <v>-0.0059003642</v>
      </c>
      <c r="U1942" s="68">
        <v>-2.7668279E-4</v>
      </c>
      <c r="V1942" s="68">
        <v>-4.6333928E-4</v>
      </c>
      <c r="X1942" s="69">
        <v>-1.6835533E-5</v>
      </c>
    </row>
    <row r="1943" ht="12.75" customHeight="1">
      <c r="B1943" s="2"/>
      <c r="C1943" s="60"/>
      <c r="D1943" s="51"/>
      <c r="E1943" s="62"/>
      <c r="G1943" s="10"/>
      <c r="H1943" s="10"/>
      <c r="I1943" s="10"/>
      <c r="J1943" s="10"/>
      <c r="K1943" s="10"/>
      <c r="L1943" s="10"/>
      <c r="N1943" s="10"/>
      <c r="O1943" s="10"/>
      <c r="Q1943" s="67"/>
    </row>
    <row r="1944" ht="12.75" customHeight="1">
      <c r="B1944" s="2"/>
      <c r="C1944" s="60"/>
      <c r="D1944" s="75" t="s">
        <v>2624</v>
      </c>
      <c r="E1944" s="62"/>
      <c r="G1944" s="10"/>
      <c r="H1944" s="10"/>
      <c r="I1944" s="10"/>
      <c r="J1944" s="10"/>
      <c r="K1944" s="10"/>
      <c r="L1944" s="10"/>
      <c r="N1944" s="10"/>
      <c r="O1944" s="10"/>
      <c r="Q1944" s="67"/>
    </row>
    <row r="1945" ht="12.75" customHeight="1">
      <c r="A1945" s="1" t="s">
        <v>2625</v>
      </c>
      <c r="B1945" s="2" t="s">
        <v>2543</v>
      </c>
      <c r="C1945" s="60" t="str">
        <f t="shared" ref="C1945:C1952" si="425">MID(A1945,1,12)</f>
        <v>F.070.01.101</v>
      </c>
      <c r="D1945" s="51" t="s">
        <v>2624</v>
      </c>
      <c r="E1945" s="62" t="s">
        <v>45</v>
      </c>
      <c r="F1945" s="63" t="str">
        <f t="shared" ref="F1945:F1952" si="426">MID(A1945, 21,85)</f>
        <v>BR and IIR (Butyl rubber) waste incineration with electricity</v>
      </c>
      <c r="G1945" s="64">
        <v>0.2147613114242</v>
      </c>
      <c r="H1945" s="10">
        <f t="shared" ref="H1945:H2018" si="427">G1945</f>
        <v>0.2147613114</v>
      </c>
      <c r="I1945" s="65">
        <v>0.0030938434399999997</v>
      </c>
      <c r="J1945" s="65">
        <v>3.504572741999997E-4</v>
      </c>
      <c r="K1945" s="65">
        <v>-0.0029805092900000003</v>
      </c>
      <c r="L1945" s="65">
        <v>0.21429752</v>
      </c>
      <c r="N1945" s="66">
        <v>1.4286501333333332</v>
      </c>
      <c r="O1945" s="10">
        <f t="shared" ref="O1945:O2022" si="428">N1945</f>
        <v>1.428650133</v>
      </c>
      <c r="Q1945" s="67">
        <v>-29.949991</v>
      </c>
      <c r="S1945" s="68">
        <v>0.021850293</v>
      </c>
      <c r="T1945" s="68">
        <v>0.022781648</v>
      </c>
      <c r="U1945" s="68">
        <v>0.001174038</v>
      </c>
      <c r="V1945" s="68">
        <v>-0.0021053933</v>
      </c>
      <c r="X1945" s="69">
        <v>7.5768038E-6</v>
      </c>
    </row>
    <row r="1946" ht="12.75" customHeight="1">
      <c r="A1946" s="1" t="s">
        <v>2626</v>
      </c>
      <c r="B1946" s="2" t="s">
        <v>2543</v>
      </c>
      <c r="C1946" s="60" t="str">
        <f t="shared" si="425"/>
        <v>F.070.01.102</v>
      </c>
      <c r="D1946" s="51" t="s">
        <v>2624</v>
      </c>
      <c r="E1946" s="62" t="s">
        <v>45</v>
      </c>
      <c r="F1946" s="63" t="str">
        <f t="shared" si="426"/>
        <v>EVA (Ethylene vinyl acetate) waste incineration with electricity</v>
      </c>
      <c r="G1946" s="64">
        <v>0.1419281746104</v>
      </c>
      <c r="H1946" s="10">
        <f t="shared" si="427"/>
        <v>0.1419281746</v>
      </c>
      <c r="I1946" s="65">
        <v>0.005593022529999999</v>
      </c>
      <c r="J1946" s="65">
        <v>0.004304616350400001</v>
      </c>
      <c r="K1946" s="65">
        <v>-0.0021023342699999998</v>
      </c>
      <c r="L1946" s="65">
        <v>0.13413287</v>
      </c>
      <c r="N1946" s="66">
        <v>0.8942191333333332</v>
      </c>
      <c r="O1946" s="10">
        <f t="shared" si="428"/>
        <v>0.8942191333</v>
      </c>
      <c r="Q1946" s="67">
        <v>-21.125548</v>
      </c>
      <c r="S1946" s="68">
        <v>0.014252298</v>
      </c>
      <c r="T1946" s="68">
        <v>0.014964233</v>
      </c>
      <c r="U1946" s="68">
        <v>7.7312704E-4</v>
      </c>
      <c r="V1946" s="68">
        <v>-0.0014850618</v>
      </c>
      <c r="X1946" s="69">
        <v>4.2528077E-6</v>
      </c>
    </row>
    <row r="1947" ht="12.75" customHeight="1">
      <c r="A1947" s="1" t="s">
        <v>2627</v>
      </c>
      <c r="B1947" s="2" t="s">
        <v>2543</v>
      </c>
      <c r="C1947" s="60" t="str">
        <f t="shared" si="425"/>
        <v>F.070.01.103</v>
      </c>
      <c r="D1947" s="51" t="s">
        <v>2624</v>
      </c>
      <c r="E1947" s="62" t="s">
        <v>45</v>
      </c>
      <c r="F1947" s="63" t="str">
        <f t="shared" si="426"/>
        <v>IR (Polyisoprene rubber) waste incineration with electricity</v>
      </c>
      <c r="G1947" s="64">
        <v>0.1887454693755</v>
      </c>
      <c r="H1947" s="10">
        <f t="shared" si="427"/>
        <v>0.1887454694</v>
      </c>
      <c r="I1947" s="65">
        <v>0.00309156589</v>
      </c>
      <c r="J1947" s="65">
        <v>4.0680408549999915E-4</v>
      </c>
      <c r="K1947" s="65">
        <v>-0.0029276506</v>
      </c>
      <c r="L1947" s="65">
        <v>0.18817475</v>
      </c>
      <c r="N1947" s="66">
        <v>1.2544983333333335</v>
      </c>
      <c r="O1947" s="10">
        <f t="shared" si="428"/>
        <v>1.254498333</v>
      </c>
      <c r="Q1947" s="67">
        <v>-29.418834</v>
      </c>
      <c r="S1947" s="68">
        <v>0.019057122</v>
      </c>
      <c r="T1947" s="68">
        <v>0.020084156</v>
      </c>
      <c r="U1947" s="68">
        <v>0.0010410198</v>
      </c>
      <c r="V1947" s="68">
        <v>-0.0020680546</v>
      </c>
      <c r="X1947" s="69">
        <v>3.3250373E-6</v>
      </c>
    </row>
    <row r="1948" ht="12.75" customHeight="1">
      <c r="A1948" s="1" t="s">
        <v>2628</v>
      </c>
      <c r="B1948" s="2" t="s">
        <v>2543</v>
      </c>
      <c r="C1948" s="60" t="str">
        <f t="shared" si="425"/>
        <v>F.070.01.104</v>
      </c>
      <c r="D1948" s="51" t="s">
        <v>2624</v>
      </c>
      <c r="E1948" s="62" t="s">
        <v>45</v>
      </c>
      <c r="F1948" s="63" t="str">
        <f t="shared" si="426"/>
        <v>Natural rubber waste incineration with electricity</v>
      </c>
      <c r="G1948" s="64">
        <v>-0.2768680363655</v>
      </c>
      <c r="H1948" s="10">
        <f t="shared" si="427"/>
        <v>-0.2768680364</v>
      </c>
      <c r="I1948" s="65">
        <v>0.003912834939999999</v>
      </c>
      <c r="J1948" s="65">
        <v>0.0015837704944999995</v>
      </c>
      <c r="K1948" s="65">
        <v>-0.0027486518</v>
      </c>
      <c r="L1948" s="65">
        <v>-0.27961599</v>
      </c>
      <c r="N1948" s="66">
        <v>-1.8641066</v>
      </c>
      <c r="O1948" s="10">
        <f t="shared" si="428"/>
        <v>-1.8641066</v>
      </c>
      <c r="Q1948" s="67">
        <v>-27.620145</v>
      </c>
      <c r="S1948" s="68">
        <v>-0.031294733</v>
      </c>
      <c r="T1948" s="68">
        <v>-0.028036507</v>
      </c>
      <c r="U1948" s="68">
        <v>-0.0013166141</v>
      </c>
      <c r="V1948" s="68">
        <v>-0.0019416122</v>
      </c>
      <c r="X1948" s="69">
        <v>-8.1080586E-5</v>
      </c>
    </row>
    <row r="1949" ht="12.75" customHeight="1">
      <c r="A1949" s="1" t="s">
        <v>2629</v>
      </c>
      <c r="B1949" s="2" t="s">
        <v>2543</v>
      </c>
      <c r="C1949" s="60" t="str">
        <f t="shared" si="425"/>
        <v>F.070.01.105</v>
      </c>
      <c r="D1949" s="51" t="s">
        <v>2624</v>
      </c>
      <c r="E1949" s="62" t="s">
        <v>45</v>
      </c>
      <c r="F1949" s="63" t="str">
        <f t="shared" si="426"/>
        <v>Polychloroprene (Neoprene  CR) waste incineration with electricity</v>
      </c>
      <c r="G1949" s="64">
        <v>0.6484107719068</v>
      </c>
      <c r="H1949" s="10">
        <f t="shared" si="427"/>
        <v>0.6484107719</v>
      </c>
      <c r="I1949" s="65">
        <v>0.059703632413</v>
      </c>
      <c r="J1949" s="65">
        <v>0.4571823841538</v>
      </c>
      <c r="K1949" s="65">
        <v>-0.00162540466</v>
      </c>
      <c r="L1949" s="65">
        <v>0.13315016</v>
      </c>
      <c r="N1949" s="66">
        <v>0.8876677333333333</v>
      </c>
      <c r="O1949" s="10">
        <f t="shared" si="428"/>
        <v>0.8876677333</v>
      </c>
      <c r="Q1949" s="67">
        <v>-16.333066</v>
      </c>
      <c r="S1949" s="68">
        <v>0.013158879</v>
      </c>
      <c r="T1949" s="68">
        <v>0.013608144</v>
      </c>
      <c r="U1949" s="68">
        <v>6.9890016E-4</v>
      </c>
      <c r="V1949" s="68">
        <v>-0.0011481649</v>
      </c>
      <c r="X1949" s="69">
        <v>9.9581057E-5</v>
      </c>
    </row>
    <row r="1950" ht="12.75" customHeight="1">
      <c r="A1950" s="1" t="s">
        <v>2630</v>
      </c>
      <c r="B1950" s="2" t="s">
        <v>2543</v>
      </c>
      <c r="C1950" s="60" t="str">
        <f t="shared" si="425"/>
        <v>F.070.01.106</v>
      </c>
      <c r="D1950" s="51" t="s">
        <v>2624</v>
      </c>
      <c r="E1950" s="62" t="s">
        <v>45</v>
      </c>
      <c r="F1950" s="63" t="str">
        <f t="shared" si="426"/>
        <v>PU (Polyurethane) waste incineration with electricity</v>
      </c>
      <c r="G1950" s="64">
        <v>0.1898238078952</v>
      </c>
      <c r="H1950" s="10">
        <f t="shared" si="427"/>
        <v>0.1898238079</v>
      </c>
      <c r="I1950" s="65">
        <v>0.00143636503</v>
      </c>
      <c r="J1950" s="65">
        <v>-6.240289347999993E-4</v>
      </c>
      <c r="K1950" s="65">
        <v>-0.0020879182</v>
      </c>
      <c r="L1950" s="65">
        <v>0.19109939</v>
      </c>
      <c r="N1950" s="66">
        <v>1.2739959333333335</v>
      </c>
      <c r="O1950" s="10">
        <f t="shared" si="428"/>
        <v>1.273995933</v>
      </c>
      <c r="Q1950" s="67">
        <v>-20.980687</v>
      </c>
      <c r="S1950" s="68">
        <v>0.01959595</v>
      </c>
      <c r="T1950" s="68">
        <v>0.020048172</v>
      </c>
      <c r="U1950" s="68">
        <v>0.0010226565</v>
      </c>
      <c r="V1950" s="68">
        <v>-0.0014748785</v>
      </c>
      <c r="X1950" s="69">
        <v>1.2480809E-5</v>
      </c>
    </row>
    <row r="1951" ht="12.75" customHeight="1">
      <c r="A1951" s="1" t="s">
        <v>2631</v>
      </c>
      <c r="B1951" s="2" t="s">
        <v>2543</v>
      </c>
      <c r="C1951" s="60" t="str">
        <f t="shared" si="425"/>
        <v>F.070.01.107</v>
      </c>
      <c r="D1951" s="51" t="s">
        <v>2624</v>
      </c>
      <c r="E1951" s="62" t="s">
        <v>45</v>
      </c>
      <c r="F1951" s="63" t="str">
        <f t="shared" si="426"/>
        <v>SBR (Styrene butadiene rubber) waste incineration with electricity</v>
      </c>
      <c r="G1951" s="64">
        <v>0.2501982297014</v>
      </c>
      <c r="H1951" s="10">
        <f t="shared" si="427"/>
        <v>0.2501982297</v>
      </c>
      <c r="I1951" s="65">
        <v>0.00452141862</v>
      </c>
      <c r="J1951" s="65">
        <v>0.002396324841399999</v>
      </c>
      <c r="K1951" s="65">
        <v>-0.00266936376</v>
      </c>
      <c r="L1951" s="65">
        <v>0.24594985</v>
      </c>
      <c r="N1951" s="66">
        <v>1.6396656666666667</v>
      </c>
      <c r="O1951" s="10">
        <f t="shared" si="428"/>
        <v>1.639665667</v>
      </c>
      <c r="Q1951" s="67">
        <v>-26.82341</v>
      </c>
      <c r="S1951" s="68">
        <v>0.025767225</v>
      </c>
      <c r="T1951" s="68">
        <v>0.026312785</v>
      </c>
      <c r="U1951" s="68">
        <v>0.0013400447</v>
      </c>
      <c r="V1951" s="68">
        <v>-0.0018856042</v>
      </c>
      <c r="X1951" s="69">
        <v>1.7891911E-5</v>
      </c>
    </row>
    <row r="1952" ht="12.75" customHeight="1">
      <c r="A1952" s="1" t="s">
        <v>2632</v>
      </c>
      <c r="B1952" s="2" t="s">
        <v>2543</v>
      </c>
      <c r="C1952" s="60" t="str">
        <f t="shared" si="425"/>
        <v>F.070.01.108</v>
      </c>
      <c r="D1952" s="51" t="s">
        <v>2624</v>
      </c>
      <c r="E1952" s="62" t="s">
        <v>45</v>
      </c>
      <c r="F1952" s="63" t="str">
        <f t="shared" si="426"/>
        <v>Silicone rubbers waste incineration with electricity</v>
      </c>
      <c r="G1952" s="64">
        <v>0.1442418941989</v>
      </c>
      <c r="H1952" s="10">
        <f t="shared" si="427"/>
        <v>0.1442418942</v>
      </c>
      <c r="I1952" s="65">
        <v>-0.001043521314</v>
      </c>
      <c r="J1952" s="65">
        <v>-0.0027473079371</v>
      </c>
      <c r="K1952" s="65">
        <v>-0.0013478965499999999</v>
      </c>
      <c r="L1952" s="65">
        <v>0.14938062</v>
      </c>
      <c r="N1952" s="66">
        <v>0.9958708</v>
      </c>
      <c r="O1952" s="10">
        <f t="shared" si="428"/>
        <v>0.9958708</v>
      </c>
      <c r="Q1952" s="67">
        <v>-13.544494</v>
      </c>
      <c r="S1952" s="68">
        <v>0.015071727</v>
      </c>
      <c r="T1952" s="68">
        <v>0.015250243</v>
      </c>
      <c r="U1952" s="68">
        <v>7.7362093E-4</v>
      </c>
      <c r="V1952" s="68">
        <v>-9.5213675E-4</v>
      </c>
      <c r="X1952" s="69">
        <v>1.1694783E-5</v>
      </c>
    </row>
    <row r="1953" ht="12.75" customHeight="1">
      <c r="B1953" s="2"/>
      <c r="C1953" s="60"/>
      <c r="D1953" s="75" t="s">
        <v>2633</v>
      </c>
      <c r="E1953" s="62"/>
      <c r="G1953" s="10"/>
      <c r="H1953" s="10" t="str">
        <f t="shared" si="427"/>
        <v/>
      </c>
      <c r="I1953" s="10"/>
      <c r="J1953" s="10"/>
      <c r="K1953" s="10"/>
      <c r="L1953" s="10"/>
      <c r="N1953" s="10"/>
      <c r="O1953" s="10" t="str">
        <f t="shared" si="428"/>
        <v/>
      </c>
      <c r="Q1953" s="67"/>
    </row>
    <row r="1954" ht="12.75" customHeight="1">
      <c r="A1954" s="1" t="s">
        <v>2634</v>
      </c>
      <c r="B1954" s="2" t="s">
        <v>2543</v>
      </c>
      <c r="C1954" s="60" t="str">
        <f t="shared" ref="C1954:C1967" si="429">MID(A1954,1,12)</f>
        <v>F.080.01.101</v>
      </c>
      <c r="D1954" s="51" t="s">
        <v>2633</v>
      </c>
      <c r="E1954" s="62" t="s">
        <v>45</v>
      </c>
      <c r="F1954" s="63" t="str">
        <f t="shared" ref="F1954:F1967" si="430">MID(A1954, 21,85)</f>
        <v>CFRP (50%) waste incineration with electricity</v>
      </c>
      <c r="G1954" s="64">
        <v>0.1019196718524</v>
      </c>
      <c r="H1954" s="10">
        <f t="shared" si="427"/>
        <v>0.1019196719</v>
      </c>
      <c r="I1954" s="65">
        <v>0.0015236674550000002</v>
      </c>
      <c r="J1954" s="65">
        <v>6.784014974000001E-4</v>
      </c>
      <c r="K1954" s="65">
        <v>-0.0010151271</v>
      </c>
      <c r="L1954" s="65">
        <v>0.10073273</v>
      </c>
      <c r="N1954" s="66">
        <v>0.6715515333333334</v>
      </c>
      <c r="O1954" s="10">
        <f t="shared" si="428"/>
        <v>0.6715515333</v>
      </c>
      <c r="Q1954" s="67">
        <v>-10.200622</v>
      </c>
      <c r="S1954" s="68">
        <v>0.010539221</v>
      </c>
      <c r="T1954" s="68">
        <v>0.010712119</v>
      </c>
      <c r="U1954" s="68">
        <v>5.4417465E-4</v>
      </c>
      <c r="V1954" s="68">
        <v>-7.1707269E-4</v>
      </c>
      <c r="X1954" s="69">
        <v>8.0236365E-6</v>
      </c>
    </row>
    <row r="1955" ht="12.75" customHeight="1">
      <c r="A1955" s="1" t="s">
        <v>2635</v>
      </c>
      <c r="B1955" s="2" t="s">
        <v>2543</v>
      </c>
      <c r="C1955" s="60" t="str">
        <f t="shared" si="429"/>
        <v>F.080.01.102</v>
      </c>
      <c r="D1955" s="51" t="s">
        <v>2633</v>
      </c>
      <c r="E1955" s="62" t="s">
        <v>45</v>
      </c>
      <c r="F1955" s="63" t="str">
        <f t="shared" si="430"/>
        <v>DMC (50%) waste incineration with electricity</v>
      </c>
      <c r="G1955" s="64">
        <v>0.1019196718524</v>
      </c>
      <c r="H1955" s="10">
        <f t="shared" si="427"/>
        <v>0.1019196719</v>
      </c>
      <c r="I1955" s="65">
        <v>0.0015236674550000002</v>
      </c>
      <c r="J1955" s="65">
        <v>6.784014974000001E-4</v>
      </c>
      <c r="K1955" s="65">
        <v>-0.0010151271</v>
      </c>
      <c r="L1955" s="65">
        <v>0.10073273</v>
      </c>
      <c r="N1955" s="66">
        <v>0.6715515333333334</v>
      </c>
      <c r="O1955" s="10">
        <f t="shared" si="428"/>
        <v>0.6715515333</v>
      </c>
      <c r="Q1955" s="67">
        <v>-10.200622</v>
      </c>
      <c r="S1955" s="68">
        <v>0.010539221</v>
      </c>
      <c r="T1955" s="68">
        <v>0.010712119</v>
      </c>
      <c r="U1955" s="68">
        <v>5.4417465E-4</v>
      </c>
      <c r="V1955" s="68">
        <v>-7.1707269E-4</v>
      </c>
      <c r="X1955" s="69">
        <v>8.0236365E-6</v>
      </c>
    </row>
    <row r="1956" ht="12.75" customHeight="1">
      <c r="A1956" s="1" t="s">
        <v>2636</v>
      </c>
      <c r="B1956" s="2" t="s">
        <v>2543</v>
      </c>
      <c r="C1956" s="60" t="str">
        <f t="shared" si="429"/>
        <v>F.080.01.103</v>
      </c>
      <c r="D1956" s="51" t="s">
        <v>2633</v>
      </c>
      <c r="E1956" s="62" t="s">
        <v>45</v>
      </c>
      <c r="F1956" s="63" t="str">
        <f t="shared" si="430"/>
        <v>Flexible Polymer Foam waste incineration with electricity</v>
      </c>
      <c r="G1956" s="64">
        <v>0.2030771138115</v>
      </c>
      <c r="H1956" s="10">
        <f t="shared" si="427"/>
        <v>0.2030771138</v>
      </c>
      <c r="I1956" s="65">
        <v>-3.7339653E-4</v>
      </c>
      <c r="J1956" s="65">
        <v>-0.0025916955385</v>
      </c>
      <c r="K1956" s="65">
        <v>-0.00192213412</v>
      </c>
      <c r="L1956" s="65">
        <v>0.20796434</v>
      </c>
      <c r="N1956" s="66">
        <v>1.3864289333333333</v>
      </c>
      <c r="O1956" s="10">
        <f t="shared" si="428"/>
        <v>1.386428933</v>
      </c>
      <c r="Q1956" s="67">
        <v>-19.314787</v>
      </c>
      <c r="S1956" s="68">
        <v>0.021168487</v>
      </c>
      <c r="T1956" s="68">
        <v>0.021438465</v>
      </c>
      <c r="U1956" s="68">
        <v>0.0010877924</v>
      </c>
      <c r="V1956" s="68">
        <v>-0.0013577708</v>
      </c>
      <c r="X1956" s="69">
        <v>1.6414671E-5</v>
      </c>
    </row>
    <row r="1957" ht="12.75" customHeight="1">
      <c r="A1957" s="1" t="s">
        <v>2637</v>
      </c>
      <c r="B1957" s="2" t="s">
        <v>2543</v>
      </c>
      <c r="C1957" s="60" t="str">
        <f t="shared" si="429"/>
        <v>F.080.01.104</v>
      </c>
      <c r="D1957" s="51" t="s">
        <v>2633</v>
      </c>
      <c r="E1957" s="62" t="s">
        <v>45</v>
      </c>
      <c r="F1957" s="63" t="str">
        <f t="shared" si="430"/>
        <v>GFRP (50%) waste incineration with electricity</v>
      </c>
      <c r="G1957" s="64">
        <v>0.1019196718524</v>
      </c>
      <c r="H1957" s="10">
        <f t="shared" si="427"/>
        <v>0.1019196719</v>
      </c>
      <c r="I1957" s="65">
        <v>0.0015236674550000002</v>
      </c>
      <c r="J1957" s="65">
        <v>6.784014974000001E-4</v>
      </c>
      <c r="K1957" s="65">
        <v>-0.0010151271</v>
      </c>
      <c r="L1957" s="65">
        <v>0.10073273</v>
      </c>
      <c r="N1957" s="66">
        <v>0.6715515333333334</v>
      </c>
      <c r="O1957" s="10">
        <f t="shared" si="428"/>
        <v>0.6715515333</v>
      </c>
      <c r="Q1957" s="67">
        <v>-10.200622</v>
      </c>
      <c r="S1957" s="68">
        <v>0.010539221</v>
      </c>
      <c r="T1957" s="68">
        <v>0.010712119</v>
      </c>
      <c r="U1957" s="68">
        <v>5.4417465E-4</v>
      </c>
      <c r="V1957" s="68">
        <v>-7.1707269E-4</v>
      </c>
      <c r="X1957" s="69">
        <v>8.0236365E-6</v>
      </c>
    </row>
    <row r="1958" ht="12.75" customHeight="1">
      <c r="A1958" s="1" t="s">
        <v>2638</v>
      </c>
      <c r="B1958" s="2" t="s">
        <v>2543</v>
      </c>
      <c r="C1958" s="60" t="str">
        <f t="shared" si="429"/>
        <v>F.080.01.105</v>
      </c>
      <c r="D1958" s="51" t="s">
        <v>2633</v>
      </c>
      <c r="E1958" s="62" t="s">
        <v>45</v>
      </c>
      <c r="F1958" s="63" t="str">
        <f t="shared" si="430"/>
        <v>Hardwood 0%MC  Bamboo and Cork  waste incineration with electricity</v>
      </c>
      <c r="G1958" s="64">
        <v>-0.11693039923149999</v>
      </c>
      <c r="H1958" s="10">
        <f t="shared" si="427"/>
        <v>-0.1169303992</v>
      </c>
      <c r="I1958" s="65">
        <v>0.0023762765389999997</v>
      </c>
      <c r="J1958" s="65">
        <v>0.0015128100695000004</v>
      </c>
      <c r="K1958" s="65">
        <v>-0.0011761058399999999</v>
      </c>
      <c r="L1958" s="65">
        <v>-0.11964338</v>
      </c>
      <c r="N1958" s="66">
        <v>-0.7976225333333333</v>
      </c>
      <c r="O1958" s="10">
        <f t="shared" si="428"/>
        <v>-0.7976225333</v>
      </c>
      <c r="Q1958" s="67">
        <v>-11.818235</v>
      </c>
      <c r="S1958" s="68">
        <v>-0.013250019</v>
      </c>
      <c r="T1958" s="68">
        <v>-0.011862242</v>
      </c>
      <c r="U1958" s="68">
        <v>-5.5699092E-4</v>
      </c>
      <c r="V1958" s="68">
        <v>-8.3078599E-4</v>
      </c>
      <c r="X1958" s="69">
        <v>-3.4266458E-5</v>
      </c>
    </row>
    <row r="1959" ht="12.75" customHeight="1">
      <c r="A1959" s="1" t="s">
        <v>2639</v>
      </c>
      <c r="B1959" s="2" t="s">
        <v>2543</v>
      </c>
      <c r="C1959" s="60" t="str">
        <f t="shared" si="429"/>
        <v>F.080.01.106</v>
      </c>
      <c r="D1959" s="51" t="s">
        <v>2633</v>
      </c>
      <c r="E1959" s="62" t="s">
        <v>45</v>
      </c>
      <c r="F1959" s="63" t="str">
        <f t="shared" si="430"/>
        <v>Hardwood 12%MC  Bamboo and Cork  waste incineration with electricity</v>
      </c>
      <c r="G1959" s="64">
        <v>-0.0985962397476</v>
      </c>
      <c r="H1959" s="10">
        <f t="shared" si="427"/>
        <v>-0.09859623975</v>
      </c>
      <c r="I1959" s="65">
        <v>0.0031148674550000002</v>
      </c>
      <c r="J1959" s="65">
        <v>0.0025712898974000003</v>
      </c>
      <c r="K1959" s="65">
        <v>-0.0010151271</v>
      </c>
      <c r="L1959" s="65">
        <v>-0.10326727</v>
      </c>
      <c r="N1959" s="66">
        <v>-0.6884484666666667</v>
      </c>
      <c r="O1959" s="10">
        <f t="shared" si="428"/>
        <v>-0.6884484667</v>
      </c>
      <c r="Q1959" s="67">
        <v>-10.200622</v>
      </c>
      <c r="S1959" s="68">
        <v>-0.011223498</v>
      </c>
      <c r="T1959" s="68">
        <v>-0.010035322</v>
      </c>
      <c r="U1959" s="68">
        <v>-4.7110327E-4</v>
      </c>
      <c r="V1959" s="68">
        <v>-7.1707269E-4</v>
      </c>
      <c r="X1959" s="69">
        <v>-2.8929685E-5</v>
      </c>
    </row>
    <row r="1960" ht="12.75" customHeight="1">
      <c r="A1960" s="1" t="s">
        <v>2640</v>
      </c>
      <c r="B1960" s="2" t="s">
        <v>2543</v>
      </c>
      <c r="C1960" s="60" t="str">
        <f t="shared" si="429"/>
        <v>F.080.01.107</v>
      </c>
      <c r="D1960" s="51" t="s">
        <v>2633</v>
      </c>
      <c r="E1960" s="62" t="s">
        <v>45</v>
      </c>
      <c r="F1960" s="63" t="str">
        <f t="shared" si="430"/>
        <v>Hardwood fresh  50%MC  Bamboo and Cork  waste incineration with electricity</v>
      </c>
      <c r="G1960" s="64">
        <v>-0.0409941373694</v>
      </c>
      <c r="H1960" s="10">
        <f t="shared" si="427"/>
        <v>-0.04099413737</v>
      </c>
      <c r="I1960" s="65">
        <v>0.005435365959</v>
      </c>
      <c r="J1960" s="65">
        <v>0.0058968122206</v>
      </c>
      <c r="K1960" s="65">
        <v>-5.09365549E-4</v>
      </c>
      <c r="L1960" s="65">
        <v>-0.05181695</v>
      </c>
      <c r="N1960" s="66">
        <v>-0.34544633333333336</v>
      </c>
      <c r="O1960" s="10">
        <f t="shared" si="428"/>
        <v>-0.3454463333</v>
      </c>
      <c r="Q1960" s="67">
        <v>-5.1184184</v>
      </c>
      <c r="S1960" s="68">
        <v>-0.004856592</v>
      </c>
      <c r="T1960" s="68">
        <v>-0.0042955206</v>
      </c>
      <c r="U1960" s="68">
        <v>-2.0126223E-4</v>
      </c>
      <c r="V1960" s="68">
        <v>-3.5980925E-4</v>
      </c>
      <c r="X1960" s="69">
        <v>-1.2162658E-5</v>
      </c>
    </row>
    <row r="1961" ht="12.75" customHeight="1">
      <c r="A1961" s="1" t="s">
        <v>2641</v>
      </c>
      <c r="B1961" s="2" t="s">
        <v>2543</v>
      </c>
      <c r="C1961" s="60" t="str">
        <f t="shared" si="429"/>
        <v>F.080.01.108</v>
      </c>
      <c r="D1961" s="51" t="s">
        <v>2633</v>
      </c>
      <c r="E1961" s="62" t="s">
        <v>45</v>
      </c>
      <c r="F1961" s="63" t="str">
        <f t="shared" si="430"/>
        <v>Paper Cardboard Leather Cotton Wool waste incineration with electricity</v>
      </c>
      <c r="G1961" s="64">
        <v>-0.0958598036561</v>
      </c>
      <c r="H1961" s="10">
        <f t="shared" si="427"/>
        <v>-0.09585980366</v>
      </c>
      <c r="I1961" s="65">
        <v>0.003225104915</v>
      </c>
      <c r="J1961" s="65">
        <v>0.0027292718488999995</v>
      </c>
      <c r="K1961" s="65">
        <v>-9.9110042E-4</v>
      </c>
      <c r="L1961" s="65">
        <v>-0.10082308</v>
      </c>
      <c r="N1961" s="66">
        <v>-0.6721538666666667</v>
      </c>
      <c r="O1961" s="10">
        <f t="shared" si="428"/>
        <v>-0.6721538667</v>
      </c>
      <c r="Q1961" s="67">
        <v>-9.9591868</v>
      </c>
      <c r="S1961" s="68">
        <v>-0.010921032</v>
      </c>
      <c r="T1961" s="68">
        <v>-0.0097626475</v>
      </c>
      <c r="U1961" s="68">
        <v>-4.5828422E-4</v>
      </c>
      <c r="V1961" s="68">
        <v>-7.0010055E-4</v>
      </c>
      <c r="X1961" s="69">
        <v>-2.8133152E-5</v>
      </c>
    </row>
    <row r="1962" ht="12.75" customHeight="1">
      <c r="A1962" s="1" t="s">
        <v>2642</v>
      </c>
      <c r="B1962" s="2" t="s">
        <v>2543</v>
      </c>
      <c r="C1962" s="60" t="str">
        <f t="shared" si="429"/>
        <v>F.080.01.109</v>
      </c>
      <c r="D1962" s="51" t="s">
        <v>2633</v>
      </c>
      <c r="E1962" s="62" t="s">
        <v>45</v>
      </c>
      <c r="F1962" s="63" t="str">
        <f t="shared" si="430"/>
        <v>Rigid Polymer Foam waste incineration with electricity</v>
      </c>
      <c r="G1962" s="64">
        <v>0.2030771138115</v>
      </c>
      <c r="H1962" s="10">
        <f t="shared" si="427"/>
        <v>0.2030771138</v>
      </c>
      <c r="I1962" s="65">
        <v>-3.7339653E-4</v>
      </c>
      <c r="J1962" s="65">
        <v>-0.0025916955385</v>
      </c>
      <c r="K1962" s="65">
        <v>-0.00192213412</v>
      </c>
      <c r="L1962" s="65">
        <v>0.20796434</v>
      </c>
      <c r="N1962" s="66">
        <v>1.3864289333333333</v>
      </c>
      <c r="O1962" s="10">
        <f t="shared" si="428"/>
        <v>1.386428933</v>
      </c>
      <c r="Q1962" s="67">
        <v>-19.314787</v>
      </c>
      <c r="S1962" s="68">
        <v>0.021168487</v>
      </c>
      <c r="T1962" s="68">
        <v>0.021438465</v>
      </c>
      <c r="U1962" s="68">
        <v>0.0010877924</v>
      </c>
      <c r="V1962" s="68">
        <v>-0.0013577708</v>
      </c>
      <c r="X1962" s="69">
        <v>1.6414671E-5</v>
      </c>
    </row>
    <row r="1963" ht="12.75" customHeight="1">
      <c r="A1963" s="1" t="s">
        <v>2643</v>
      </c>
      <c r="B1963" s="2" t="s">
        <v>2543</v>
      </c>
      <c r="C1963" s="60" t="str">
        <f t="shared" si="429"/>
        <v>F.080.01.110</v>
      </c>
      <c r="D1963" s="51" t="s">
        <v>2633</v>
      </c>
      <c r="E1963" s="62" t="s">
        <v>45</v>
      </c>
      <c r="F1963" s="63" t="str">
        <f t="shared" si="430"/>
        <v>SMC (50%) waste incineration with electricity</v>
      </c>
      <c r="G1963" s="64">
        <v>0.1620625711244</v>
      </c>
      <c r="H1963" s="10">
        <f t="shared" si="427"/>
        <v>0.1620625711</v>
      </c>
      <c r="I1963" s="65">
        <v>0.0020501423740000003</v>
      </c>
      <c r="J1963" s="65">
        <v>0.0013583824904</v>
      </c>
      <c r="K1963" s="65">
        <v>-9.6707374E-4</v>
      </c>
      <c r="L1963" s="65">
        <v>0.15962112</v>
      </c>
      <c r="N1963" s="66">
        <v>1.0641408</v>
      </c>
      <c r="O1963" s="10">
        <f t="shared" si="428"/>
        <v>1.0641408</v>
      </c>
      <c r="Q1963" s="67">
        <v>-9.717752</v>
      </c>
      <c r="S1963" s="68">
        <v>0.017050425</v>
      </c>
      <c r="T1963" s="68">
        <v>0.016888395</v>
      </c>
      <c r="U1963" s="68">
        <v>8.4515906E-4</v>
      </c>
      <c r="V1963" s="68">
        <v>-6.8312842E-4</v>
      </c>
      <c r="X1963" s="69">
        <v>1.9840437E-5</v>
      </c>
    </row>
    <row r="1964" ht="12.75" customHeight="1">
      <c r="A1964" s="1" t="s">
        <v>2644</v>
      </c>
      <c r="B1964" s="2" t="s">
        <v>2543</v>
      </c>
      <c r="C1964" s="60" t="str">
        <f t="shared" si="429"/>
        <v>F.080.01.111</v>
      </c>
      <c r="D1964" s="51" t="s">
        <v>2633</v>
      </c>
      <c r="E1964" s="62" t="s">
        <v>45</v>
      </c>
      <c r="F1964" s="63" t="str">
        <f t="shared" si="430"/>
        <v>Softwood 0%MC  waste incineration with electricity</v>
      </c>
      <c r="G1964" s="64">
        <v>-0.1191336508671</v>
      </c>
      <c r="H1964" s="10">
        <f t="shared" si="427"/>
        <v>-0.1191336509</v>
      </c>
      <c r="I1964" s="65">
        <v>0.0025665271669999996</v>
      </c>
      <c r="J1964" s="65">
        <v>0.0017109458059000003</v>
      </c>
      <c r="K1964" s="65">
        <v>-0.00120133384</v>
      </c>
      <c r="L1964" s="65">
        <v>-0.12220979</v>
      </c>
      <c r="N1964" s="66">
        <v>-0.8147319333333334</v>
      </c>
      <c r="O1964" s="10">
        <f t="shared" si="428"/>
        <v>-0.8147319333</v>
      </c>
      <c r="Q1964" s="67">
        <v>-12.071742</v>
      </c>
      <c r="S1964" s="68">
        <v>-0.013506361</v>
      </c>
      <c r="T1964" s="68">
        <v>-0.012090079</v>
      </c>
      <c r="U1964" s="68">
        <v>-5.6767526E-4</v>
      </c>
      <c r="V1964" s="68">
        <v>-8.4860673E-4</v>
      </c>
      <c r="X1964" s="69">
        <v>-3.491684E-5</v>
      </c>
    </row>
    <row r="1965" ht="12.75" customHeight="1">
      <c r="A1965" s="1" t="s">
        <v>2645</v>
      </c>
      <c r="B1965" s="2" t="s">
        <v>2543</v>
      </c>
      <c r="C1965" s="60" t="str">
        <f t="shared" si="429"/>
        <v>F.080.01.112</v>
      </c>
      <c r="D1965" s="51" t="s">
        <v>2633</v>
      </c>
      <c r="E1965" s="62" t="s">
        <v>45</v>
      </c>
      <c r="F1965" s="63" t="str">
        <f t="shared" si="430"/>
        <v>Softwood 12%MC  waste incineration with electricity</v>
      </c>
      <c r="G1965" s="64">
        <v>-0.0999785575087</v>
      </c>
      <c r="H1965" s="10">
        <f t="shared" si="427"/>
        <v>-0.09997855751</v>
      </c>
      <c r="I1965" s="65">
        <v>0.0033381893650000004</v>
      </c>
      <c r="J1965" s="65">
        <v>0.0028168202363000002</v>
      </c>
      <c r="K1965" s="65">
        <v>-0.0010331471099999999</v>
      </c>
      <c r="L1965" s="65">
        <v>-0.10510042</v>
      </c>
      <c r="N1965" s="66">
        <v>-0.7006694666666667</v>
      </c>
      <c r="O1965" s="10">
        <f t="shared" si="428"/>
        <v>-0.7006694667</v>
      </c>
      <c r="Q1965" s="67">
        <v>-10.381698</v>
      </c>
      <c r="S1965" s="68">
        <v>-0.0113891</v>
      </c>
      <c r="T1965" s="68">
        <v>-0.010181356</v>
      </c>
      <c r="U1965" s="68">
        <v>-4.779419E-4</v>
      </c>
      <c r="V1965" s="68">
        <v>-7.2980179E-4</v>
      </c>
      <c r="X1965" s="69">
        <v>-2.9341107E-5</v>
      </c>
    </row>
    <row r="1966" ht="12.75" customHeight="1">
      <c r="A1966" s="1" t="s">
        <v>2646</v>
      </c>
      <c r="B1966" s="2" t="s">
        <v>2543</v>
      </c>
      <c r="C1966" s="60" t="str">
        <f t="shared" si="429"/>
        <v>F.080.01.113</v>
      </c>
      <c r="D1966" s="51" t="s">
        <v>2633</v>
      </c>
      <c r="E1966" s="62" t="s">
        <v>45</v>
      </c>
      <c r="F1966" s="63" t="str">
        <f t="shared" si="430"/>
        <v>Softwood fresh  50%MC  waste incineration with electricity</v>
      </c>
      <c r="G1966" s="64">
        <v>-0.0411450532599</v>
      </c>
      <c r="H1966" s="10">
        <f t="shared" si="427"/>
        <v>-0.04114505326</v>
      </c>
      <c r="I1966" s="65">
        <v>0.005708294677</v>
      </c>
      <c r="J1966" s="65">
        <v>0.0062134346181</v>
      </c>
      <c r="K1966" s="65">
        <v>-5.165735549999999E-4</v>
      </c>
      <c r="L1966" s="65">
        <v>-0.052550209</v>
      </c>
      <c r="N1966" s="66">
        <v>-0.3503347266666667</v>
      </c>
      <c r="O1966" s="10">
        <f t="shared" si="428"/>
        <v>-0.3503347267</v>
      </c>
      <c r="Q1966" s="67">
        <v>-5.1908489</v>
      </c>
      <c r="S1966" s="68">
        <v>-0.0048860844</v>
      </c>
      <c r="T1966" s="68">
        <v>-0.0043188512</v>
      </c>
      <c r="U1966" s="68">
        <v>-2.0233229E-4</v>
      </c>
      <c r="V1966" s="68">
        <v>-3.6490089E-4</v>
      </c>
      <c r="X1966" s="69">
        <v>-1.221564E-5</v>
      </c>
    </row>
    <row r="1967" ht="12.75" customHeight="1">
      <c r="A1967" s="1" t="s">
        <v>2647</v>
      </c>
      <c r="B1967" s="2" t="s">
        <v>2543</v>
      </c>
      <c r="C1967" s="60" t="str">
        <f t="shared" si="429"/>
        <v>F.080.01.114</v>
      </c>
      <c r="D1967" s="51" t="s">
        <v>2633</v>
      </c>
      <c r="E1967" s="62" t="s">
        <v>45</v>
      </c>
      <c r="F1967" s="63" t="str">
        <f t="shared" si="430"/>
        <v>Paper and Cardboard, as wet household waste   waste incineration with electricity</v>
      </c>
      <c r="G1967" s="64">
        <v>0.0176884488</v>
      </c>
      <c r="H1967" s="10">
        <f t="shared" si="427"/>
        <v>0.0176884488</v>
      </c>
      <c r="I1967" s="65">
        <v>0.0080784</v>
      </c>
      <c r="J1967" s="65">
        <v>0.0096100488</v>
      </c>
      <c r="K1967" s="65">
        <v>0.0</v>
      </c>
      <c r="L1967" s="65">
        <v>0.0</v>
      </c>
      <c r="N1967" s="66">
        <v>0.0</v>
      </c>
      <c r="O1967" s="10">
        <f t="shared" si="428"/>
        <v>0</v>
      </c>
      <c r="Q1967" s="67">
        <v>0.0</v>
      </c>
      <c r="S1967" s="68">
        <v>0.0016169313</v>
      </c>
      <c r="T1967" s="68">
        <v>0.0015436539</v>
      </c>
      <c r="U1967" s="68">
        <v>7.3277318E-5</v>
      </c>
      <c r="V1967" s="68">
        <v>0.0</v>
      </c>
      <c r="X1967" s="69">
        <v>4.9098273E-6</v>
      </c>
    </row>
    <row r="1968" ht="12.75" customHeight="1">
      <c r="B1968" s="2"/>
      <c r="C1968" s="60"/>
      <c r="D1968" s="75" t="s">
        <v>2648</v>
      </c>
      <c r="E1968" s="62"/>
      <c r="G1968" s="10"/>
      <c r="H1968" s="10" t="str">
        <f t="shared" si="427"/>
        <v/>
      </c>
      <c r="I1968" s="10"/>
      <c r="J1968" s="10"/>
      <c r="K1968" s="10"/>
      <c r="L1968" s="10"/>
      <c r="N1968" s="10"/>
      <c r="O1968" s="10" t="str">
        <f t="shared" si="428"/>
        <v/>
      </c>
      <c r="Q1968" s="67"/>
    </row>
    <row r="1969" ht="12.75" customHeight="1">
      <c r="A1969" s="1" t="s">
        <v>2649</v>
      </c>
      <c r="B1969" s="2" t="s">
        <v>2543</v>
      </c>
      <c r="C1969" s="60" t="str">
        <f t="shared" ref="C1969:C1996" si="431">MID(A1969,1,12)</f>
        <v>F.090.01.101</v>
      </c>
      <c r="D1969" s="51" t="s">
        <v>2648</v>
      </c>
      <c r="E1969" s="62" t="s">
        <v>45</v>
      </c>
      <c r="F1969" s="63" t="str">
        <f t="shared" ref="F1969:F1996" si="432">MID(A1969, 21,85)</f>
        <v>ABS (Acrylonitrile butadiene styrene) waste incineration with electricity</v>
      </c>
      <c r="G1969" s="64">
        <v>0.21502133629689998</v>
      </c>
      <c r="H1969" s="10">
        <f t="shared" si="427"/>
        <v>0.2150213363</v>
      </c>
      <c r="I1969" s="65">
        <v>0.00308493829</v>
      </c>
      <c r="J1969" s="65">
        <v>8.592910669000001E-4</v>
      </c>
      <c r="K1969" s="65">
        <v>-0.00251559306</v>
      </c>
      <c r="L1969" s="65">
        <v>0.2135927</v>
      </c>
      <c r="N1969" s="66">
        <v>1.4239513333333333</v>
      </c>
      <c r="O1969" s="10">
        <f t="shared" si="428"/>
        <v>1.423951333</v>
      </c>
      <c r="Q1969" s="67">
        <v>-25.278227</v>
      </c>
      <c r="S1969" s="68">
        <v>0.022078697</v>
      </c>
      <c r="T1969" s="68">
        <v>0.022695308</v>
      </c>
      <c r="U1969" s="68">
        <v>0.001160372</v>
      </c>
      <c r="V1969" s="68">
        <v>-0.0017769825</v>
      </c>
      <c r="X1969" s="69">
        <v>1.2765427E-5</v>
      </c>
    </row>
    <row r="1970" ht="12.75" customHeight="1">
      <c r="A1970" s="1" t="s">
        <v>2650</v>
      </c>
      <c r="B1970" s="2" t="s">
        <v>2543</v>
      </c>
      <c r="C1970" s="60" t="str">
        <f t="shared" si="431"/>
        <v>F.090.01.102</v>
      </c>
      <c r="D1970" s="51" t="s">
        <v>2648</v>
      </c>
      <c r="E1970" s="62" t="s">
        <v>45</v>
      </c>
      <c r="F1970" s="63" t="str">
        <f t="shared" si="432"/>
        <v>bio-PE (Polyethylene) waste incineration with electricity</v>
      </c>
      <c r="G1970" s="64">
        <v>-0.2982376570777</v>
      </c>
      <c r="H1970" s="10">
        <f t="shared" si="427"/>
        <v>-0.2982376571</v>
      </c>
      <c r="I1970" s="65">
        <v>0.0035541759100000004</v>
      </c>
      <c r="J1970" s="65">
        <v>9.356489722999998E-4</v>
      </c>
      <c r="K1970" s="65">
        <v>-0.00294687196</v>
      </c>
      <c r="L1970" s="65">
        <v>-0.29978061</v>
      </c>
      <c r="N1970" s="66">
        <v>-1.9985374</v>
      </c>
      <c r="O1970" s="10">
        <f t="shared" si="428"/>
        <v>-1.9985374</v>
      </c>
      <c r="Q1970" s="67">
        <v>-29.611982</v>
      </c>
      <c r="S1970" s="68">
        <v>-0.033679831</v>
      </c>
      <c r="T1970" s="68">
        <v>-0.030180824</v>
      </c>
      <c r="U1970" s="68">
        <v>-0.0014173751</v>
      </c>
      <c r="V1970" s="68">
        <v>-0.0020816323</v>
      </c>
      <c r="X1970" s="69">
        <v>-8.7317225E-5</v>
      </c>
    </row>
    <row r="1971" ht="12.75" customHeight="1">
      <c r="A1971" s="1" t="s">
        <v>2651</v>
      </c>
      <c r="B1971" s="2" t="s">
        <v>2543</v>
      </c>
      <c r="C1971" s="60" t="str">
        <f t="shared" si="431"/>
        <v>F.090.01.103</v>
      </c>
      <c r="D1971" s="51" t="s">
        <v>2648</v>
      </c>
      <c r="E1971" s="62" t="s">
        <v>45</v>
      </c>
      <c r="F1971" s="63" t="str">
        <f t="shared" si="432"/>
        <v>CA (Cellulose polymers) waste incineration with electricity</v>
      </c>
      <c r="G1971" s="64">
        <v>-0.0964473099047</v>
      </c>
      <c r="H1971" s="10">
        <f t="shared" si="427"/>
        <v>-0.0964473099</v>
      </c>
      <c r="I1971" s="65">
        <v>0.002643420235</v>
      </c>
      <c r="J1971" s="65">
        <v>0.0020446829403</v>
      </c>
      <c r="K1971" s="65">
        <v>-9.8449308E-4</v>
      </c>
      <c r="L1971" s="65">
        <v>-0.10015092</v>
      </c>
      <c r="N1971" s="66">
        <v>-0.6676728000000001</v>
      </c>
      <c r="O1971" s="10">
        <f t="shared" si="428"/>
        <v>-0.6676728</v>
      </c>
      <c r="Q1971" s="67">
        <v>-9.8927923</v>
      </c>
      <c r="S1971" s="68">
        <v>-0.010960349</v>
      </c>
      <c r="T1971" s="68">
        <v>-0.0098046054</v>
      </c>
      <c r="U1971" s="68">
        <v>-4.6031029E-4</v>
      </c>
      <c r="V1971" s="68">
        <v>-6.9543322E-4</v>
      </c>
      <c r="X1971" s="69">
        <v>-2.8286062E-5</v>
      </c>
    </row>
    <row r="1972" ht="12.75" customHeight="1">
      <c r="A1972" s="1" t="s">
        <v>2652</v>
      </c>
      <c r="B1972" s="2" t="s">
        <v>2543</v>
      </c>
      <c r="C1972" s="60" t="str">
        <f t="shared" si="431"/>
        <v>F.090.01.104</v>
      </c>
      <c r="D1972" s="51" t="s">
        <v>2648</v>
      </c>
      <c r="E1972" s="62" t="s">
        <v>45</v>
      </c>
      <c r="F1972" s="63" t="str">
        <f t="shared" si="432"/>
        <v>Ionomer waste incineration with electricity</v>
      </c>
      <c r="G1972" s="64">
        <v>0.22092220147980002</v>
      </c>
      <c r="H1972" s="10">
        <f t="shared" si="427"/>
        <v>0.2209222015</v>
      </c>
      <c r="I1972" s="65">
        <v>0.00281581327</v>
      </c>
      <c r="J1972" s="65">
        <v>5.928279598000001E-4</v>
      </c>
      <c r="K1972" s="65">
        <v>-0.00246753975</v>
      </c>
      <c r="L1972" s="65">
        <v>0.2199811</v>
      </c>
      <c r="N1972" s="66">
        <v>1.4665406666666667</v>
      </c>
      <c r="O1972" s="10">
        <f t="shared" si="428"/>
        <v>1.466540667</v>
      </c>
      <c r="Q1972" s="67">
        <v>-24.795357</v>
      </c>
      <c r="S1972" s="68">
        <v>0.022747995</v>
      </c>
      <c r="T1972" s="68">
        <v>0.023301893</v>
      </c>
      <c r="U1972" s="68">
        <v>0.0011891405</v>
      </c>
      <c r="V1972" s="68">
        <v>-0.0017430382</v>
      </c>
      <c r="X1972" s="69">
        <v>1.4339755E-5</v>
      </c>
    </row>
    <row r="1973" ht="12.75" customHeight="1">
      <c r="A1973" s="1" t="s">
        <v>2653</v>
      </c>
      <c r="B1973" s="2" t="s">
        <v>2543</v>
      </c>
      <c r="C1973" s="60" t="str">
        <f t="shared" si="431"/>
        <v>F.090.01.105</v>
      </c>
      <c r="D1973" s="51" t="s">
        <v>2648</v>
      </c>
      <c r="E1973" s="62" t="s">
        <v>45</v>
      </c>
      <c r="F1973" s="63" t="str">
        <f t="shared" si="432"/>
        <v>PA-11 (Nylon-11) waste incineration with electricity</v>
      </c>
      <c r="G1973" s="64">
        <v>-0.2512922858464</v>
      </c>
      <c r="H1973" s="10">
        <f t="shared" si="427"/>
        <v>-0.2512922858</v>
      </c>
      <c r="I1973" s="65">
        <v>0.0024320776399999995</v>
      </c>
      <c r="J1973" s="65">
        <v>1.323102136000002E-4</v>
      </c>
      <c r="K1973" s="65">
        <v>-0.0024711437</v>
      </c>
      <c r="L1973" s="65">
        <v>-0.25138553</v>
      </c>
      <c r="N1973" s="66">
        <v>-1.6759035333333336</v>
      </c>
      <c r="O1973" s="10">
        <f t="shared" si="428"/>
        <v>-1.675903533</v>
      </c>
      <c r="Q1973" s="67">
        <v>-24.831573</v>
      </c>
      <c r="S1973" s="68">
        <v>-0.028352479</v>
      </c>
      <c r="T1973" s="68">
        <v>-0.02541336</v>
      </c>
      <c r="U1973" s="68">
        <v>-0.0011935349</v>
      </c>
      <c r="V1973" s="68">
        <v>-0.001745584</v>
      </c>
      <c r="X1973" s="69">
        <v>-7.3554431E-5</v>
      </c>
    </row>
    <row r="1974" ht="12.75" customHeight="1">
      <c r="A1974" s="1" t="s">
        <v>2654</v>
      </c>
      <c r="B1974" s="2" t="s">
        <v>2543</v>
      </c>
      <c r="C1974" s="60" t="str">
        <f t="shared" si="431"/>
        <v>F.090.01.106</v>
      </c>
      <c r="D1974" s="51" t="s">
        <v>2648</v>
      </c>
      <c r="E1974" s="62" t="s">
        <v>45</v>
      </c>
      <c r="F1974" s="63" t="str">
        <f t="shared" si="432"/>
        <v>PA (Nylons, Polyamides) waste incineration with electricity</v>
      </c>
      <c r="G1974" s="64">
        <v>0.1779000514088</v>
      </c>
      <c r="H1974" s="10">
        <f t="shared" si="427"/>
        <v>0.1779000514</v>
      </c>
      <c r="I1974" s="65">
        <v>0.0021738171999999994</v>
      </c>
      <c r="J1974" s="65">
        <v>4.626243788000005E-4</v>
      </c>
      <c r="K1974" s="65">
        <v>-0.00190051017</v>
      </c>
      <c r="L1974" s="65">
        <v>0.17716412</v>
      </c>
      <c r="N1974" s="66">
        <v>1.1810941333333334</v>
      </c>
      <c r="O1974" s="10">
        <f t="shared" si="428"/>
        <v>1.181094133</v>
      </c>
      <c r="Q1974" s="67">
        <v>-19.097495</v>
      </c>
      <c r="S1974" s="68">
        <v>0.018358725</v>
      </c>
      <c r="T1974" s="68">
        <v>0.018746257</v>
      </c>
      <c r="U1974" s="68">
        <v>9.5496386E-4</v>
      </c>
      <c r="V1974" s="68">
        <v>-0.0013424958</v>
      </c>
      <c r="X1974" s="69">
        <v>1.2485194E-5</v>
      </c>
    </row>
    <row r="1975" ht="12.75" customHeight="1">
      <c r="A1975" s="1" t="s">
        <v>2655</v>
      </c>
      <c r="B1975" s="2" t="s">
        <v>2543</v>
      </c>
      <c r="C1975" s="60" t="str">
        <f t="shared" si="431"/>
        <v>F.090.01.107</v>
      </c>
      <c r="D1975" s="51" t="s">
        <v>2648</v>
      </c>
      <c r="E1975" s="62" t="s">
        <v>45</v>
      </c>
      <c r="F1975" s="63" t="str">
        <f t="shared" si="432"/>
        <v>PC (Polycarbonate) waste incineration with electricity</v>
      </c>
      <c r="G1975" s="64">
        <v>0.2394840598874</v>
      </c>
      <c r="H1975" s="10">
        <f t="shared" si="427"/>
        <v>0.2394840599</v>
      </c>
      <c r="I1975" s="65">
        <v>0.0022610504199999997</v>
      </c>
      <c r="J1975" s="65">
        <v>4.684170074000004E-4</v>
      </c>
      <c r="K1975" s="65">
        <v>-0.00198820754</v>
      </c>
      <c r="L1975" s="65">
        <v>0.2387428</v>
      </c>
      <c r="N1975" s="66">
        <v>1.5916186666666667</v>
      </c>
      <c r="O1975" s="10">
        <f t="shared" si="428"/>
        <v>1.591618667</v>
      </c>
      <c r="Q1975" s="67">
        <v>-19.978732</v>
      </c>
      <c r="S1975" s="68">
        <v>0.024983726</v>
      </c>
      <c r="T1975" s="68">
        <v>0.025119698</v>
      </c>
      <c r="U1975" s="68">
        <v>0.0012684715</v>
      </c>
      <c r="V1975" s="68">
        <v>-0.0014044441</v>
      </c>
      <c r="X1975" s="69">
        <v>2.298026E-5</v>
      </c>
    </row>
    <row r="1976" ht="12.75" customHeight="1">
      <c r="A1976" s="1" t="s">
        <v>2656</v>
      </c>
      <c r="B1976" s="2" t="s">
        <v>2543</v>
      </c>
      <c r="C1976" s="60" t="str">
        <f t="shared" si="431"/>
        <v>F.090.01.108</v>
      </c>
      <c r="D1976" s="51" t="s">
        <v>2648</v>
      </c>
      <c r="E1976" s="62" t="s">
        <v>45</v>
      </c>
      <c r="F1976" s="63" t="str">
        <f t="shared" si="432"/>
        <v>PE (Polyethylene HDPE LDPE LLDPE) waste incineration with electricity</v>
      </c>
      <c r="G1976" s="64">
        <v>0.1723603327223</v>
      </c>
      <c r="H1976" s="10">
        <f t="shared" si="427"/>
        <v>0.1723603327</v>
      </c>
      <c r="I1976" s="65">
        <v>0.0033705759100000005</v>
      </c>
      <c r="J1976" s="65">
        <v>7.172387723000001E-4</v>
      </c>
      <c r="K1976" s="65">
        <v>-0.00294687196</v>
      </c>
      <c r="L1976" s="65">
        <v>0.17121939</v>
      </c>
      <c r="N1976" s="66">
        <v>1.1414626</v>
      </c>
      <c r="O1976" s="10">
        <f t="shared" si="428"/>
        <v>1.1414626</v>
      </c>
      <c r="Q1976" s="67">
        <v>-29.611982</v>
      </c>
      <c r="S1976" s="68">
        <v>0.017265028</v>
      </c>
      <c r="T1976" s="68">
        <v>0.018388279</v>
      </c>
      <c r="U1976" s="68">
        <v>9.5838128E-4</v>
      </c>
      <c r="V1976" s="68">
        <v>-0.0020816323</v>
      </c>
      <c r="X1976" s="69">
        <v>1.2271924E-7</v>
      </c>
    </row>
    <row r="1977" ht="12.75" customHeight="1">
      <c r="A1977" s="1" t="s">
        <v>2657</v>
      </c>
      <c r="B1977" s="2" t="s">
        <v>2543</v>
      </c>
      <c r="C1977" s="60" t="str">
        <f t="shared" si="431"/>
        <v>F.090.01.111</v>
      </c>
      <c r="D1977" s="51" t="s">
        <v>2648</v>
      </c>
      <c r="E1977" s="62" t="s">
        <v>45</v>
      </c>
      <c r="F1977" s="63" t="str">
        <f t="shared" si="432"/>
        <v>PET (Polyethylene terephthalate) waste incineration with electricity</v>
      </c>
      <c r="G1977" s="64">
        <v>0.19397081984939998</v>
      </c>
      <c r="H1977" s="10">
        <f t="shared" si="427"/>
        <v>0.1939708198</v>
      </c>
      <c r="I1977" s="65">
        <v>0.004466938407999999</v>
      </c>
      <c r="J1977" s="65">
        <v>0.0035998847813999996</v>
      </c>
      <c r="K1977" s="65">
        <v>-0.00153410334</v>
      </c>
      <c r="L1977" s="65">
        <v>0.1874381</v>
      </c>
      <c r="N1977" s="66">
        <v>1.2495873333333334</v>
      </c>
      <c r="O1977" s="10">
        <f t="shared" si="428"/>
        <v>1.249587333</v>
      </c>
      <c r="Q1977" s="67">
        <v>-15.415614</v>
      </c>
      <c r="S1977" s="68">
        <v>0.020171312</v>
      </c>
      <c r="T1977" s="68">
        <v>0.020235262</v>
      </c>
      <c r="U1977" s="68">
        <v>0.0010197204</v>
      </c>
      <c r="V1977" s="68">
        <v>-0.0010836708</v>
      </c>
      <c r="X1977" s="69">
        <v>1.9985406E-5</v>
      </c>
    </row>
    <row r="1978" ht="12.75" customHeight="1">
      <c r="A1978" s="1" t="s">
        <v>2658</v>
      </c>
      <c r="B1978" s="2" t="s">
        <v>2543</v>
      </c>
      <c r="C1978" s="60" t="str">
        <f t="shared" si="431"/>
        <v>F.090.01.112</v>
      </c>
      <c r="D1978" s="51" t="s">
        <v>2648</v>
      </c>
      <c r="E1978" s="62" t="s">
        <v>45</v>
      </c>
      <c r="F1978" s="63" t="str">
        <f t="shared" si="432"/>
        <v>PHA (Polyhydroxyalkanoates) waste incineration with electricity</v>
      </c>
      <c r="G1978" s="64">
        <v>-0.17896154591740002</v>
      </c>
      <c r="H1978" s="10">
        <f t="shared" si="427"/>
        <v>-0.1789615459</v>
      </c>
      <c r="I1978" s="65">
        <v>8.817843900000001E-4</v>
      </c>
      <c r="J1978" s="65">
        <v>-8.972062274E-4</v>
      </c>
      <c r="K1978" s="65">
        <v>-0.00174193408</v>
      </c>
      <c r="L1978" s="65">
        <v>-0.17720419</v>
      </c>
      <c r="N1978" s="66">
        <v>-1.1813612666666669</v>
      </c>
      <c r="O1978" s="10">
        <f t="shared" si="428"/>
        <v>-1.181361267</v>
      </c>
      <c r="Q1978" s="67">
        <v>-17.504025</v>
      </c>
      <c r="S1978" s="68">
        <v>-0.020152599</v>
      </c>
      <c r="T1978" s="68">
        <v>-0.018073232</v>
      </c>
      <c r="U1978" s="68">
        <v>-8.4888722E-4</v>
      </c>
      <c r="V1978" s="68">
        <v>-0.0012304798</v>
      </c>
      <c r="X1978" s="69">
        <v>-5.2355297E-5</v>
      </c>
    </row>
    <row r="1979" ht="12.75" customHeight="1">
      <c r="A1979" s="1" t="s">
        <v>2659</v>
      </c>
      <c r="B1979" s="2" t="s">
        <v>2543</v>
      </c>
      <c r="C1979" s="60" t="str">
        <f t="shared" si="431"/>
        <v>F.090.01.113</v>
      </c>
      <c r="D1979" s="51" t="s">
        <v>2648</v>
      </c>
      <c r="E1979" s="62" t="s">
        <v>45</v>
      </c>
      <c r="F1979" s="63" t="str">
        <f t="shared" si="432"/>
        <v>PLA (Polylactide) waste incineration with electricity</v>
      </c>
      <c r="G1979" s="64">
        <v>-0.11574486339529999</v>
      </c>
      <c r="H1979" s="10">
        <f t="shared" si="427"/>
        <v>-0.1157448634</v>
      </c>
      <c r="I1979" s="65">
        <v>0.001977622401</v>
      </c>
      <c r="J1979" s="65">
        <v>0.0010607180536999997</v>
      </c>
      <c r="K1979" s="65">
        <v>-0.00115628385</v>
      </c>
      <c r="L1979" s="65">
        <v>-0.11762692</v>
      </c>
      <c r="N1979" s="66">
        <v>-0.7841794666666667</v>
      </c>
      <c r="O1979" s="10">
        <f t="shared" si="428"/>
        <v>-0.7841794667</v>
      </c>
      <c r="Q1979" s="67">
        <v>-11.619051</v>
      </c>
      <c r="S1979" s="68">
        <v>-0.013098481</v>
      </c>
      <c r="T1979" s="68">
        <v>-0.011730841</v>
      </c>
      <c r="U1979" s="68">
        <v>-5.5085625E-4</v>
      </c>
      <c r="V1979" s="68">
        <v>-8.1678398E-4</v>
      </c>
      <c r="X1979" s="69">
        <v>-3.3906884E-5</v>
      </c>
    </row>
    <row r="1980" ht="12.75" customHeight="1">
      <c r="A1980" s="1" t="s">
        <v>2660</v>
      </c>
      <c r="B1980" s="2" t="s">
        <v>2543</v>
      </c>
      <c r="C1980" s="60" t="str">
        <f t="shared" si="431"/>
        <v>F.090.01.114</v>
      </c>
      <c r="D1980" s="51" t="s">
        <v>2648</v>
      </c>
      <c r="E1980" s="62" t="s">
        <v>45</v>
      </c>
      <c r="F1980" s="63" t="str">
        <f t="shared" si="432"/>
        <v>PMMA (Polymethyl methacrylate) waste incineration with electricity</v>
      </c>
      <c r="G1980" s="64">
        <v>0.1618192074677</v>
      </c>
      <c r="H1980" s="10">
        <f t="shared" si="427"/>
        <v>0.1618192075</v>
      </c>
      <c r="I1980" s="65">
        <v>0.001874103582</v>
      </c>
      <c r="J1980" s="65">
        <v>3.758658756999997E-4</v>
      </c>
      <c r="K1980" s="65">
        <v>-0.00165904199</v>
      </c>
      <c r="L1980" s="65">
        <v>0.16122828</v>
      </c>
      <c r="N1980" s="66">
        <v>1.0748552</v>
      </c>
      <c r="O1980" s="10">
        <f t="shared" si="428"/>
        <v>1.0748552</v>
      </c>
      <c r="Q1980" s="67">
        <v>-16.671075</v>
      </c>
      <c r="S1980" s="68">
        <v>0.016733</v>
      </c>
      <c r="T1980" s="68">
        <v>0.017038327</v>
      </c>
      <c r="U1980" s="68">
        <v>8.6659933E-4</v>
      </c>
      <c r="V1980" s="68">
        <v>-0.0011719259</v>
      </c>
      <c r="X1980" s="69">
        <v>1.2106537E-5</v>
      </c>
    </row>
    <row r="1981" ht="12.75" customHeight="1">
      <c r="A1981" s="1" t="s">
        <v>2661</v>
      </c>
      <c r="B1981" s="2" t="s">
        <v>2543</v>
      </c>
      <c r="C1981" s="60" t="str">
        <f t="shared" si="431"/>
        <v>F.090.01.115</v>
      </c>
      <c r="D1981" s="51" t="s">
        <v>2648</v>
      </c>
      <c r="E1981" s="62" t="s">
        <v>45</v>
      </c>
      <c r="F1981" s="63" t="str">
        <f t="shared" si="432"/>
        <v>POM (Polyoxymethylene, Polyacetaal) waste incineration with electricity</v>
      </c>
      <c r="G1981" s="64">
        <v>0.1139130022402</v>
      </c>
      <c r="H1981" s="10">
        <f t="shared" si="427"/>
        <v>0.1139130022</v>
      </c>
      <c r="I1981" s="65">
        <v>0.0011747112749999997</v>
      </c>
      <c r="J1981" s="65">
        <v>2.2301807520000016E-4</v>
      </c>
      <c r="K1981" s="65">
        <v>-0.00105116711</v>
      </c>
      <c r="L1981" s="65">
        <v>0.11356644</v>
      </c>
      <c r="N1981" s="66">
        <v>0.7571096</v>
      </c>
      <c r="O1981" s="10">
        <f t="shared" si="428"/>
        <v>0.7571096</v>
      </c>
      <c r="Q1981" s="67">
        <v>-10.562774</v>
      </c>
      <c r="S1981" s="68">
        <v>0.011834754</v>
      </c>
      <c r="T1981" s="68">
        <v>0.011970719</v>
      </c>
      <c r="U1981" s="68">
        <v>6.0656616E-4</v>
      </c>
      <c r="V1981" s="68">
        <v>-7.4253089E-4</v>
      </c>
      <c r="X1981" s="69">
        <v>9.7843414E-6</v>
      </c>
    </row>
    <row r="1982" ht="12.75" customHeight="1">
      <c r="A1982" s="1" t="s">
        <v>2662</v>
      </c>
      <c r="B1982" s="2" t="s">
        <v>2543</v>
      </c>
      <c r="C1982" s="60" t="str">
        <f t="shared" si="431"/>
        <v>F.090.01.116</v>
      </c>
      <c r="D1982" s="51" t="s">
        <v>2648</v>
      </c>
      <c r="E1982" s="62" t="s">
        <v>45</v>
      </c>
      <c r="F1982" s="63" t="str">
        <f t="shared" si="432"/>
        <v>PP (Polypropylene) waste incineration with electricity</v>
      </c>
      <c r="G1982" s="64">
        <v>0.18511861461009999</v>
      </c>
      <c r="H1982" s="10">
        <f t="shared" si="427"/>
        <v>0.1851186146</v>
      </c>
      <c r="I1982" s="65">
        <v>0.00321492252</v>
      </c>
      <c r="J1982" s="65">
        <v>6.73003950100001E-4</v>
      </c>
      <c r="K1982" s="65">
        <v>-0.00282073186</v>
      </c>
      <c r="L1982" s="65">
        <v>0.18405142</v>
      </c>
      <c r="N1982" s="66">
        <v>1.2270094666666667</v>
      </c>
      <c r="O1982" s="10">
        <f t="shared" si="428"/>
        <v>1.227009467</v>
      </c>
      <c r="Q1982" s="67">
        <v>-28.344449</v>
      </c>
      <c r="S1982" s="68">
        <v>0.01870598</v>
      </c>
      <c r="T1982" s="68">
        <v>0.019679489</v>
      </c>
      <c r="U1982" s="68">
        <v>0.0010190197</v>
      </c>
      <c r="V1982" s="68">
        <v>-0.0019925286</v>
      </c>
      <c r="X1982" s="69">
        <v>3.8581714E-6</v>
      </c>
    </row>
    <row r="1983" ht="12.75" customHeight="1">
      <c r="A1983" s="1" t="s">
        <v>2663</v>
      </c>
      <c r="B1983" s="2" t="s">
        <v>2543</v>
      </c>
      <c r="C1983" s="60" t="str">
        <f t="shared" si="431"/>
        <v>F.090.01.117</v>
      </c>
      <c r="D1983" s="51" t="s">
        <v>2648</v>
      </c>
      <c r="E1983" s="62" t="s">
        <v>45</v>
      </c>
      <c r="F1983" s="63" t="str">
        <f t="shared" si="432"/>
        <v>PS (Polystyrene) waste incineration with electricity</v>
      </c>
      <c r="G1983" s="64">
        <v>0.2257818388789</v>
      </c>
      <c r="H1983" s="10">
        <f t="shared" si="427"/>
        <v>0.2257818389</v>
      </c>
      <c r="I1983" s="65">
        <v>0.0031795737200000004</v>
      </c>
      <c r="J1983" s="65">
        <v>6.819563088999995E-4</v>
      </c>
      <c r="K1983" s="65">
        <v>-0.00277508115</v>
      </c>
      <c r="L1983" s="65">
        <v>0.22469539</v>
      </c>
      <c r="N1983" s="66">
        <v>1.4979692666666666</v>
      </c>
      <c r="O1983" s="10">
        <f t="shared" si="428"/>
        <v>1.497969267</v>
      </c>
      <c r="Q1983" s="67">
        <v>-27.885723</v>
      </c>
      <c r="S1983" s="68">
        <v>0.02312835</v>
      </c>
      <c r="T1983" s="68">
        <v>0.023865763</v>
      </c>
      <c r="U1983" s="68">
        <v>0.0012228692</v>
      </c>
      <c r="V1983" s="68">
        <v>-0.0019602815</v>
      </c>
      <c r="X1983" s="69">
        <v>1.1914639E-5</v>
      </c>
    </row>
    <row r="1984" ht="12.75" customHeight="1">
      <c r="A1984" s="1" t="s">
        <v>2664</v>
      </c>
      <c r="B1984" s="2" t="s">
        <v>2543</v>
      </c>
      <c r="C1984" s="60" t="str">
        <f t="shared" si="431"/>
        <v>F.090.01.118</v>
      </c>
      <c r="D1984" s="51" t="s">
        <v>2648</v>
      </c>
      <c r="E1984" s="62" t="s">
        <v>45</v>
      </c>
      <c r="F1984" s="63" t="str">
        <f t="shared" si="432"/>
        <v>PTFE (Teflon, Polytetrafluoroethylene) waste incineration with electricity</v>
      </c>
      <c r="G1984" s="64">
        <v>0.0871436074457</v>
      </c>
      <c r="H1984" s="10">
        <f t="shared" si="427"/>
        <v>0.08714360745</v>
      </c>
      <c r="I1984" s="65">
        <v>4.80830801E-4</v>
      </c>
      <c r="J1984" s="65">
        <v>7.80694967000001E-5</v>
      </c>
      <c r="K1984" s="65">
        <v>-4.4209085200000003E-4</v>
      </c>
      <c r="L1984" s="65">
        <v>0.087026798</v>
      </c>
      <c r="N1984" s="66">
        <v>0.5801786533333334</v>
      </c>
      <c r="O1984" s="10">
        <f t="shared" si="428"/>
        <v>0.5801786533</v>
      </c>
      <c r="Q1984" s="67">
        <v>-4.4424009</v>
      </c>
      <c r="S1984" s="68">
        <v>0.0092246961</v>
      </c>
      <c r="T1984" s="68">
        <v>0.0090838098</v>
      </c>
      <c r="U1984" s="68">
        <v>4.5317363E-4</v>
      </c>
      <c r="V1984" s="68">
        <v>-3.1228728E-4</v>
      </c>
      <c r="X1984" s="69">
        <v>1.1405544E-5</v>
      </c>
    </row>
    <row r="1985" ht="12.75" customHeight="1">
      <c r="A1985" s="1" t="s">
        <v>2665</v>
      </c>
      <c r="B1985" s="2" t="s">
        <v>2543</v>
      </c>
      <c r="C1985" s="60" t="str">
        <f t="shared" si="431"/>
        <v>F.090.01.119</v>
      </c>
      <c r="D1985" s="51" t="s">
        <v>2648</v>
      </c>
      <c r="E1985" s="62" t="s">
        <v>45</v>
      </c>
      <c r="F1985" s="63" t="str">
        <f t="shared" si="432"/>
        <v>PTT (Polyltrimethylene terephthalate) waste incineration with electricity</v>
      </c>
      <c r="G1985" s="64">
        <v>0.0977274041445</v>
      </c>
      <c r="H1985" s="10">
        <f t="shared" si="427"/>
        <v>0.09772740414</v>
      </c>
      <c r="I1985" s="65">
        <v>1.8845023100000005E-4</v>
      </c>
      <c r="J1985" s="65">
        <v>-0.0014884540964999998</v>
      </c>
      <c r="K1985" s="65">
        <v>-0.00153290199</v>
      </c>
      <c r="L1985" s="65">
        <v>0.10056031</v>
      </c>
      <c r="N1985" s="66">
        <v>0.6704020666666667</v>
      </c>
      <c r="O1985" s="10">
        <f t="shared" si="428"/>
        <v>0.6704020667</v>
      </c>
      <c r="Q1985" s="67">
        <v>-15.403542</v>
      </c>
      <c r="S1985" s="68">
        <v>0.0099119866</v>
      </c>
      <c r="T1985" s="68">
        <v>0.010452448</v>
      </c>
      <c r="U1985" s="68">
        <v>5.4236056E-4</v>
      </c>
      <c r="V1985" s="68">
        <v>-0.0010828222</v>
      </c>
      <c r="X1985" s="69">
        <v>1.2495978E-6</v>
      </c>
    </row>
    <row r="1986" ht="12.75" customHeight="1">
      <c r="A1986" s="1" t="s">
        <v>2666</v>
      </c>
      <c r="B1986" s="2" t="s">
        <v>2543</v>
      </c>
      <c r="C1986" s="60" t="str">
        <f t="shared" si="431"/>
        <v>F.090.01.120</v>
      </c>
      <c r="D1986" s="51" t="s">
        <v>2648</v>
      </c>
      <c r="E1986" s="62" t="s">
        <v>45</v>
      </c>
      <c r="F1986" s="63" t="str">
        <f t="shared" si="432"/>
        <v>PUR (Polyurethane) waste incineration with electricity</v>
      </c>
      <c r="G1986" s="64">
        <v>0.2030771138115</v>
      </c>
      <c r="H1986" s="10">
        <f t="shared" si="427"/>
        <v>0.2030771138</v>
      </c>
      <c r="I1986" s="65">
        <v>-3.7339653E-4</v>
      </c>
      <c r="J1986" s="65">
        <v>-0.0025916955385</v>
      </c>
      <c r="K1986" s="65">
        <v>-0.00192213412</v>
      </c>
      <c r="L1986" s="65">
        <v>0.20796434</v>
      </c>
      <c r="N1986" s="66">
        <v>1.3864289333333333</v>
      </c>
      <c r="O1986" s="10">
        <f t="shared" si="428"/>
        <v>1.386428933</v>
      </c>
      <c r="Q1986" s="67">
        <v>-19.314787</v>
      </c>
      <c r="S1986" s="68">
        <v>0.021168487</v>
      </c>
      <c r="T1986" s="68">
        <v>0.021438465</v>
      </c>
      <c r="U1986" s="68">
        <v>0.0010877924</v>
      </c>
      <c r="V1986" s="68">
        <v>-0.0013577708</v>
      </c>
      <c r="X1986" s="69">
        <v>1.6414671E-5</v>
      </c>
    </row>
    <row r="1987" ht="12.75" customHeight="1">
      <c r="A1987" s="1" t="s">
        <v>2667</v>
      </c>
      <c r="B1987" s="2" t="s">
        <v>2543</v>
      </c>
      <c r="C1987" s="60" t="str">
        <f t="shared" si="431"/>
        <v>F.090.01.121</v>
      </c>
      <c r="D1987" s="51" t="s">
        <v>2648</v>
      </c>
      <c r="E1987" s="62" t="s">
        <v>45</v>
      </c>
      <c r="F1987" s="63" t="str">
        <f t="shared" si="432"/>
        <v>PVC (Polyvinylchloride) waste incineration with electricity</v>
      </c>
      <c r="G1987" s="64">
        <v>0.0946930393637</v>
      </c>
      <c r="H1987" s="10">
        <f t="shared" si="427"/>
        <v>0.09469303936</v>
      </c>
      <c r="I1987" s="65">
        <v>0.0014979285199999998</v>
      </c>
      <c r="J1987" s="65">
        <v>4.783156937000002E-4</v>
      </c>
      <c r="K1987" s="65">
        <v>-0.00115628385</v>
      </c>
      <c r="L1987" s="65">
        <v>0.093873079</v>
      </c>
      <c r="N1987" s="66">
        <v>0.6258205266666667</v>
      </c>
      <c r="O1987" s="10">
        <f t="shared" si="428"/>
        <v>0.6258205267</v>
      </c>
      <c r="Q1987" s="67">
        <v>-11.619051</v>
      </c>
      <c r="S1987" s="68">
        <v>0.0096965382</v>
      </c>
      <c r="T1987" s="68">
        <v>0.010001051</v>
      </c>
      <c r="U1987" s="68">
        <v>5.1227107E-4</v>
      </c>
      <c r="V1987" s="68">
        <v>-8.1678398E-4</v>
      </c>
      <c r="X1987" s="69">
        <v>5.1166502E-6</v>
      </c>
    </row>
    <row r="1988" ht="12.75" customHeight="1">
      <c r="A1988" s="1" t="s">
        <v>2668</v>
      </c>
      <c r="B1988" s="2" t="s">
        <v>2543</v>
      </c>
      <c r="C1988" s="60" t="str">
        <f t="shared" si="431"/>
        <v>F.090.01.122</v>
      </c>
      <c r="D1988" s="51" t="s">
        <v>2648</v>
      </c>
      <c r="E1988" s="62" t="s">
        <v>45</v>
      </c>
      <c r="F1988" s="63" t="str">
        <f t="shared" si="432"/>
        <v>PVDC (Polyvinyliden chloride) waste incineration with electricity</v>
      </c>
      <c r="G1988" s="64">
        <v>0.0668139775396</v>
      </c>
      <c r="H1988" s="10">
        <f t="shared" si="427"/>
        <v>0.06681397754</v>
      </c>
      <c r="I1988" s="65">
        <v>7.640087560000001E-4</v>
      </c>
      <c r="J1988" s="65">
        <v>1.4113074360000012E-4</v>
      </c>
      <c r="K1988" s="65">
        <v>-6.871629599999999E-4</v>
      </c>
      <c r="L1988" s="65">
        <v>0.066596001</v>
      </c>
      <c r="N1988" s="66">
        <v>0.44397334000000005</v>
      </c>
      <c r="O1988" s="10">
        <f t="shared" si="428"/>
        <v>0.44397334</v>
      </c>
      <c r="Q1988" s="67">
        <v>-6.9050362</v>
      </c>
      <c r="S1988" s="68">
        <v>0.0069083679</v>
      </c>
      <c r="T1988" s="68">
        <v>0.0070358694</v>
      </c>
      <c r="U1988" s="68">
        <v>3.5790154E-4</v>
      </c>
      <c r="V1988" s="68">
        <v>-4.8540305E-4</v>
      </c>
      <c r="X1988" s="69">
        <v>4.9728832E-6</v>
      </c>
    </row>
    <row r="1989" ht="12.75" customHeight="1">
      <c r="A1989" s="1" t="s">
        <v>2669</v>
      </c>
      <c r="B1989" s="2" t="s">
        <v>2543</v>
      </c>
      <c r="C1989" s="60" t="str">
        <f t="shared" si="431"/>
        <v>F.090.01.123</v>
      </c>
      <c r="D1989" s="51" t="s">
        <v>2648</v>
      </c>
      <c r="E1989" s="62" t="s">
        <v>45</v>
      </c>
      <c r="F1989" s="63" t="str">
        <f t="shared" si="432"/>
        <v>Starch PBS 50%-50% (Polybutylene succinate) waste incineration with electricity</v>
      </c>
      <c r="G1989" s="64">
        <v>-0.1070171970006</v>
      </c>
      <c r="H1989" s="10">
        <f t="shared" si="427"/>
        <v>-0.107017197</v>
      </c>
      <c r="I1989" s="65">
        <v>0.0015479925450000002</v>
      </c>
      <c r="J1989" s="65">
        <v>6.536509044000001E-4</v>
      </c>
      <c r="K1989" s="65">
        <v>-0.0010631804499999999</v>
      </c>
      <c r="L1989" s="65">
        <v>-0.10815566</v>
      </c>
      <c r="N1989" s="66">
        <v>-0.7210377333333333</v>
      </c>
      <c r="O1989" s="10">
        <f t="shared" si="428"/>
        <v>-0.7210377333</v>
      </c>
      <c r="Q1989" s="67">
        <v>-10.683491</v>
      </c>
      <c r="S1989" s="68">
        <v>-0.012097918</v>
      </c>
      <c r="T1989" s="68">
        <v>-0.010837947</v>
      </c>
      <c r="U1989" s="68">
        <v>-5.0895426E-4</v>
      </c>
      <c r="V1989" s="68">
        <v>-7.5101696E-4</v>
      </c>
      <c r="X1989" s="69">
        <v>-3.1341056E-5</v>
      </c>
    </row>
    <row r="1990" ht="12.75" customHeight="1">
      <c r="A1990" s="1" t="s">
        <v>2670</v>
      </c>
      <c r="B1990" s="2" t="s">
        <v>2543</v>
      </c>
      <c r="C1990" s="60" t="str">
        <f t="shared" si="431"/>
        <v>F.090.01.124</v>
      </c>
      <c r="D1990" s="51" t="s">
        <v>2648</v>
      </c>
      <c r="E1990" s="62" t="s">
        <v>45</v>
      </c>
      <c r="F1990" s="63" t="str">
        <f t="shared" si="432"/>
        <v>PBS (Polybutylene succinate)  incineration with electricity</v>
      </c>
      <c r="G1990" s="64">
        <v>-0.18568990509219999</v>
      </c>
      <c r="H1990" s="10">
        <f t="shared" si="427"/>
        <v>-0.1856899051</v>
      </c>
      <c r="I1990" s="65">
        <v>-0.0016213343339999998</v>
      </c>
      <c r="J1990" s="65">
        <v>-0.0038883333082</v>
      </c>
      <c r="K1990" s="65">
        <v>-0.00175394745</v>
      </c>
      <c r="L1990" s="65">
        <v>-0.17842629</v>
      </c>
      <c r="N1990" s="66">
        <v>-1.1895086</v>
      </c>
      <c r="O1990" s="10">
        <f t="shared" si="428"/>
        <v>-1.1895086</v>
      </c>
      <c r="Q1990" s="67">
        <v>-17.624743</v>
      </c>
      <c r="S1990" s="68">
        <v>-0.020793811</v>
      </c>
      <c r="T1990" s="68">
        <v>-0.018677344</v>
      </c>
      <c r="U1990" s="68">
        <v>-8.77502E-4</v>
      </c>
      <c r="V1990" s="68">
        <v>-0.0012389658</v>
      </c>
      <c r="X1990" s="69">
        <v>-5.424139E-5</v>
      </c>
    </row>
    <row r="1991" ht="12.75" customHeight="1">
      <c r="A1991" s="1" t="s">
        <v>2671</v>
      </c>
      <c r="B1991" s="2" t="s">
        <v>2543</v>
      </c>
      <c r="C1991" s="60" t="str">
        <f t="shared" si="431"/>
        <v>F.090.01.125</v>
      </c>
      <c r="D1991" s="51" t="s">
        <v>2648</v>
      </c>
      <c r="E1991" s="62" t="s">
        <v>45</v>
      </c>
      <c r="F1991" s="63" t="str">
        <f t="shared" si="432"/>
        <v>PBAT (Polybutylene adipate terephthalate) waste incineration with electricity</v>
      </c>
      <c r="G1991" s="64">
        <v>-0.1843216819674</v>
      </c>
      <c r="H1991" s="10">
        <f t="shared" si="427"/>
        <v>-0.184321682</v>
      </c>
      <c r="I1991" s="65">
        <v>-0.0015662156099999999</v>
      </c>
      <c r="J1991" s="65">
        <v>-0.0038093422774</v>
      </c>
      <c r="K1991" s="65">
        <v>-0.00174193408</v>
      </c>
      <c r="L1991" s="65">
        <v>-0.17720419</v>
      </c>
      <c r="N1991" s="66">
        <v>-1.1813612666666669</v>
      </c>
      <c r="O1991" s="10">
        <f t="shared" si="428"/>
        <v>-1.181361267</v>
      </c>
      <c r="Q1991" s="67">
        <v>-17.504025</v>
      </c>
      <c r="S1991" s="68">
        <v>-0.020642578</v>
      </c>
      <c r="T1991" s="68">
        <v>-0.018541006</v>
      </c>
      <c r="U1991" s="68">
        <v>-8.7109247E-4</v>
      </c>
      <c r="V1991" s="68">
        <v>-0.0012304798</v>
      </c>
      <c r="X1991" s="69">
        <v>-5.3843123E-5</v>
      </c>
    </row>
    <row r="1992" ht="12.75" customHeight="1">
      <c r="A1992" s="1" t="s">
        <v>2672</v>
      </c>
      <c r="B1992" s="2" t="s">
        <v>2543</v>
      </c>
      <c r="C1992" s="60" t="str">
        <f t="shared" si="431"/>
        <v>F.090.01.126</v>
      </c>
      <c r="D1992" s="51" t="s">
        <v>2648</v>
      </c>
      <c r="E1992" s="62" t="s">
        <v>45</v>
      </c>
      <c r="F1992" s="63" t="str">
        <f t="shared" si="432"/>
        <v>PHB (Polyhydroxybutyrate) waste incineration with electricity</v>
      </c>
      <c r="G1992" s="64">
        <v>-0.1747441403602</v>
      </c>
      <c r="H1992" s="10">
        <f t="shared" si="427"/>
        <v>-0.1747441404</v>
      </c>
      <c r="I1992" s="65">
        <v>-0.0011803845080000002</v>
      </c>
      <c r="J1992" s="65">
        <v>-0.0032564051121999993</v>
      </c>
      <c r="K1992" s="65">
        <v>-0.0016578407400000001</v>
      </c>
      <c r="L1992" s="65">
        <v>-0.16864951</v>
      </c>
      <c r="N1992" s="66">
        <v>-1.1243300666666667</v>
      </c>
      <c r="O1992" s="10">
        <f t="shared" si="428"/>
        <v>-1.124330067</v>
      </c>
      <c r="Q1992" s="67">
        <v>-16.659003</v>
      </c>
      <c r="S1992" s="68">
        <v>-0.019583948</v>
      </c>
      <c r="T1992" s="68">
        <v>-0.017586645</v>
      </c>
      <c r="U1992" s="68">
        <v>-8.2622579E-4</v>
      </c>
      <c r="V1992" s="68">
        <v>-0.0011710773</v>
      </c>
      <c r="X1992" s="69">
        <v>-5.1055256E-5</v>
      </c>
    </row>
    <row r="1993" ht="12.75" customHeight="1">
      <c r="A1993" s="1" t="s">
        <v>2673</v>
      </c>
      <c r="B1993" s="2" t="s">
        <v>2543</v>
      </c>
      <c r="C1993" s="60" t="str">
        <f t="shared" si="431"/>
        <v>F.090.01.127</v>
      </c>
      <c r="D1993" s="51" t="s">
        <v>2648</v>
      </c>
      <c r="E1993" s="62" t="s">
        <v>45</v>
      </c>
      <c r="F1993" s="63" t="str">
        <f t="shared" si="432"/>
        <v>PAN (Polyacrylonitrile fibres) waste incineration with electricity</v>
      </c>
      <c r="G1993" s="64">
        <v>0.1750026075592</v>
      </c>
      <c r="H1993" s="10">
        <f t="shared" si="427"/>
        <v>0.1750026076</v>
      </c>
      <c r="I1993" s="65">
        <v>0.00221524727</v>
      </c>
      <c r="J1993" s="65">
        <v>4.474844392E-4</v>
      </c>
      <c r="K1993" s="65">
        <v>-0.0019581741500000003</v>
      </c>
      <c r="L1993" s="65">
        <v>0.17429805</v>
      </c>
      <c r="N1993" s="66">
        <v>1.161987</v>
      </c>
      <c r="O1993" s="10">
        <f t="shared" si="428"/>
        <v>1.161987</v>
      </c>
      <c r="Q1993" s="67">
        <v>-19.676939</v>
      </c>
      <c r="S1993" s="68">
        <v>0.018018778</v>
      </c>
      <c r="T1993" s="68">
        <v>0.018459891</v>
      </c>
      <c r="U1993" s="68">
        <v>9.4211661E-4</v>
      </c>
      <c r="V1993" s="68">
        <v>-0.001383229</v>
      </c>
      <c r="X1993" s="69">
        <v>1.1317145E-5</v>
      </c>
    </row>
    <row r="1994" ht="12.75" customHeight="1">
      <c r="A1994" s="1" t="s">
        <v>2674</v>
      </c>
      <c r="B1994" s="2" t="s">
        <v>2543</v>
      </c>
      <c r="C1994" s="60" t="str">
        <f t="shared" si="431"/>
        <v>F.090.01.128</v>
      </c>
      <c r="D1994" s="51" t="s">
        <v>2648</v>
      </c>
      <c r="E1994" s="62" t="s">
        <v>45</v>
      </c>
      <c r="F1994" s="63" t="str">
        <f t="shared" si="432"/>
        <v>bio-PP (Polypropylene) waste incineration with electricity</v>
      </c>
      <c r="G1994" s="64">
        <v>-0.2858813853899</v>
      </c>
      <c r="H1994" s="10">
        <f t="shared" si="427"/>
        <v>-0.2858813854</v>
      </c>
      <c r="I1994" s="65">
        <v>0.00321492252</v>
      </c>
      <c r="J1994" s="65">
        <v>6.73003950100001E-4</v>
      </c>
      <c r="K1994" s="65">
        <v>-0.00282073186</v>
      </c>
      <c r="L1994" s="65">
        <v>-0.28694858</v>
      </c>
      <c r="N1994" s="66">
        <v>-1.9129905333333335</v>
      </c>
      <c r="O1994" s="10">
        <f t="shared" si="428"/>
        <v>-1.912990533</v>
      </c>
      <c r="Q1994" s="67">
        <v>-28.344449</v>
      </c>
      <c r="S1994" s="68">
        <v>-0.032275628</v>
      </c>
      <c r="T1994" s="68">
        <v>-0.028924697</v>
      </c>
      <c r="U1994" s="68">
        <v>-0.001358402</v>
      </c>
      <c r="V1994" s="68">
        <v>-0.0019925286</v>
      </c>
      <c r="X1994" s="69">
        <v>-8.369336E-5</v>
      </c>
    </row>
    <row r="1995" ht="12.75" customHeight="1">
      <c r="A1995" s="1" t="s">
        <v>2675</v>
      </c>
      <c r="B1995" s="2" t="s">
        <v>2543</v>
      </c>
      <c r="C1995" s="60" t="str">
        <f t="shared" si="431"/>
        <v>F.090.01.129</v>
      </c>
      <c r="D1995" s="51" t="s">
        <v>2648</v>
      </c>
      <c r="E1995" s="62" t="s">
        <v>45</v>
      </c>
      <c r="F1995" s="63" t="str">
        <f t="shared" si="432"/>
        <v>bio-PET (Polyethylene terephthalate) waste incineration with electricity</v>
      </c>
      <c r="G1995" s="64">
        <v>0.11907467024940001</v>
      </c>
      <c r="H1995" s="10">
        <f t="shared" si="427"/>
        <v>0.1190746702</v>
      </c>
      <c r="I1995" s="65">
        <v>0.0017741384080000003</v>
      </c>
      <c r="J1995" s="65">
        <v>3.965351814000001E-4</v>
      </c>
      <c r="K1995" s="65">
        <v>-0.00153410334</v>
      </c>
      <c r="L1995" s="65">
        <v>0.1184381</v>
      </c>
      <c r="N1995" s="66">
        <v>0.7895873333333334</v>
      </c>
      <c r="O1995" s="10">
        <f t="shared" si="428"/>
        <v>0.7895873333</v>
      </c>
      <c r="Q1995" s="67">
        <v>-15.415614</v>
      </c>
      <c r="S1995" s="68">
        <v>0.012163691</v>
      </c>
      <c r="T1995" s="68">
        <v>0.012600352</v>
      </c>
      <c r="U1995" s="68">
        <v>6.470099E-4</v>
      </c>
      <c r="V1995" s="68">
        <v>-0.0010836708</v>
      </c>
      <c r="X1995" s="69">
        <v>5.5227768E-6</v>
      </c>
    </row>
    <row r="1996" ht="12.75" customHeight="1">
      <c r="A1996" s="1" t="s">
        <v>2676</v>
      </c>
      <c r="B1996" s="2" t="s">
        <v>2543</v>
      </c>
      <c r="C1996" s="60" t="str">
        <f t="shared" si="431"/>
        <v>F.090.01.130</v>
      </c>
      <c r="D1996" s="51" t="s">
        <v>2648</v>
      </c>
      <c r="E1996" s="62" t="s">
        <v>45</v>
      </c>
      <c r="F1996" s="63" t="str">
        <f t="shared" si="432"/>
        <v>PEF (Polyethylene furan-2.5-dicarboxylate) waste incineration with electricity</v>
      </c>
      <c r="G1996" s="64">
        <v>-0.1473302722186</v>
      </c>
      <c r="H1996" s="10">
        <f t="shared" si="427"/>
        <v>-0.1473302722</v>
      </c>
      <c r="I1996" s="65">
        <v>0.0016538338710000002</v>
      </c>
      <c r="J1996" s="65">
        <v>3.433478504000003E-4</v>
      </c>
      <c r="K1996" s="65">
        <v>-0.00145361394</v>
      </c>
      <c r="L1996" s="65">
        <v>-0.14787384</v>
      </c>
      <c r="N1996" s="66">
        <v>-0.9858256000000001</v>
      </c>
      <c r="O1996" s="10">
        <f t="shared" si="428"/>
        <v>-0.9858256</v>
      </c>
      <c r="Q1996" s="67">
        <v>-14.606807</v>
      </c>
      <c r="S1996" s="68">
        <v>-0.016633254</v>
      </c>
      <c r="T1996" s="68">
        <v>-0.014906385</v>
      </c>
      <c r="U1996" s="68">
        <v>-7.0005478E-4</v>
      </c>
      <c r="V1996" s="68">
        <v>-0.0010268141</v>
      </c>
      <c r="X1996" s="69">
        <v>-4.3131658E-5</v>
      </c>
    </row>
    <row r="1997" ht="12.75" customHeight="1">
      <c r="B1997" s="2"/>
      <c r="C1997" s="60"/>
      <c r="D1997" s="75" t="s">
        <v>2677</v>
      </c>
      <c r="E1997" s="62"/>
      <c r="G1997" s="10"/>
      <c r="H1997" s="10" t="str">
        <f t="shared" si="427"/>
        <v/>
      </c>
      <c r="I1997" s="10"/>
      <c r="J1997" s="10"/>
      <c r="K1997" s="10"/>
      <c r="L1997" s="10"/>
      <c r="N1997" s="10"/>
      <c r="O1997" s="10" t="str">
        <f t="shared" si="428"/>
        <v/>
      </c>
      <c r="Q1997" s="67"/>
    </row>
    <row r="1998" ht="12.75" customHeight="1">
      <c r="A1998" s="1" t="s">
        <v>2678</v>
      </c>
      <c r="B1998" s="2" t="s">
        <v>2543</v>
      </c>
      <c r="C1998" s="60" t="str">
        <f t="shared" ref="C1998:C2000" si="433">MID(A1998,1,12)</f>
        <v>F.100.01.101</v>
      </c>
      <c r="D1998" s="51" t="s">
        <v>2677</v>
      </c>
      <c r="E1998" s="62" t="s">
        <v>45</v>
      </c>
      <c r="F1998" s="63" t="str">
        <f t="shared" ref="F1998:F2000" si="434">MID(A1998, 21,85)</f>
        <v>Epoxies waste incineration with electricity</v>
      </c>
      <c r="G1998" s="64">
        <v>0.1887889095667</v>
      </c>
      <c r="H1998" s="10">
        <f t="shared" si="427"/>
        <v>0.1887889096</v>
      </c>
      <c r="I1998" s="65">
        <v>0.0024410289299999994</v>
      </c>
      <c r="J1998" s="65">
        <v>4.879015867E-4</v>
      </c>
      <c r="K1998" s="65">
        <v>-0.00216240095</v>
      </c>
      <c r="L1998" s="65">
        <v>0.18802238</v>
      </c>
      <c r="N1998" s="66">
        <v>1.2534825333333333</v>
      </c>
      <c r="O1998" s="10">
        <f t="shared" si="428"/>
        <v>1.253482533</v>
      </c>
      <c r="Q1998" s="67">
        <v>-21.729135</v>
      </c>
      <c r="S1998" s="68">
        <v>0.01941488</v>
      </c>
      <c r="T1998" s="68">
        <v>0.019924528</v>
      </c>
      <c r="U1998" s="68">
        <v>0.0010178445</v>
      </c>
      <c r="V1998" s="68">
        <v>-0.0015274921</v>
      </c>
      <c r="X1998" s="69">
        <v>1.166634E-5</v>
      </c>
    </row>
    <row r="1999" ht="12.75" customHeight="1">
      <c r="A1999" s="1" t="s">
        <v>2679</v>
      </c>
      <c r="B1999" s="2" t="s">
        <v>2543</v>
      </c>
      <c r="C1999" s="60" t="str">
        <f t="shared" si="433"/>
        <v>F.100.01.102</v>
      </c>
      <c r="D1999" s="51" t="s">
        <v>2677</v>
      </c>
      <c r="E1999" s="62" t="s">
        <v>45</v>
      </c>
      <c r="F1999" s="63" t="str">
        <f t="shared" si="434"/>
        <v>Phenolics (Bakelite) waste incineration with electricity</v>
      </c>
      <c r="G1999" s="64">
        <v>0.20530463812639999</v>
      </c>
      <c r="H1999" s="10">
        <f t="shared" si="427"/>
        <v>0.2053046381</v>
      </c>
      <c r="I1999" s="65">
        <v>0.00245091384</v>
      </c>
      <c r="J1999" s="65">
        <v>5.318731964E-4</v>
      </c>
      <c r="K1999" s="65">
        <v>-0.00213356891</v>
      </c>
      <c r="L1999" s="65">
        <v>0.20445542</v>
      </c>
      <c r="N1999" s="66">
        <v>1.3630361333333334</v>
      </c>
      <c r="O1999" s="10">
        <f t="shared" si="428"/>
        <v>1.363036133</v>
      </c>
      <c r="Q1999" s="67">
        <v>-21.439413</v>
      </c>
      <c r="S1999" s="68">
        <v>0.021214597</v>
      </c>
      <c r="T1999" s="68">
        <v>0.021621462</v>
      </c>
      <c r="U1999" s="68">
        <v>0.0011002598</v>
      </c>
      <c r="V1999" s="68">
        <v>-0.0015071256</v>
      </c>
      <c r="X1999" s="69">
        <v>1.5057227E-5</v>
      </c>
    </row>
    <row r="2000" ht="12.75" customHeight="1">
      <c r="A2000" s="1" t="s">
        <v>2680</v>
      </c>
      <c r="B2000" s="2" t="s">
        <v>2543</v>
      </c>
      <c r="C2000" s="60" t="str">
        <f t="shared" si="433"/>
        <v>F.100.01.103</v>
      </c>
      <c r="D2000" s="51" t="s">
        <v>2677</v>
      </c>
      <c r="E2000" s="62" t="s">
        <v>45</v>
      </c>
      <c r="F2000" s="63" t="str">
        <f t="shared" si="434"/>
        <v>Polyester waste incineration with electricity</v>
      </c>
      <c r="G2000" s="64">
        <v>0.1514473306171</v>
      </c>
      <c r="H2000" s="10">
        <f t="shared" si="427"/>
        <v>0.1514473306</v>
      </c>
      <c r="I2000" s="65">
        <v>0.00219586465</v>
      </c>
      <c r="J2000" s="65">
        <v>4.942207471000003E-4</v>
      </c>
      <c r="K2000" s="65">
        <v>-0.0018957047800000001</v>
      </c>
      <c r="L2000" s="65">
        <v>0.15065295</v>
      </c>
      <c r="N2000" s="66">
        <v>1.004353</v>
      </c>
      <c r="O2000" s="10">
        <f t="shared" si="428"/>
        <v>1.004353</v>
      </c>
      <c r="Q2000" s="67">
        <v>-19.049208</v>
      </c>
      <c r="S2000" s="68">
        <v>0.015496706</v>
      </c>
      <c r="T2000" s="68">
        <v>0.016014565</v>
      </c>
      <c r="U2000" s="68">
        <v>8.2124235E-4</v>
      </c>
      <c r="V2000" s="68">
        <v>-0.0013391014</v>
      </c>
      <c r="X2000" s="69">
        <v>7.625623E-6</v>
      </c>
    </row>
    <row r="2001" ht="12.75" customHeight="1">
      <c r="B2001" s="2"/>
      <c r="C2001" s="60"/>
      <c r="D2001" s="75" t="s">
        <v>2681</v>
      </c>
      <c r="E2001" s="62"/>
      <c r="G2001" s="10"/>
      <c r="H2001" s="10" t="str">
        <f t="shared" si="427"/>
        <v/>
      </c>
      <c r="I2001" s="10"/>
      <c r="J2001" s="10"/>
      <c r="K2001" s="10"/>
      <c r="L2001" s="10"/>
      <c r="N2001" s="10"/>
      <c r="O2001" s="10" t="str">
        <f t="shared" si="428"/>
        <v/>
      </c>
      <c r="Q2001" s="67"/>
    </row>
    <row r="2002" ht="12.75" customHeight="1">
      <c r="A2002" s="1" t="s">
        <v>2682</v>
      </c>
      <c r="B2002" s="2" t="s">
        <v>2543</v>
      </c>
      <c r="C2002" s="60" t="str">
        <f t="shared" ref="C2002:C2018" si="435">MID(A2002,1,12)</f>
        <v>F.104.01.101</v>
      </c>
      <c r="D2002" s="51" t="s">
        <v>2681</v>
      </c>
      <c r="E2002" s="62" t="s">
        <v>45</v>
      </c>
      <c r="F2002" s="63" t="str">
        <f t="shared" ref="F2002:F2018" si="436">MID(A2002, 21,85)</f>
        <v>Bisphenol A  waste incineration with electricity</v>
      </c>
      <c r="G2002" s="64">
        <v>0.2138756237284</v>
      </c>
      <c r="H2002" s="10">
        <f t="shared" si="427"/>
        <v>0.2138756237</v>
      </c>
      <c r="I2002" s="65">
        <v>0.00248018146</v>
      </c>
      <c r="J2002" s="65">
        <v>5.291085084000004E-4</v>
      </c>
      <c r="K2002" s="65">
        <v>-0.00216720624</v>
      </c>
      <c r="L2002" s="65">
        <v>0.21303354</v>
      </c>
      <c r="N2002" s="66">
        <v>1.4202236</v>
      </c>
      <c r="O2002" s="10">
        <f t="shared" si="428"/>
        <v>1.4202236</v>
      </c>
      <c r="Q2002" s="67">
        <v>-21.777422</v>
      </c>
      <c r="S2002" s="68">
        <v>0.022126787</v>
      </c>
      <c r="T2002" s="68">
        <v>0.022513124</v>
      </c>
      <c r="U2002" s="68">
        <v>0.0011445498</v>
      </c>
      <c r="V2002" s="68">
        <v>-0.0015308865</v>
      </c>
      <c r="X2002" s="69">
        <v>1.628428E-5</v>
      </c>
    </row>
    <row r="2003" ht="12.75" customHeight="1">
      <c r="A2003" s="1" t="s">
        <v>2683</v>
      </c>
      <c r="B2003" s="2" t="s">
        <v>2543</v>
      </c>
      <c r="C2003" s="60" t="str">
        <f t="shared" si="435"/>
        <v>F.104.01.102</v>
      </c>
      <c r="D2003" s="51" t="s">
        <v>2681</v>
      </c>
      <c r="E2003" s="62" t="s">
        <v>45</v>
      </c>
      <c r="F2003" s="63" t="str">
        <f t="shared" si="436"/>
        <v>DEHP  waste incineration with electricity</v>
      </c>
      <c r="G2003" s="64">
        <v>0.1631969472933</v>
      </c>
      <c r="H2003" s="10">
        <f t="shared" si="427"/>
        <v>0.1631969473</v>
      </c>
      <c r="I2003" s="65">
        <v>0.00169369177</v>
      </c>
      <c r="J2003" s="65">
        <v>-6.427234467000003E-4</v>
      </c>
      <c r="K2003" s="65">
        <v>-0.00237864103</v>
      </c>
      <c r="L2003" s="65">
        <v>0.16452462</v>
      </c>
      <c r="N2003" s="66">
        <v>1.0968308000000002</v>
      </c>
      <c r="O2003" s="10">
        <f t="shared" si="428"/>
        <v>1.0968308</v>
      </c>
      <c r="Q2003" s="67">
        <v>-23.902048</v>
      </c>
      <c r="S2003" s="68">
        <v>0.016579324</v>
      </c>
      <c r="T2003" s="68">
        <v>0.017362443</v>
      </c>
      <c r="U2003" s="68">
        <v>8.9712217E-4</v>
      </c>
      <c r="V2003" s="68">
        <v>-0.0016802413</v>
      </c>
      <c r="X2003" s="69">
        <v>4.3674956E-6</v>
      </c>
    </row>
    <row r="2004" ht="12.75" customHeight="1">
      <c r="A2004" s="1" t="s">
        <v>2684</v>
      </c>
      <c r="B2004" s="2" t="s">
        <v>2543</v>
      </c>
      <c r="C2004" s="60" t="str">
        <f t="shared" si="435"/>
        <v>F.104.01.103</v>
      </c>
      <c r="D2004" s="51" t="s">
        <v>2681</v>
      </c>
      <c r="E2004" s="62" t="s">
        <v>45</v>
      </c>
      <c r="F2004" s="63" t="str">
        <f t="shared" si="436"/>
        <v>DINP  waste incineration with electricity</v>
      </c>
      <c r="G2004" s="64">
        <v>0.1638518382549</v>
      </c>
      <c r="H2004" s="10">
        <f t="shared" si="427"/>
        <v>0.1638518383</v>
      </c>
      <c r="I2004" s="65">
        <v>0.0018177999799999997</v>
      </c>
      <c r="J2004" s="65">
        <v>-5.393767251000002E-4</v>
      </c>
      <c r="K2004" s="65">
        <v>-0.002418285</v>
      </c>
      <c r="L2004" s="65">
        <v>0.1649917</v>
      </c>
      <c r="N2004" s="66">
        <v>1.0999446666666666</v>
      </c>
      <c r="O2004" s="10">
        <f t="shared" si="428"/>
        <v>1.099944667</v>
      </c>
      <c r="Q2004" s="67">
        <v>-24.300416</v>
      </c>
      <c r="S2004" s="68">
        <v>0.016628588</v>
      </c>
      <c r="T2004" s="68">
        <v>0.017435373</v>
      </c>
      <c r="U2004" s="68">
        <v>9.0146061E-4</v>
      </c>
      <c r="V2004" s="68">
        <v>-0.0017082453</v>
      </c>
      <c r="X2004" s="69">
        <v>4.0756735E-6</v>
      </c>
    </row>
    <row r="2005" ht="12.75" customHeight="1">
      <c r="A2005" s="1" t="s">
        <v>2685</v>
      </c>
      <c r="B2005" s="2" t="s">
        <v>2543</v>
      </c>
      <c r="C2005" s="60" t="str">
        <f t="shared" si="435"/>
        <v>F.104.01.104</v>
      </c>
      <c r="D2005" s="51" t="s">
        <v>2681</v>
      </c>
      <c r="E2005" s="62" t="s">
        <v>45</v>
      </c>
      <c r="F2005" s="63" t="str">
        <f t="shared" si="436"/>
        <v>Epichlorohydrin  waste incineration with electricity</v>
      </c>
      <c r="G2005" s="64">
        <v>0.0959756504488</v>
      </c>
      <c r="H2005" s="10">
        <f t="shared" si="427"/>
        <v>0.09597565045</v>
      </c>
      <c r="I2005" s="65">
        <v>0.001363435899</v>
      </c>
      <c r="J2005" s="65">
        <v>3.146477498000001E-4</v>
      </c>
      <c r="K2005" s="65">
        <v>-0.0011700992</v>
      </c>
      <c r="L2005" s="65">
        <v>0.095467666</v>
      </c>
      <c r="N2005" s="66">
        <v>0.6364511066666667</v>
      </c>
      <c r="O2005" s="10">
        <f t="shared" si="428"/>
        <v>0.6364511067</v>
      </c>
      <c r="Q2005" s="67">
        <v>-11.757876</v>
      </c>
      <c r="S2005" s="68">
        <v>0.0098350945</v>
      </c>
      <c r="T2005" s="68">
        <v>0.01014215</v>
      </c>
      <c r="U2005" s="68">
        <v>5.194878E-4</v>
      </c>
      <c r="V2005" s="68">
        <v>-8.2654296E-4</v>
      </c>
      <c r="X2005" s="69">
        <v>5.1725431E-6</v>
      </c>
    </row>
    <row r="2006" ht="12.75" customHeight="1">
      <c r="A2006" s="1" t="s">
        <v>2686</v>
      </c>
      <c r="B2006" s="2" t="s">
        <v>2543</v>
      </c>
      <c r="C2006" s="60" t="str">
        <f t="shared" si="435"/>
        <v>F.104.01.105</v>
      </c>
      <c r="D2006" s="51" t="s">
        <v>2681</v>
      </c>
      <c r="E2006" s="62" t="s">
        <v>45</v>
      </c>
      <c r="F2006" s="63" t="str">
        <f t="shared" si="436"/>
        <v>EVOH  waste incineration with electricity</v>
      </c>
      <c r="G2006" s="64">
        <v>0.1270978026863</v>
      </c>
      <c r="H2006" s="10">
        <f t="shared" si="427"/>
        <v>0.1270978027</v>
      </c>
      <c r="I2006" s="65">
        <v>0.0014245667600000002</v>
      </c>
      <c r="J2006" s="65">
        <v>-9.091864537E-4</v>
      </c>
      <c r="K2006" s="65">
        <v>-0.00233058762</v>
      </c>
      <c r="L2006" s="65">
        <v>0.12891301</v>
      </c>
      <c r="N2006" s="66">
        <v>0.8594200666666667</v>
      </c>
      <c r="O2006" s="10">
        <f t="shared" si="428"/>
        <v>0.8594200667</v>
      </c>
      <c r="Q2006" s="67">
        <v>-23.419179</v>
      </c>
      <c r="S2006" s="68">
        <v>0.012702491</v>
      </c>
      <c r="T2006" s="68">
        <v>0.013634897</v>
      </c>
      <c r="U2006" s="68">
        <v>7.1389124E-4</v>
      </c>
      <c r="V2006" s="68">
        <v>-0.0016462971</v>
      </c>
      <c r="X2006" s="69">
        <v>-1.8653194E-6</v>
      </c>
    </row>
    <row r="2007" ht="12.75" customHeight="1">
      <c r="A2007" s="1" t="s">
        <v>2687</v>
      </c>
      <c r="B2007" s="2" t="s">
        <v>2543</v>
      </c>
      <c r="C2007" s="60" t="str">
        <f t="shared" si="435"/>
        <v>F.104.01.106</v>
      </c>
      <c r="D2007" s="51" t="s">
        <v>2681</v>
      </c>
      <c r="E2007" s="62" t="s">
        <v>45</v>
      </c>
      <c r="F2007" s="63" t="str">
        <f t="shared" si="436"/>
        <v>Formaldehyde  waste incineration with electricity</v>
      </c>
      <c r="G2007" s="64">
        <v>0.1026625849233</v>
      </c>
      <c r="H2007" s="10">
        <f t="shared" si="427"/>
        <v>0.1026625849</v>
      </c>
      <c r="I2007" s="65">
        <v>0.0013353070809999999</v>
      </c>
      <c r="J2007" s="65">
        <v>2.8923896229999976E-4</v>
      </c>
      <c r="K2007" s="65">
        <v>-0.00116289112</v>
      </c>
      <c r="L2007" s="65">
        <v>0.10220093</v>
      </c>
      <c r="N2007" s="66">
        <v>0.6813395333333333</v>
      </c>
      <c r="O2007" s="10">
        <f t="shared" si="428"/>
        <v>0.6813395333</v>
      </c>
      <c r="Q2007" s="67">
        <v>-11.685446</v>
      </c>
      <c r="S2007" s="68">
        <v>0.010563032</v>
      </c>
      <c r="T2007" s="68">
        <v>0.010831419</v>
      </c>
      <c r="U2007" s="68">
        <v>5.5306401E-4</v>
      </c>
      <c r="V2007" s="68">
        <v>-8.2145132E-4</v>
      </c>
      <c r="X2007" s="69">
        <v>6.4896136E-6</v>
      </c>
    </row>
    <row r="2008" ht="12.75" customHeight="1">
      <c r="A2008" s="1" t="s">
        <v>2688</v>
      </c>
      <c r="B2008" s="2" t="s">
        <v>2543</v>
      </c>
      <c r="C2008" s="60" t="str">
        <f t="shared" si="435"/>
        <v>F.104.01.107</v>
      </c>
      <c r="D2008" s="51" t="s">
        <v>2681</v>
      </c>
      <c r="E2008" s="62" t="s">
        <v>45</v>
      </c>
      <c r="F2008" s="63" t="str">
        <f t="shared" si="436"/>
        <v>MDI  waste incineration with electricity</v>
      </c>
      <c r="G2008" s="64">
        <v>0.2084765612759</v>
      </c>
      <c r="H2008" s="10">
        <f t="shared" si="427"/>
        <v>0.2084765613</v>
      </c>
      <c r="I2008" s="65">
        <v>0.00209931584</v>
      </c>
      <c r="J2008" s="65">
        <v>4.303696059000003E-4</v>
      </c>
      <c r="K2008" s="65">
        <v>-0.00185005417</v>
      </c>
      <c r="L2008" s="65">
        <v>0.20779693</v>
      </c>
      <c r="N2008" s="66">
        <v>1.3853128666666668</v>
      </c>
      <c r="O2008" s="10">
        <f t="shared" si="428"/>
        <v>1.385312867</v>
      </c>
      <c r="Q2008" s="67">
        <v>-18.590482</v>
      </c>
      <c r="S2008" s="68">
        <v>0.021692807</v>
      </c>
      <c r="T2008" s="68">
        <v>0.021891839</v>
      </c>
      <c r="U2008" s="68">
        <v>0.0011078221</v>
      </c>
      <c r="V2008" s="68">
        <v>-0.0013068544</v>
      </c>
      <c r="X2008" s="69">
        <v>1.8711987E-5</v>
      </c>
    </row>
    <row r="2009" ht="12.75" customHeight="1">
      <c r="A2009" s="1" t="s">
        <v>2689</v>
      </c>
      <c r="B2009" s="2" t="s">
        <v>2543</v>
      </c>
      <c r="C2009" s="60" t="str">
        <f t="shared" si="435"/>
        <v>F.104.01.108</v>
      </c>
      <c r="D2009" s="51" t="s">
        <v>2681</v>
      </c>
      <c r="E2009" s="62" t="s">
        <v>45</v>
      </c>
      <c r="F2009" s="63" t="str">
        <f t="shared" si="436"/>
        <v>MMA monomer  waste incineration with electricity</v>
      </c>
      <c r="G2009" s="64">
        <v>0.1592111368521</v>
      </c>
      <c r="H2009" s="10">
        <f t="shared" si="427"/>
        <v>0.1592111369</v>
      </c>
      <c r="I2009" s="65">
        <v>0.0019364424019999995</v>
      </c>
      <c r="J2009" s="65">
        <v>4.2049579009999965E-4</v>
      </c>
      <c r="K2009" s="65">
        <v>-0.00168547134</v>
      </c>
      <c r="L2009" s="65">
        <v>0.15853967</v>
      </c>
      <c r="N2009" s="66">
        <v>1.0569311333333333</v>
      </c>
      <c r="O2009" s="10">
        <f t="shared" si="428"/>
        <v>1.056931133</v>
      </c>
      <c r="Q2009" s="67">
        <v>-16.936653</v>
      </c>
      <c r="S2009" s="68">
        <v>0.016437036</v>
      </c>
      <c r="T2009" s="68">
        <v>0.016773468</v>
      </c>
      <c r="U2009" s="68">
        <v>8.5416376E-4</v>
      </c>
      <c r="V2009" s="68">
        <v>-0.0011905952</v>
      </c>
      <c r="X2009" s="69">
        <v>1.1341938E-5</v>
      </c>
    </row>
    <row r="2010" ht="12.75" customHeight="1">
      <c r="A2010" s="1" t="s">
        <v>2690</v>
      </c>
      <c r="B2010" s="2" t="s">
        <v>2543</v>
      </c>
      <c r="C2010" s="60" t="str">
        <f t="shared" si="435"/>
        <v>F.104.01.109</v>
      </c>
      <c r="D2010" s="51" t="s">
        <v>2681</v>
      </c>
      <c r="E2010" s="62" t="s">
        <v>45</v>
      </c>
      <c r="F2010" s="63" t="str">
        <f t="shared" si="436"/>
        <v>Nafion  waste incineration with electricity</v>
      </c>
      <c r="G2010" s="64">
        <v>0.0611976865482</v>
      </c>
      <c r="H2010" s="10">
        <f t="shared" si="427"/>
        <v>0.06119768655</v>
      </c>
      <c r="I2010" s="65">
        <v>8.442271429999999E-4</v>
      </c>
      <c r="J2010" s="65">
        <v>4.647306062000002E-4</v>
      </c>
      <c r="K2010" s="65">
        <v>-4.82936201E-4</v>
      </c>
      <c r="L2010" s="65">
        <v>0.060371665</v>
      </c>
      <c r="N2010" s="66">
        <v>0.4024777666666667</v>
      </c>
      <c r="O2010" s="10">
        <f t="shared" si="428"/>
        <v>0.4024777667</v>
      </c>
      <c r="Q2010" s="67">
        <v>-4.8528401</v>
      </c>
      <c r="S2010" s="68">
        <v>0.0063853224</v>
      </c>
      <c r="T2010" s="68">
        <v>0.006403656</v>
      </c>
      <c r="U2010" s="68">
        <v>3.2280632E-4</v>
      </c>
      <c r="V2010" s="68">
        <v>-3.4113991E-4</v>
      </c>
      <c r="X2010" s="69">
        <v>6.2037998E-6</v>
      </c>
    </row>
    <row r="2011" ht="12.75" customHeight="1">
      <c r="A2011" s="1" t="s">
        <v>2691</v>
      </c>
      <c r="B2011" s="2" t="s">
        <v>2543</v>
      </c>
      <c r="C2011" s="60" t="str">
        <f t="shared" si="435"/>
        <v>F.104.01.110</v>
      </c>
      <c r="D2011" s="51" t="s">
        <v>2681</v>
      </c>
      <c r="E2011" s="62" t="s">
        <v>45</v>
      </c>
      <c r="F2011" s="63" t="str">
        <f t="shared" si="436"/>
        <v>Paperfoam  waste incineration with electricity</v>
      </c>
      <c r="G2011" s="64">
        <v>-0.1070171970006</v>
      </c>
      <c r="H2011" s="10">
        <f t="shared" si="427"/>
        <v>-0.107017197</v>
      </c>
      <c r="I2011" s="65">
        <v>0.0015479925450000002</v>
      </c>
      <c r="J2011" s="65">
        <v>6.536509044000001E-4</v>
      </c>
      <c r="K2011" s="65">
        <v>-0.0010631804499999999</v>
      </c>
      <c r="L2011" s="65">
        <v>-0.10815566</v>
      </c>
      <c r="N2011" s="66">
        <v>-0.7210377333333333</v>
      </c>
      <c r="O2011" s="10">
        <f t="shared" si="428"/>
        <v>-0.7210377333</v>
      </c>
      <c r="Q2011" s="67">
        <v>-10.683491</v>
      </c>
      <c r="S2011" s="68">
        <v>-0.012097918</v>
      </c>
      <c r="T2011" s="68">
        <v>-0.010837947</v>
      </c>
      <c r="U2011" s="68">
        <v>-5.0895426E-4</v>
      </c>
      <c r="V2011" s="68">
        <v>-7.5101696E-4</v>
      </c>
      <c r="X2011" s="69">
        <v>-3.1341056E-5</v>
      </c>
    </row>
    <row r="2012" ht="12.75" customHeight="1">
      <c r="A2012" s="1" t="s">
        <v>2692</v>
      </c>
      <c r="B2012" s="2" t="s">
        <v>2543</v>
      </c>
      <c r="C2012" s="60" t="str">
        <f t="shared" si="435"/>
        <v>F.104.01.111</v>
      </c>
      <c r="D2012" s="51" t="s">
        <v>2681</v>
      </c>
      <c r="E2012" s="62" t="s">
        <v>45</v>
      </c>
      <c r="F2012" s="63" t="str">
        <f t="shared" si="436"/>
        <v>PEEK (Polyetheretherketone)  waste incineration with electricity</v>
      </c>
      <c r="G2012" s="64">
        <v>0.21669469680349998</v>
      </c>
      <c r="H2012" s="10">
        <f t="shared" si="427"/>
        <v>0.2166946968</v>
      </c>
      <c r="I2012" s="65">
        <v>0.0022401417300000003</v>
      </c>
      <c r="J2012" s="65">
        <v>4.086472535000003E-4</v>
      </c>
      <c r="K2012" s="65">
        <v>-0.00201944218</v>
      </c>
      <c r="L2012" s="65">
        <v>0.21606535</v>
      </c>
      <c r="N2012" s="66">
        <v>1.4404356666666667</v>
      </c>
      <c r="O2012" s="10">
        <f t="shared" si="428"/>
        <v>1.440435667</v>
      </c>
      <c r="Q2012" s="67">
        <v>-20.292598</v>
      </c>
      <c r="S2012" s="68">
        <v>0.022504316</v>
      </c>
      <c r="T2012" s="68">
        <v>0.022776335</v>
      </c>
      <c r="U2012" s="68">
        <v>0.0011544887</v>
      </c>
      <c r="V2012" s="68">
        <v>-0.0014265079</v>
      </c>
      <c r="X2012" s="69">
        <v>1.8394413E-5</v>
      </c>
    </row>
    <row r="2013" ht="12.75" customHeight="1">
      <c r="A2013" s="1" t="s">
        <v>2693</v>
      </c>
      <c r="B2013" s="2" t="s">
        <v>2543</v>
      </c>
      <c r="C2013" s="60" t="str">
        <f t="shared" si="435"/>
        <v>F.104.01.112</v>
      </c>
      <c r="D2013" s="51" t="s">
        <v>2681</v>
      </c>
      <c r="E2013" s="62" t="s">
        <v>45</v>
      </c>
      <c r="F2013" s="63" t="str">
        <f t="shared" si="436"/>
        <v>PEI (Polyether Imide) waste incineration with electricity</v>
      </c>
      <c r="G2013" s="64">
        <v>0.2212889278181</v>
      </c>
      <c r="H2013" s="10">
        <f t="shared" si="427"/>
        <v>0.2212889278</v>
      </c>
      <c r="I2013" s="65">
        <v>-0.008548914805</v>
      </c>
      <c r="J2013" s="65">
        <v>-0.0122515085869</v>
      </c>
      <c r="K2013" s="65">
        <v>-0.00186326879</v>
      </c>
      <c r="L2013" s="65">
        <v>0.24395262</v>
      </c>
      <c r="N2013" s="66">
        <v>1.6263508000000002</v>
      </c>
      <c r="O2013" s="10">
        <f t="shared" si="428"/>
        <v>1.6263508</v>
      </c>
      <c r="Q2013" s="67">
        <v>-18.723271</v>
      </c>
      <c r="S2013" s="68">
        <v>0.023466336</v>
      </c>
      <c r="T2013" s="68">
        <v>0.023588506</v>
      </c>
      <c r="U2013" s="68">
        <v>0.0011940191</v>
      </c>
      <c r="V2013" s="68">
        <v>-0.001316189</v>
      </c>
      <c r="X2013" s="69">
        <v>1.8809707E-5</v>
      </c>
    </row>
    <row r="2014" ht="12.75" customHeight="1">
      <c r="A2014" s="1" t="s">
        <v>2694</v>
      </c>
      <c r="B2014" s="2" t="s">
        <v>2543</v>
      </c>
      <c r="C2014" s="60" t="str">
        <f t="shared" si="435"/>
        <v>F.104.01.113</v>
      </c>
      <c r="D2014" s="51" t="s">
        <v>2681</v>
      </c>
      <c r="E2014" s="62" t="s">
        <v>45</v>
      </c>
      <c r="F2014" s="63" t="str">
        <f t="shared" si="436"/>
        <v>Phthalic anhydride waste incineration with electricity</v>
      </c>
      <c r="G2014" s="64">
        <v>0.2136488404458</v>
      </c>
      <c r="H2014" s="10">
        <f t="shared" si="427"/>
        <v>0.2136488404</v>
      </c>
      <c r="I2014" s="65">
        <v>0.001590925697</v>
      </c>
      <c r="J2014" s="65">
        <v>3.128047187999997E-4</v>
      </c>
      <c r="K2014" s="65">
        <v>-0.00141396997</v>
      </c>
      <c r="L2014" s="65">
        <v>0.21315908</v>
      </c>
      <c r="N2014" s="66">
        <v>1.4210605333333335</v>
      </c>
      <c r="O2014" s="10">
        <f t="shared" si="428"/>
        <v>1.421060533</v>
      </c>
      <c r="Q2014" s="67">
        <v>-14.20844</v>
      </c>
      <c r="S2014" s="68">
        <v>0.022458926</v>
      </c>
      <c r="T2014" s="68">
        <v>0.022336866</v>
      </c>
      <c r="U2014" s="68">
        <v>0.001120871</v>
      </c>
      <c r="V2014" s="68">
        <v>-9.9881012E-4</v>
      </c>
      <c r="X2014" s="69">
        <v>2.4394555E-5</v>
      </c>
    </row>
    <row r="2015" ht="12.75" customHeight="1">
      <c r="A2015" s="1" t="s">
        <v>2695</v>
      </c>
      <c r="B2015" s="2" t="s">
        <v>2543</v>
      </c>
      <c r="C2015" s="60" t="str">
        <f t="shared" si="435"/>
        <v>F.104.01.114</v>
      </c>
      <c r="D2015" s="51" t="s">
        <v>2681</v>
      </c>
      <c r="E2015" s="62" t="s">
        <v>45</v>
      </c>
      <c r="F2015" s="63" t="str">
        <f t="shared" si="436"/>
        <v>Polyether-polyols waste incineration with electricity</v>
      </c>
      <c r="G2015" s="64">
        <v>0.21227588648</v>
      </c>
      <c r="H2015" s="10">
        <f t="shared" si="427"/>
        <v>0.2122758865</v>
      </c>
      <c r="I2015" s="65">
        <v>0.00238306322</v>
      </c>
      <c r="J2015" s="65">
        <v>4.793441700000001E-4</v>
      </c>
      <c r="K2015" s="65">
        <v>-0.00210834091</v>
      </c>
      <c r="L2015" s="65">
        <v>0.21152182</v>
      </c>
      <c r="N2015" s="66">
        <v>1.4101454666666666</v>
      </c>
      <c r="O2015" s="10">
        <f t="shared" si="428"/>
        <v>1.410145467</v>
      </c>
      <c r="Q2015" s="67">
        <v>-21.185907</v>
      </c>
      <c r="S2015" s="68">
        <v>0.021982523</v>
      </c>
      <c r="T2015" s="68">
        <v>0.022337059</v>
      </c>
      <c r="U2015" s="68">
        <v>0.0011347686</v>
      </c>
      <c r="V2015" s="68">
        <v>-0.0014893048</v>
      </c>
      <c r="X2015" s="69">
        <v>1.661848E-5</v>
      </c>
    </row>
    <row r="2016" ht="12.75" customHeight="1">
      <c r="A2016" s="1" t="s">
        <v>2696</v>
      </c>
      <c r="B2016" s="2" t="s">
        <v>2543</v>
      </c>
      <c r="C2016" s="60" t="str">
        <f t="shared" si="435"/>
        <v>F.104.01.115</v>
      </c>
      <c r="D2016" s="51" t="s">
        <v>2681</v>
      </c>
      <c r="E2016" s="62" t="s">
        <v>45</v>
      </c>
      <c r="F2016" s="63" t="str">
        <f t="shared" si="436"/>
        <v>PPS  waste incineration with electricity</v>
      </c>
      <c r="G2016" s="64">
        <v>0.1784765612759</v>
      </c>
      <c r="H2016" s="10">
        <f t="shared" si="427"/>
        <v>0.1784765613</v>
      </c>
      <c r="I2016" s="65">
        <v>0.00209931584</v>
      </c>
      <c r="J2016" s="65">
        <v>4.303696059000003E-4</v>
      </c>
      <c r="K2016" s="65">
        <v>-0.00185005417</v>
      </c>
      <c r="L2016" s="65">
        <v>0.17779693</v>
      </c>
      <c r="N2016" s="66">
        <v>1.1853128666666666</v>
      </c>
      <c r="O2016" s="10">
        <f t="shared" si="428"/>
        <v>1.185312867</v>
      </c>
      <c r="Q2016" s="67">
        <v>-18.590482</v>
      </c>
      <c r="S2016" s="68">
        <v>0.018445571</v>
      </c>
      <c r="T2016" s="68">
        <v>0.018796031</v>
      </c>
      <c r="U2016" s="68">
        <v>9.5639399E-4</v>
      </c>
      <c r="V2016" s="68">
        <v>-0.0013068544</v>
      </c>
      <c r="X2016" s="69">
        <v>1.3135456E-5</v>
      </c>
    </row>
    <row r="2017" ht="12.75" customHeight="1">
      <c r="A2017" s="1" t="s">
        <v>2697</v>
      </c>
      <c r="B2017" s="2" t="s">
        <v>2543</v>
      </c>
      <c r="C2017" s="60" t="str">
        <f t="shared" si="435"/>
        <v>F.104.01.116</v>
      </c>
      <c r="D2017" s="51" t="s">
        <v>2681</v>
      </c>
      <c r="E2017" s="62" t="s">
        <v>45</v>
      </c>
      <c r="F2017" s="63" t="str">
        <f t="shared" si="436"/>
        <v>PVOH (PVA) waste incineration with electricity</v>
      </c>
      <c r="G2017" s="64">
        <v>0.1576065965933</v>
      </c>
      <c r="H2017" s="10">
        <f t="shared" si="427"/>
        <v>0.1576065966</v>
      </c>
      <c r="I2017" s="65">
        <v>0.00162950879</v>
      </c>
      <c r="J2017" s="65">
        <v>3.6809844330000036E-4</v>
      </c>
      <c r="K2017" s="65">
        <v>-0.00140556064</v>
      </c>
      <c r="L2017" s="65">
        <v>0.15701455</v>
      </c>
      <c r="N2017" s="66">
        <v>1.0467636666666666</v>
      </c>
      <c r="O2017" s="10">
        <f t="shared" si="428"/>
        <v>1.046763667</v>
      </c>
      <c r="Q2017" s="67">
        <v>-14.123938</v>
      </c>
      <c r="S2017" s="68">
        <v>0.016395041</v>
      </c>
      <c r="T2017" s="68">
        <v>0.016550266</v>
      </c>
      <c r="U2017" s="68">
        <v>8.3764417E-4</v>
      </c>
      <c r="V2017" s="68">
        <v>-9.9286988E-4</v>
      </c>
      <c r="X2017" s="69">
        <v>1.4077933E-5</v>
      </c>
    </row>
    <row r="2018" ht="12.75" customHeight="1">
      <c r="A2018" s="1" t="s">
        <v>2698</v>
      </c>
      <c r="B2018" s="2" t="s">
        <v>2543</v>
      </c>
      <c r="C2018" s="60" t="str">
        <f t="shared" si="435"/>
        <v>F.104.01.117</v>
      </c>
      <c r="D2018" s="51" t="s">
        <v>2681</v>
      </c>
      <c r="E2018" s="62" t="s">
        <v>45</v>
      </c>
      <c r="F2018" s="63" t="str">
        <f t="shared" si="436"/>
        <v>TDI waste incineration with electricity</v>
      </c>
      <c r="G2018" s="64">
        <v>0.1805404039408</v>
      </c>
      <c r="H2018" s="10">
        <f t="shared" si="427"/>
        <v>0.1805404039</v>
      </c>
      <c r="I2018" s="65">
        <v>0.0018100565809999998</v>
      </c>
      <c r="J2018" s="65">
        <v>3.7349602980000016E-4</v>
      </c>
      <c r="K2018" s="65">
        <v>-0.0015929686699999999</v>
      </c>
      <c r="L2018" s="65">
        <v>0.17994982</v>
      </c>
      <c r="N2018" s="66">
        <v>1.1996654666666668</v>
      </c>
      <c r="O2018" s="10">
        <f t="shared" si="428"/>
        <v>1.199665467</v>
      </c>
      <c r="Q2018" s="67">
        <v>-16.007129</v>
      </c>
      <c r="S2018" s="68">
        <v>0.018790179</v>
      </c>
      <c r="T2018" s="68">
        <v>0.018956339</v>
      </c>
      <c r="U2018" s="68">
        <v>9.5909219E-4</v>
      </c>
      <c r="V2018" s="68">
        <v>-0.0011252525</v>
      </c>
      <c r="X2018" s="69">
        <v>1.6304442E-5</v>
      </c>
    </row>
    <row r="2019" ht="12.75" customHeight="1">
      <c r="B2019" s="2"/>
      <c r="C2019" s="60"/>
      <c r="D2019" s="75" t="s">
        <v>2699</v>
      </c>
      <c r="E2019" s="62"/>
      <c r="G2019" s="10"/>
      <c r="H2019" s="10"/>
      <c r="I2019" s="10"/>
      <c r="J2019" s="10"/>
      <c r="K2019" s="10"/>
      <c r="L2019" s="10"/>
      <c r="N2019" s="10"/>
      <c r="O2019" s="10" t="str">
        <f t="shared" si="428"/>
        <v/>
      </c>
      <c r="Q2019" s="67"/>
    </row>
    <row r="2020" ht="12.75" customHeight="1">
      <c r="A2020" s="1" t="s">
        <v>2700</v>
      </c>
      <c r="B2020" s="2" t="s">
        <v>2543</v>
      </c>
      <c r="C2020" s="60" t="str">
        <f t="shared" ref="C2020:C2022" si="437">MID(A2020,1,12)</f>
        <v>F.105.01.101</v>
      </c>
      <c r="D2020" s="51" t="s">
        <v>2699</v>
      </c>
      <c r="E2020" s="62" t="s">
        <v>45</v>
      </c>
      <c r="F2020" s="63" t="str">
        <f t="shared" ref="F2020:F2022" si="438">MID(A2020, 21,85)</f>
        <v>AKD (Alkyl ketene dimers) waste incineration with electricity</v>
      </c>
      <c r="G2020" s="64">
        <v>-0.2912783975099</v>
      </c>
      <c r="H2020" s="10">
        <f t="shared" ref="H2020:H2022" si="439">G2020</f>
        <v>-0.2912783975</v>
      </c>
      <c r="I2020" s="65">
        <v>-0.003921903829999999</v>
      </c>
      <c r="J2020" s="65">
        <v>-0.0077068912299000005</v>
      </c>
      <c r="K2020" s="65">
        <v>-0.0027222224499999998</v>
      </c>
      <c r="L2020" s="65">
        <v>-0.27692738</v>
      </c>
      <c r="N2020" s="66">
        <v>-1.8461825333333335</v>
      </c>
      <c r="O2020" s="10">
        <f t="shared" si="428"/>
        <v>-1.846182533</v>
      </c>
      <c r="Q2020" s="67">
        <v>-27.354567</v>
      </c>
      <c r="S2020" s="68">
        <v>-0.032554453</v>
      </c>
      <c r="T2020" s="68">
        <v>-0.02925683</v>
      </c>
      <c r="U2020" s="68">
        <v>-0.0013746802</v>
      </c>
      <c r="V2020" s="68">
        <v>-0.0019229429</v>
      </c>
      <c r="X2020" s="69">
        <v>-8.5039836E-5</v>
      </c>
    </row>
    <row r="2021" ht="12.75" customHeight="1">
      <c r="A2021" s="1" t="s">
        <v>2701</v>
      </c>
      <c r="B2021" s="2" t="s">
        <v>2543</v>
      </c>
      <c r="C2021" s="60" t="str">
        <f t="shared" si="437"/>
        <v>F.105.01.102</v>
      </c>
      <c r="D2021" s="51" t="s">
        <v>2699</v>
      </c>
      <c r="E2021" s="62" t="s">
        <v>45</v>
      </c>
      <c r="F2021" s="63" t="str">
        <f t="shared" si="438"/>
        <v>ASA (Acrylonitrile styrene acrylate) waste incineration with electricity</v>
      </c>
      <c r="G2021" s="64">
        <v>0.1525757916698</v>
      </c>
      <c r="H2021" s="10">
        <f t="shared" si="439"/>
        <v>0.1525757917</v>
      </c>
      <c r="I2021" s="65">
        <v>-0.002404384508</v>
      </c>
      <c r="J2021" s="65">
        <v>-0.004712473082199999</v>
      </c>
      <c r="K2021" s="65">
        <v>-0.0016578407400000001</v>
      </c>
      <c r="L2021" s="65">
        <v>0.16135049</v>
      </c>
      <c r="N2021" s="66">
        <v>1.0756699333333335</v>
      </c>
      <c r="O2021" s="10">
        <f t="shared" si="428"/>
        <v>1.075669933</v>
      </c>
      <c r="Q2021" s="67">
        <v>-16.659003</v>
      </c>
      <c r="S2021" s="68">
        <v>0.01589066</v>
      </c>
      <c r="T2021" s="68">
        <v>0.016233356</v>
      </c>
      <c r="U2021" s="68">
        <v>8.283811E-4</v>
      </c>
      <c r="V2021" s="68">
        <v>-0.0011710773</v>
      </c>
      <c r="X2021" s="69">
        <v>9.5426678E-6</v>
      </c>
    </row>
    <row r="2022" ht="12.75" customHeight="1">
      <c r="A2022" s="1" t="s">
        <v>2702</v>
      </c>
      <c r="B2022" s="2" t="s">
        <v>2543</v>
      </c>
      <c r="C2022" s="60" t="str">
        <f t="shared" si="437"/>
        <v>F.105.01.103</v>
      </c>
      <c r="D2022" s="51" t="s">
        <v>2699</v>
      </c>
      <c r="E2022" s="62" t="s">
        <v>45</v>
      </c>
      <c r="F2022" s="63" t="str">
        <f t="shared" si="438"/>
        <v>Rosin (from wood, pine) waste incineration with electricity</v>
      </c>
      <c r="G2022" s="64">
        <v>-0.2753888319073</v>
      </c>
      <c r="H2022" s="10">
        <f t="shared" si="439"/>
        <v>-0.2753888319</v>
      </c>
      <c r="I2022" s="65">
        <v>-0.00635088549</v>
      </c>
      <c r="J2022" s="65">
        <v>-0.010368230667299999</v>
      </c>
      <c r="K2022" s="65">
        <v>-0.00251799575</v>
      </c>
      <c r="L2022" s="65">
        <v>-0.25615172</v>
      </c>
      <c r="N2022" s="66">
        <v>-1.7076781333333335</v>
      </c>
      <c r="O2022" s="10">
        <f t="shared" si="428"/>
        <v>-1.707678133</v>
      </c>
      <c r="Q2022" s="67">
        <v>-25.30237</v>
      </c>
      <c r="S2022" s="68">
        <v>-0.030657215</v>
      </c>
      <c r="T2022" s="68">
        <v>-0.027582285</v>
      </c>
      <c r="U2022" s="68">
        <v>-0.0012962505</v>
      </c>
      <c r="V2022" s="68">
        <v>-0.0017786797</v>
      </c>
      <c r="X2022" s="69">
        <v>-8.0315063E-5</v>
      </c>
    </row>
    <row r="2023" ht="12.75" customHeight="1">
      <c r="B2023" s="2"/>
      <c r="C2023" s="60"/>
      <c r="D2023" s="51"/>
      <c r="E2023" s="62"/>
      <c r="G2023" s="10"/>
      <c r="H2023" s="10"/>
      <c r="I2023" s="10"/>
      <c r="J2023" s="10"/>
      <c r="K2023" s="10"/>
      <c r="L2023" s="10"/>
      <c r="N2023" s="10"/>
      <c r="O2023" s="10"/>
      <c r="Q2023" s="67"/>
    </row>
    <row r="2024" ht="12.75" customHeight="1">
      <c r="B2024" s="2"/>
      <c r="C2024" s="60"/>
      <c r="D2024" s="75" t="s">
        <v>2703</v>
      </c>
      <c r="E2024" s="62"/>
      <c r="G2024" s="10"/>
      <c r="H2024" s="10"/>
      <c r="I2024" s="10"/>
      <c r="J2024" s="10"/>
      <c r="K2024" s="10"/>
      <c r="L2024" s="10"/>
      <c r="N2024" s="10"/>
      <c r="O2024" s="10"/>
      <c r="Q2024" s="67"/>
    </row>
    <row r="2025" ht="12.75" customHeight="1">
      <c r="A2025" s="1" t="s">
        <v>2704</v>
      </c>
      <c r="B2025" s="2" t="s">
        <v>2543</v>
      </c>
      <c r="C2025" s="60" t="str">
        <f t="shared" ref="C2025:C2032" si="440">MID(A2025,1,12)</f>
        <v>F.106.01.101</v>
      </c>
      <c r="D2025" s="51" t="s">
        <v>2703</v>
      </c>
      <c r="E2025" s="62" t="s">
        <v>45</v>
      </c>
      <c r="F2025" s="63" t="str">
        <f t="shared" ref="F2025:F2032" si="441">MID(A2025, 21,85)</f>
        <v>BR and IIR (Butyl rubber) waste combustion - clean tech without heat recovery</v>
      </c>
      <c r="G2025" s="64">
        <v>0.554216932</v>
      </c>
      <c r="H2025" s="10">
        <f t="shared" ref="H2025:H2092" si="442">G2025</f>
        <v>0.554216932</v>
      </c>
      <c r="I2025" s="65">
        <v>0.0167688</v>
      </c>
      <c r="J2025" s="65">
        <v>0.019948132</v>
      </c>
      <c r="K2025" s="65">
        <v>0.0</v>
      </c>
      <c r="L2025" s="65">
        <v>0.5175</v>
      </c>
      <c r="N2025" s="66">
        <v>3.4499999999999997</v>
      </c>
      <c r="O2025" s="10">
        <f t="shared" ref="O2025:O2088" si="443">N2025</f>
        <v>3.45</v>
      </c>
      <c r="Q2025" s="67">
        <v>0.0</v>
      </c>
      <c r="S2025" s="68">
        <v>0.059371181</v>
      </c>
      <c r="T2025" s="68">
        <v>0.056606939</v>
      </c>
      <c r="U2025" s="68">
        <v>0.0027642413</v>
      </c>
      <c r="V2025" s="68">
        <v>0.0</v>
      </c>
      <c r="X2025" s="69">
        <v>1.0638677E-4</v>
      </c>
    </row>
    <row r="2026" ht="12.75" customHeight="1">
      <c r="A2026" s="1" t="s">
        <v>2705</v>
      </c>
      <c r="B2026" s="2" t="s">
        <v>2543</v>
      </c>
      <c r="C2026" s="60" t="str">
        <f t="shared" si="440"/>
        <v>F.106.01.102</v>
      </c>
      <c r="D2026" s="51" t="s">
        <v>2703</v>
      </c>
      <c r="E2026" s="62" t="s">
        <v>45</v>
      </c>
      <c r="F2026" s="63" t="str">
        <f t="shared" si="441"/>
        <v>EVA (Ethylene vinyl acetate) waste combustion - clean tech without heat recovery</v>
      </c>
      <c r="G2026" s="64">
        <v>0.381366847</v>
      </c>
      <c r="H2026" s="10">
        <f t="shared" si="442"/>
        <v>0.381366847</v>
      </c>
      <c r="I2026" s="65">
        <v>0.0152388</v>
      </c>
      <c r="J2026" s="65">
        <v>0.018128047</v>
      </c>
      <c r="K2026" s="65">
        <v>0.0</v>
      </c>
      <c r="L2026" s="65">
        <v>0.348</v>
      </c>
      <c r="N2026" s="66">
        <v>2.32</v>
      </c>
      <c r="O2026" s="10">
        <f t="shared" si="443"/>
        <v>2.32</v>
      </c>
      <c r="Q2026" s="67">
        <v>0.0</v>
      </c>
      <c r="S2026" s="68">
        <v>0.04071806</v>
      </c>
      <c r="T2026" s="68">
        <v>0.038823265</v>
      </c>
      <c r="U2026" s="68">
        <v>0.0018947941</v>
      </c>
      <c r="V2026" s="68">
        <v>0.0</v>
      </c>
      <c r="X2026" s="69">
        <v>7.3949476E-5</v>
      </c>
    </row>
    <row r="2027" ht="12.75" customHeight="1">
      <c r="A2027" s="1" t="s">
        <v>2706</v>
      </c>
      <c r="B2027" s="2" t="s">
        <v>2543</v>
      </c>
      <c r="C2027" s="60" t="str">
        <f t="shared" si="440"/>
        <v>F.106.01.103</v>
      </c>
      <c r="D2027" s="51" t="s">
        <v>2703</v>
      </c>
      <c r="E2027" s="62" t="s">
        <v>45</v>
      </c>
      <c r="F2027" s="63" t="str">
        <f t="shared" si="441"/>
        <v>IR (Polyisoprene rubber) waste combustion - clean tech without heat recovery</v>
      </c>
      <c r="G2027" s="64">
        <v>0.522180918</v>
      </c>
      <c r="H2027" s="10">
        <f t="shared" si="442"/>
        <v>0.522180918</v>
      </c>
      <c r="I2027" s="65">
        <v>0.016524</v>
      </c>
      <c r="J2027" s="65">
        <v>0.019656918</v>
      </c>
      <c r="K2027" s="65">
        <v>0.0</v>
      </c>
      <c r="L2027" s="65">
        <v>0.486</v>
      </c>
      <c r="N2027" s="66">
        <v>3.24</v>
      </c>
      <c r="O2027" s="10">
        <f t="shared" si="443"/>
        <v>3.24</v>
      </c>
      <c r="Q2027" s="67">
        <v>0.0</v>
      </c>
      <c r="S2027" s="68">
        <v>0.055912585</v>
      </c>
      <c r="T2027" s="68">
        <v>0.053309564</v>
      </c>
      <c r="U2027" s="68">
        <v>0.0026030212</v>
      </c>
      <c r="V2027" s="68">
        <v>0.0</v>
      </c>
      <c r="X2027" s="69">
        <v>1.0038263E-4</v>
      </c>
    </row>
    <row r="2028" ht="12.75" customHeight="1">
      <c r="A2028" s="1" t="s">
        <v>2707</v>
      </c>
      <c r="B2028" s="2" t="s">
        <v>2543</v>
      </c>
      <c r="C2028" s="60" t="str">
        <f t="shared" si="440"/>
        <v>F.106.01.104</v>
      </c>
      <c r="D2028" s="51" t="s">
        <v>2703</v>
      </c>
      <c r="E2028" s="62" t="s">
        <v>45</v>
      </c>
      <c r="F2028" s="63" t="str">
        <f t="shared" si="441"/>
        <v>Natural rubber waste combustion - clean tech without heat recovery</v>
      </c>
      <c r="G2028" s="64">
        <v>0.036180918</v>
      </c>
      <c r="H2028" s="10">
        <f t="shared" si="442"/>
        <v>0.036180918</v>
      </c>
      <c r="I2028" s="65">
        <v>0.016524</v>
      </c>
      <c r="J2028" s="65">
        <v>0.019656918</v>
      </c>
      <c r="K2028" s="65">
        <v>0.0</v>
      </c>
      <c r="L2028" s="65">
        <v>0.0</v>
      </c>
      <c r="N2028" s="66">
        <v>0.0</v>
      </c>
      <c r="O2028" s="10">
        <f t="shared" si="443"/>
        <v>0</v>
      </c>
      <c r="Q2028" s="67">
        <v>0.0</v>
      </c>
      <c r="S2028" s="68">
        <v>0.0033073594</v>
      </c>
      <c r="T2028" s="68">
        <v>0.003157474</v>
      </c>
      <c r="U2028" s="68">
        <v>1.4988542E-4</v>
      </c>
      <c r="V2028" s="68">
        <v>0.0</v>
      </c>
      <c r="X2028" s="69">
        <v>1.0042828E-5</v>
      </c>
    </row>
    <row r="2029" ht="12.75" customHeight="1">
      <c r="A2029" s="1" t="s">
        <v>2708</v>
      </c>
      <c r="B2029" s="2" t="s">
        <v>2543</v>
      </c>
      <c r="C2029" s="60" t="str">
        <f t="shared" si="440"/>
        <v>F.106.01.105</v>
      </c>
      <c r="D2029" s="51" t="s">
        <v>2703</v>
      </c>
      <c r="E2029" s="62" t="s">
        <v>45</v>
      </c>
      <c r="F2029" s="63" t="str">
        <f t="shared" si="441"/>
        <v>Polychloroprene (Neoprene, CR) waste combustion - clean tech without heat recovery</v>
      </c>
      <c r="G2029" s="64">
        <v>0.8335310708</v>
      </c>
      <c r="H2029" s="10">
        <f t="shared" si="442"/>
        <v>0.8335310708</v>
      </c>
      <c r="I2029" s="65">
        <v>0.067161197</v>
      </c>
      <c r="J2029" s="65">
        <v>0.4678698738</v>
      </c>
      <c r="K2029" s="65">
        <v>0.0</v>
      </c>
      <c r="L2029" s="65">
        <v>0.2985</v>
      </c>
      <c r="N2029" s="66">
        <v>1.99</v>
      </c>
      <c r="O2029" s="10">
        <f t="shared" si="443"/>
        <v>1.99</v>
      </c>
      <c r="Q2029" s="67">
        <v>0.0</v>
      </c>
      <c r="S2029" s="68">
        <v>0.033620694</v>
      </c>
      <c r="T2029" s="68">
        <v>0.032054585</v>
      </c>
      <c r="U2029" s="68">
        <v>0.001566109</v>
      </c>
      <c r="V2029" s="68">
        <v>0.0</v>
      </c>
      <c r="X2029" s="69">
        <v>1.5346654E-4</v>
      </c>
    </row>
    <row r="2030" ht="12.75" customHeight="1">
      <c r="A2030" s="1" t="s">
        <v>2709</v>
      </c>
      <c r="B2030" s="2" t="s">
        <v>2543</v>
      </c>
      <c r="C2030" s="60" t="str">
        <f t="shared" si="440"/>
        <v>F.106.01.106</v>
      </c>
      <c r="D2030" s="51" t="s">
        <v>2703</v>
      </c>
      <c r="E2030" s="62" t="s">
        <v>45</v>
      </c>
      <c r="F2030" s="63" t="str">
        <f t="shared" si="441"/>
        <v>PU (Polyurethane) waste combustion - clean tech without heat recovery</v>
      </c>
      <c r="G2030" s="64">
        <v>0.427620612</v>
      </c>
      <c r="H2030" s="10">
        <f t="shared" si="442"/>
        <v>0.427620612</v>
      </c>
      <c r="I2030" s="65">
        <v>0.011016</v>
      </c>
      <c r="J2030" s="65">
        <v>0.013104612</v>
      </c>
      <c r="K2030" s="65">
        <v>0.0</v>
      </c>
      <c r="L2030" s="65">
        <v>0.4035</v>
      </c>
      <c r="N2030" s="66">
        <v>2.6900000000000004</v>
      </c>
      <c r="O2030" s="10">
        <f t="shared" si="443"/>
        <v>2.69</v>
      </c>
      <c r="Q2030" s="67">
        <v>0.0</v>
      </c>
      <c r="S2030" s="68">
        <v>0.045880232</v>
      </c>
      <c r="T2030" s="68">
        <v>0.0437436</v>
      </c>
      <c r="U2030" s="68">
        <v>0.0021366321</v>
      </c>
      <c r="V2030" s="68">
        <v>0.0</v>
      </c>
      <c r="X2030" s="69">
        <v>8.1699557E-5</v>
      </c>
    </row>
    <row r="2031" ht="12.75" customHeight="1">
      <c r="A2031" s="1" t="s">
        <v>2710</v>
      </c>
      <c r="B2031" s="2" t="s">
        <v>2543</v>
      </c>
      <c r="C2031" s="60" t="str">
        <f t="shared" si="440"/>
        <v>F.106.01.107</v>
      </c>
      <c r="D2031" s="51" t="s">
        <v>2703</v>
      </c>
      <c r="E2031" s="62" t="s">
        <v>45</v>
      </c>
      <c r="F2031" s="63" t="str">
        <f t="shared" si="441"/>
        <v>SBR (Styrene butadiene rubber) waste combustion - clean tech without heat recovery</v>
      </c>
      <c r="G2031" s="64">
        <v>0.554216932</v>
      </c>
      <c r="H2031" s="10">
        <f t="shared" si="442"/>
        <v>0.554216932</v>
      </c>
      <c r="I2031" s="65">
        <v>0.0167688</v>
      </c>
      <c r="J2031" s="65">
        <v>0.019948132</v>
      </c>
      <c r="K2031" s="65">
        <v>0.0</v>
      </c>
      <c r="L2031" s="65">
        <v>0.5175</v>
      </c>
      <c r="N2031" s="66">
        <v>3.4499999999999997</v>
      </c>
      <c r="O2031" s="10">
        <f t="shared" si="443"/>
        <v>3.45</v>
      </c>
      <c r="Q2031" s="67">
        <v>0.0</v>
      </c>
      <c r="S2031" s="68">
        <v>0.059371181</v>
      </c>
      <c r="T2031" s="68">
        <v>0.056606939</v>
      </c>
      <c r="U2031" s="68">
        <v>0.0027642413</v>
      </c>
      <c r="V2031" s="68">
        <v>0.0</v>
      </c>
      <c r="X2031" s="69">
        <v>1.0638677E-4</v>
      </c>
    </row>
    <row r="2032" ht="12.75" customHeight="1">
      <c r="A2032" s="1" t="s">
        <v>2711</v>
      </c>
      <c r="B2032" s="2" t="s">
        <v>2543</v>
      </c>
      <c r="C2032" s="60" t="str">
        <f t="shared" si="440"/>
        <v>F.106.01.108</v>
      </c>
      <c r="D2032" s="51" t="s">
        <v>2703</v>
      </c>
      <c r="E2032" s="62" t="s">
        <v>45</v>
      </c>
      <c r="F2032" s="63" t="str">
        <f t="shared" si="441"/>
        <v>Silicone rubbers combustion - clean tech without heat recovery</v>
      </c>
      <c r="G2032" s="64">
        <v>0.2977562856</v>
      </c>
      <c r="H2032" s="10">
        <f t="shared" si="442"/>
        <v>0.2977562856</v>
      </c>
      <c r="I2032" s="65">
        <v>0.0051408</v>
      </c>
      <c r="J2032" s="65">
        <v>0.0061154856</v>
      </c>
      <c r="K2032" s="65">
        <v>0.0</v>
      </c>
      <c r="L2032" s="65">
        <v>0.2865</v>
      </c>
      <c r="N2032" s="66">
        <v>1.91</v>
      </c>
      <c r="O2032" s="10">
        <f t="shared" si="443"/>
        <v>1.91</v>
      </c>
      <c r="Q2032" s="67">
        <v>0.0</v>
      </c>
      <c r="S2032" s="68">
        <v>0.032040061</v>
      </c>
      <c r="T2032" s="68">
        <v>0.030547292</v>
      </c>
      <c r="U2032" s="68">
        <v>0.0014927697</v>
      </c>
      <c r="V2032" s="68">
        <v>0.0</v>
      </c>
      <c r="X2032" s="69">
        <v>5.6380304E-5</v>
      </c>
    </row>
    <row r="2033" ht="12.75" customHeight="1">
      <c r="B2033" s="2"/>
      <c r="C2033" s="60"/>
      <c r="D2033" s="75" t="s">
        <v>2712</v>
      </c>
      <c r="E2033" s="62"/>
      <c r="G2033" s="10"/>
      <c r="H2033" s="10" t="str">
        <f t="shared" si="442"/>
        <v/>
      </c>
      <c r="I2033" s="10"/>
      <c r="J2033" s="10"/>
      <c r="K2033" s="10"/>
      <c r="L2033" s="10"/>
      <c r="N2033" s="10"/>
      <c r="O2033" s="10" t="str">
        <f t="shared" si="443"/>
        <v/>
      </c>
      <c r="Q2033" s="67"/>
    </row>
    <row r="2034" ht="12.75" customHeight="1">
      <c r="A2034" s="1" t="s">
        <v>2713</v>
      </c>
      <c r="B2034" s="2" t="s">
        <v>2543</v>
      </c>
      <c r="C2034" s="60" t="str">
        <f t="shared" ref="C2034:C2038" si="444">MID(A2034,1,12)</f>
        <v>F.106.02.101</v>
      </c>
      <c r="D2034" s="51" t="s">
        <v>2712</v>
      </c>
      <c r="E2034" s="62" t="s">
        <v>45</v>
      </c>
      <c r="F2034" s="63" t="str">
        <f t="shared" ref="F2034:F2038" si="445">MID(A2034, 21,85)</f>
        <v>CFRP (50%) waste combustion - clean tech without heat recovery</v>
      </c>
      <c r="G2034" s="64">
        <v>0.49203434339999996</v>
      </c>
      <c r="H2034" s="10">
        <f t="shared" si="442"/>
        <v>0.4920343434</v>
      </c>
      <c r="I2034" s="65">
        <v>0.0061812</v>
      </c>
      <c r="J2034" s="65">
        <v>0.0073531434</v>
      </c>
      <c r="K2034" s="65">
        <v>0.0</v>
      </c>
      <c r="L2034" s="65">
        <v>0.4785</v>
      </c>
      <c r="N2034" s="66">
        <v>3.19</v>
      </c>
      <c r="O2034" s="10">
        <f t="shared" si="443"/>
        <v>3.19</v>
      </c>
      <c r="Q2034" s="67">
        <v>0.0</v>
      </c>
      <c r="S2034" s="68">
        <v>0.053030614</v>
      </c>
      <c r="T2034" s="68">
        <v>0.050559267</v>
      </c>
      <c r="U2034" s="68">
        <v>0.002471347</v>
      </c>
      <c r="V2034" s="68">
        <v>0.0</v>
      </c>
      <c r="X2034" s="69">
        <v>9.2702426E-5</v>
      </c>
    </row>
    <row r="2035" ht="12.75" customHeight="1">
      <c r="A2035" s="1" t="s">
        <v>2714</v>
      </c>
      <c r="B2035" s="2" t="s">
        <v>2543</v>
      </c>
      <c r="C2035" s="60" t="str">
        <f t="shared" si="444"/>
        <v>F.106.02.102</v>
      </c>
      <c r="D2035" s="51" t="s">
        <v>2712</v>
      </c>
      <c r="E2035" s="62" t="s">
        <v>45</v>
      </c>
      <c r="F2035" s="63" t="str">
        <f t="shared" si="445"/>
        <v>DMC (50%) waste combustion - clean tech without heat recovery</v>
      </c>
      <c r="G2035" s="64">
        <v>0.2175343434</v>
      </c>
      <c r="H2035" s="10">
        <f t="shared" si="442"/>
        <v>0.2175343434</v>
      </c>
      <c r="I2035" s="65">
        <v>0.0061812</v>
      </c>
      <c r="J2035" s="65">
        <v>0.0073531434</v>
      </c>
      <c r="K2035" s="65">
        <v>0.0</v>
      </c>
      <c r="L2035" s="65">
        <v>0.204</v>
      </c>
      <c r="N2035" s="66">
        <v>1.3599999999999999</v>
      </c>
      <c r="O2035" s="10">
        <f t="shared" si="443"/>
        <v>1.36</v>
      </c>
      <c r="Q2035" s="67">
        <v>0.0</v>
      </c>
      <c r="S2035" s="68">
        <v>0.023318403</v>
      </c>
      <c r="T2035" s="68">
        <v>0.022232624</v>
      </c>
      <c r="U2035" s="68">
        <v>0.0010857796</v>
      </c>
      <c r="V2035" s="68">
        <v>0.0</v>
      </c>
      <c r="X2035" s="69">
        <v>4.167717E-5</v>
      </c>
    </row>
    <row r="2036" ht="12.75" customHeight="1">
      <c r="A2036" s="1" t="s">
        <v>2715</v>
      </c>
      <c r="B2036" s="2" t="s">
        <v>2543</v>
      </c>
      <c r="C2036" s="60" t="str">
        <f t="shared" si="444"/>
        <v>F.106.02.103</v>
      </c>
      <c r="D2036" s="51" t="s">
        <v>2712</v>
      </c>
      <c r="E2036" s="62" t="s">
        <v>45</v>
      </c>
      <c r="F2036" s="63" t="str">
        <f t="shared" si="445"/>
        <v>Flexible Polymer Foam, waste combustion - clean tech without heat recovery</v>
      </c>
      <c r="G2036" s="64">
        <v>0.8439849380000001</v>
      </c>
      <c r="H2036" s="10">
        <f t="shared" si="442"/>
        <v>0.843984938</v>
      </c>
      <c r="I2036" s="65">
        <v>0.0168912</v>
      </c>
      <c r="J2036" s="65">
        <v>0.020093738</v>
      </c>
      <c r="K2036" s="65">
        <v>0.0</v>
      </c>
      <c r="L2036" s="65">
        <v>0.807</v>
      </c>
      <c r="N2036" s="66">
        <v>5.380000000000001</v>
      </c>
      <c r="O2036" s="10">
        <f t="shared" si="443"/>
        <v>5.38</v>
      </c>
      <c r="Q2036" s="67">
        <v>0.0</v>
      </c>
      <c r="S2036" s="68">
        <v>0.090731508</v>
      </c>
      <c r="T2036" s="68">
        <v>0.086504875</v>
      </c>
      <c r="U2036" s="68">
        <v>0.0042266331</v>
      </c>
      <c r="V2036" s="68">
        <v>0.0</v>
      </c>
      <c r="X2036" s="69">
        <v>1.6027468E-4</v>
      </c>
    </row>
    <row r="2037" ht="12.75" customHeight="1">
      <c r="A2037" s="1" t="s">
        <v>2716</v>
      </c>
      <c r="B2037" s="2" t="s">
        <v>2543</v>
      </c>
      <c r="C2037" s="60" t="str">
        <f t="shared" si="444"/>
        <v>F.106.02.104</v>
      </c>
      <c r="D2037" s="51" t="s">
        <v>2712</v>
      </c>
      <c r="E2037" s="62" t="s">
        <v>45</v>
      </c>
      <c r="F2037" s="63" t="str">
        <f t="shared" si="445"/>
        <v>GFRP (50%) waste combustion - clean tech without heat recovery</v>
      </c>
      <c r="G2037" s="64">
        <v>0.2175343434</v>
      </c>
      <c r="H2037" s="10">
        <f t="shared" si="442"/>
        <v>0.2175343434</v>
      </c>
      <c r="I2037" s="65">
        <v>0.0061812</v>
      </c>
      <c r="J2037" s="65">
        <v>0.0073531434</v>
      </c>
      <c r="K2037" s="65">
        <v>0.0</v>
      </c>
      <c r="L2037" s="65">
        <v>0.204</v>
      </c>
      <c r="N2037" s="66">
        <v>1.3599999999999999</v>
      </c>
      <c r="O2037" s="10">
        <f t="shared" si="443"/>
        <v>1.36</v>
      </c>
      <c r="Q2037" s="67">
        <v>0.0</v>
      </c>
      <c r="S2037" s="68">
        <v>0.023318403</v>
      </c>
      <c r="T2037" s="68">
        <v>0.022232624</v>
      </c>
      <c r="U2037" s="68">
        <v>0.0010857796</v>
      </c>
      <c r="V2037" s="68">
        <v>0.0</v>
      </c>
      <c r="X2037" s="69">
        <v>4.167717E-5</v>
      </c>
    </row>
    <row r="2038" ht="12.75" customHeight="1">
      <c r="A2038" s="1" t="s">
        <v>2717</v>
      </c>
      <c r="B2038" s="2" t="s">
        <v>2543</v>
      </c>
      <c r="C2038" s="60" t="str">
        <f t="shared" si="444"/>
        <v>F.106.02.110</v>
      </c>
      <c r="D2038" s="51" t="s">
        <v>2712</v>
      </c>
      <c r="E2038" s="62" t="s">
        <v>45</v>
      </c>
      <c r="F2038" s="63" t="str">
        <f t="shared" si="445"/>
        <v>SMC waste combustion - clean tech without heat recovery</v>
      </c>
      <c r="G2038" s="64">
        <v>0.2722043604</v>
      </c>
      <c r="H2038" s="10">
        <f t="shared" si="442"/>
        <v>0.2722043604</v>
      </c>
      <c r="I2038" s="65">
        <v>0.0064872</v>
      </c>
      <c r="J2038" s="65">
        <v>0.0077171604</v>
      </c>
      <c r="K2038" s="65">
        <v>0.0</v>
      </c>
      <c r="L2038" s="65">
        <v>0.258</v>
      </c>
      <c r="N2038" s="66">
        <v>1.7200000000000002</v>
      </c>
      <c r="O2038" s="10">
        <f t="shared" si="443"/>
        <v>1.72</v>
      </c>
      <c r="Q2038" s="67">
        <v>0.0</v>
      </c>
      <c r="S2038" s="68">
        <v>0.029224676</v>
      </c>
      <c r="T2038" s="68">
        <v>0.02786355</v>
      </c>
      <c r="U2038" s="68">
        <v>0.0013611259</v>
      </c>
      <c r="V2038" s="68">
        <v>0.0</v>
      </c>
      <c r="X2038" s="69">
        <v>5.1900904E-5</v>
      </c>
    </row>
    <row r="2039" ht="12.75" customHeight="1">
      <c r="B2039" s="2"/>
      <c r="C2039" s="60"/>
      <c r="D2039" s="75" t="s">
        <v>2718</v>
      </c>
      <c r="E2039" s="62"/>
      <c r="G2039" s="10"/>
      <c r="H2039" s="10" t="str">
        <f t="shared" si="442"/>
        <v/>
      </c>
      <c r="I2039" s="10"/>
      <c r="J2039" s="10"/>
      <c r="K2039" s="10"/>
      <c r="L2039" s="10"/>
      <c r="N2039" s="10"/>
      <c r="O2039" s="10" t="str">
        <f t="shared" si="443"/>
        <v/>
      </c>
      <c r="Q2039" s="67"/>
    </row>
    <row r="2040" ht="12.75" customHeight="1">
      <c r="A2040" s="1" t="s">
        <v>2719</v>
      </c>
      <c r="B2040" s="2" t="s">
        <v>2543</v>
      </c>
      <c r="C2040" s="60" t="str">
        <f t="shared" ref="C2040:C2066" si="446">MID(A2040,1,12)</f>
        <v>F.106.03.101</v>
      </c>
      <c r="D2040" s="51" t="s">
        <v>2718</v>
      </c>
      <c r="E2040" s="62" t="s">
        <v>45</v>
      </c>
      <c r="F2040" s="63" t="str">
        <f t="shared" ref="F2040:F2066" si="447">MID(A2040, 21,85)</f>
        <v>ABS (Acrylonitrile butadiene styrene) waste combustion - clean tech without heat reco</v>
      </c>
      <c r="G2040" s="64">
        <v>0.501526813</v>
      </c>
      <c r="H2040" s="10">
        <f t="shared" si="442"/>
        <v>0.501526813</v>
      </c>
      <c r="I2040" s="65">
        <v>0.0146268</v>
      </c>
      <c r="J2040" s="65">
        <v>0.017400013</v>
      </c>
      <c r="K2040" s="65">
        <v>0.0</v>
      </c>
      <c r="L2040" s="65">
        <v>0.4695</v>
      </c>
      <c r="N2040" s="66">
        <v>3.13</v>
      </c>
      <c r="O2040" s="10">
        <f t="shared" si="443"/>
        <v>3.13</v>
      </c>
      <c r="Q2040" s="67">
        <v>0.0</v>
      </c>
      <c r="S2040" s="68">
        <v>0.053746871</v>
      </c>
      <c r="T2040" s="68">
        <v>0.051244344</v>
      </c>
      <c r="U2040" s="68">
        <v>0.0025025267</v>
      </c>
      <c r="V2040" s="68">
        <v>0.0</v>
      </c>
      <c r="X2040" s="69">
        <v>9.6162468E-5</v>
      </c>
    </row>
    <row r="2041" ht="12.75" customHeight="1">
      <c r="A2041" s="1" t="s">
        <v>2720</v>
      </c>
      <c r="B2041" s="2" t="s">
        <v>2543</v>
      </c>
      <c r="C2041" s="60" t="str">
        <f t="shared" si="446"/>
        <v>F.106.03.102</v>
      </c>
      <c r="D2041" s="51" t="s">
        <v>2718</v>
      </c>
      <c r="E2041" s="62" t="s">
        <v>45</v>
      </c>
      <c r="F2041" s="63" t="str">
        <f t="shared" si="447"/>
        <v>bio-PE (Polyethylene) waste combustion - clean tech without heat recovery</v>
      </c>
      <c r="G2041" s="64">
        <v>0.037386949</v>
      </c>
      <c r="H2041" s="10">
        <f t="shared" si="442"/>
        <v>0.037386949</v>
      </c>
      <c r="I2041" s="65">
        <v>0.0170748</v>
      </c>
      <c r="J2041" s="65">
        <v>0.020312149</v>
      </c>
      <c r="K2041" s="65">
        <v>0.0</v>
      </c>
      <c r="L2041" s="65">
        <v>0.0</v>
      </c>
      <c r="N2041" s="66">
        <v>0.0</v>
      </c>
      <c r="O2041" s="10">
        <f t="shared" si="443"/>
        <v>0</v>
      </c>
      <c r="Q2041" s="67">
        <v>0.0</v>
      </c>
      <c r="S2041" s="68">
        <v>0.0034176047</v>
      </c>
      <c r="T2041" s="68">
        <v>0.0032627231</v>
      </c>
      <c r="U2041" s="68">
        <v>1.548816E-4</v>
      </c>
      <c r="V2041" s="68">
        <v>0.0</v>
      </c>
      <c r="X2041" s="69">
        <v>1.0377589E-5</v>
      </c>
    </row>
    <row r="2042" ht="12.75" customHeight="1">
      <c r="A2042" s="1" t="s">
        <v>2721</v>
      </c>
      <c r="B2042" s="2" t="s">
        <v>2543</v>
      </c>
      <c r="C2042" s="60" t="str">
        <f t="shared" si="446"/>
        <v>F.106.03.103</v>
      </c>
      <c r="D2042" s="51" t="s">
        <v>2718</v>
      </c>
      <c r="E2042" s="62" t="s">
        <v>45</v>
      </c>
      <c r="F2042" s="63" t="str">
        <f t="shared" si="447"/>
        <v>CA (Cellulose polymers) waste combustion - clean tech without heat recovery</v>
      </c>
      <c r="G2042" s="64">
        <v>0.0156783978</v>
      </c>
      <c r="H2042" s="10">
        <f t="shared" si="442"/>
        <v>0.0156783978</v>
      </c>
      <c r="I2042" s="65">
        <v>0.0071604</v>
      </c>
      <c r="J2042" s="65">
        <v>0.0085179978</v>
      </c>
      <c r="K2042" s="65">
        <v>0.0</v>
      </c>
      <c r="L2042" s="65">
        <v>0.0</v>
      </c>
      <c r="N2042" s="66">
        <v>0.0</v>
      </c>
      <c r="O2042" s="10">
        <f t="shared" si="443"/>
        <v>0</v>
      </c>
      <c r="Q2042" s="67">
        <v>0.0</v>
      </c>
      <c r="S2042" s="68">
        <v>0.0014331891</v>
      </c>
      <c r="T2042" s="68">
        <v>0.0013682387</v>
      </c>
      <c r="U2042" s="68">
        <v>6.495035E-5</v>
      </c>
      <c r="V2042" s="68">
        <v>0.0</v>
      </c>
      <c r="X2042" s="69">
        <v>4.3518923E-6</v>
      </c>
    </row>
    <row r="2043" ht="12.75" customHeight="1">
      <c r="A2043" s="1" t="s">
        <v>2722</v>
      </c>
      <c r="B2043" s="2" t="s">
        <v>2543</v>
      </c>
      <c r="C2043" s="60" t="str">
        <f t="shared" si="446"/>
        <v>F.106.03.104</v>
      </c>
      <c r="D2043" s="51" t="s">
        <v>2718</v>
      </c>
      <c r="E2043" s="62" t="s">
        <v>45</v>
      </c>
      <c r="F2043" s="63" t="str">
        <f t="shared" si="447"/>
        <v>Ionomer waste combustion - clean tech without heat recovery</v>
      </c>
      <c r="G2043" s="64">
        <v>0.501954785</v>
      </c>
      <c r="H2043" s="10">
        <f t="shared" si="442"/>
        <v>0.501954785</v>
      </c>
      <c r="I2043" s="65">
        <v>0.0141372</v>
      </c>
      <c r="J2043" s="65">
        <v>0.016817585</v>
      </c>
      <c r="K2043" s="65">
        <v>0.0</v>
      </c>
      <c r="L2043" s="65">
        <v>0.471</v>
      </c>
      <c r="N2043" s="66">
        <v>3.14</v>
      </c>
      <c r="O2043" s="10">
        <f t="shared" si="443"/>
        <v>3.14</v>
      </c>
      <c r="Q2043" s="67">
        <v>0.0</v>
      </c>
      <c r="S2043" s="68">
        <v>0.053811237</v>
      </c>
      <c r="T2043" s="68">
        <v>0.05130558</v>
      </c>
      <c r="U2043" s="68">
        <v>0.0025056571</v>
      </c>
      <c r="V2043" s="68">
        <v>0.0</v>
      </c>
      <c r="X2043" s="69">
        <v>9.6143729E-5</v>
      </c>
    </row>
    <row r="2044" ht="12.75" customHeight="1">
      <c r="A2044" s="1" t="s">
        <v>2723</v>
      </c>
      <c r="B2044" s="2" t="s">
        <v>2543</v>
      </c>
      <c r="C2044" s="60" t="str">
        <f t="shared" si="446"/>
        <v>F.106.03.105</v>
      </c>
      <c r="D2044" s="51" t="s">
        <v>2718</v>
      </c>
      <c r="E2044" s="62" t="s">
        <v>45</v>
      </c>
      <c r="F2044" s="63" t="str">
        <f t="shared" si="447"/>
        <v>PA-11 (Nylon-11) waste combustion - clean tech without heat recovery</v>
      </c>
      <c r="G2044" s="64">
        <v>0.030150764999999996</v>
      </c>
      <c r="H2044" s="10">
        <f t="shared" si="442"/>
        <v>0.030150765</v>
      </c>
      <c r="I2044" s="65">
        <v>0.01377</v>
      </c>
      <c r="J2044" s="65">
        <v>0.016380765</v>
      </c>
      <c r="K2044" s="65">
        <v>0.0</v>
      </c>
      <c r="L2044" s="65">
        <v>0.0</v>
      </c>
      <c r="N2044" s="66">
        <v>0.0</v>
      </c>
      <c r="O2044" s="10">
        <f t="shared" si="443"/>
        <v>0</v>
      </c>
      <c r="Q2044" s="67">
        <v>0.0</v>
      </c>
      <c r="S2044" s="68">
        <v>0.0027561328</v>
      </c>
      <c r="T2044" s="68">
        <v>0.0026312283</v>
      </c>
      <c r="U2044" s="68">
        <v>1.2490452E-4</v>
      </c>
      <c r="V2044" s="68">
        <v>0.0</v>
      </c>
      <c r="X2044" s="69">
        <v>8.3690237E-6</v>
      </c>
    </row>
    <row r="2045" ht="12.75" customHeight="1">
      <c r="A2045" s="1" t="s">
        <v>2724</v>
      </c>
      <c r="B2045" s="2" t="s">
        <v>2543</v>
      </c>
      <c r="C2045" s="60" t="str">
        <f t="shared" si="446"/>
        <v>F.106.03.106</v>
      </c>
      <c r="D2045" s="51" t="s">
        <v>2718</v>
      </c>
      <c r="E2045" s="62" t="s">
        <v>45</v>
      </c>
      <c r="F2045" s="63" t="str">
        <f t="shared" si="447"/>
        <v>PA (Nylons  Polyamides) waste combustion - clean tech without heat recovery</v>
      </c>
      <c r="G2045" s="64">
        <v>0.394352605</v>
      </c>
      <c r="H2045" s="10">
        <f t="shared" si="442"/>
        <v>0.394352605</v>
      </c>
      <c r="I2045" s="65">
        <v>0.0108936</v>
      </c>
      <c r="J2045" s="65">
        <v>0.012959005</v>
      </c>
      <c r="K2045" s="65">
        <v>0.0</v>
      </c>
      <c r="L2045" s="65">
        <v>0.3705</v>
      </c>
      <c r="N2045" s="66">
        <v>2.47</v>
      </c>
      <c r="O2045" s="10">
        <f t="shared" si="443"/>
        <v>2.47</v>
      </c>
      <c r="Q2045" s="67">
        <v>0.0</v>
      </c>
      <c r="S2045" s="68">
        <v>0.042283774</v>
      </c>
      <c r="T2045" s="68">
        <v>0.040314823</v>
      </c>
      <c r="U2045" s="68">
        <v>0.0019689508</v>
      </c>
      <c r="V2045" s="68">
        <v>0.0</v>
      </c>
      <c r="X2045" s="69">
        <v>7.5490982E-5</v>
      </c>
    </row>
    <row r="2046" ht="12.75" customHeight="1">
      <c r="A2046" s="1" t="s">
        <v>2725</v>
      </c>
      <c r="B2046" s="2" t="s">
        <v>2543</v>
      </c>
      <c r="C2046" s="60" t="str">
        <f t="shared" si="446"/>
        <v>F.106.03.107</v>
      </c>
      <c r="D2046" s="51" t="s">
        <v>2718</v>
      </c>
      <c r="E2046" s="62" t="s">
        <v>45</v>
      </c>
      <c r="F2046" s="63" t="str">
        <f t="shared" si="447"/>
        <v>PC (Polycarbonate) waste combustion - clean tech without heat recovery</v>
      </c>
      <c r="G2046" s="64">
        <v>0.465924632</v>
      </c>
      <c r="H2046" s="10">
        <f t="shared" si="442"/>
        <v>0.465924632</v>
      </c>
      <c r="I2046" s="65">
        <v>0.0113832</v>
      </c>
      <c r="J2046" s="65">
        <v>0.013541432</v>
      </c>
      <c r="K2046" s="65">
        <v>0.0</v>
      </c>
      <c r="L2046" s="65">
        <v>0.441</v>
      </c>
      <c r="N2046" s="66">
        <v>2.94</v>
      </c>
      <c r="O2046" s="10">
        <f t="shared" si="443"/>
        <v>2.94</v>
      </c>
      <c r="Q2046" s="67">
        <v>0.0</v>
      </c>
      <c r="S2046" s="68">
        <v>0.050012774</v>
      </c>
      <c r="T2046" s="68">
        <v>0.047683526</v>
      </c>
      <c r="U2046" s="68">
        <v>0.002329248</v>
      </c>
      <c r="V2046" s="68">
        <v>0.0</v>
      </c>
      <c r="X2046" s="69">
        <v>8.8893394E-5</v>
      </c>
    </row>
    <row r="2047" ht="12.75" customHeight="1">
      <c r="A2047" s="1" t="s">
        <v>2726</v>
      </c>
      <c r="B2047" s="2" t="s">
        <v>2543</v>
      </c>
      <c r="C2047" s="60" t="str">
        <f t="shared" si="446"/>
        <v>F.106.03.108</v>
      </c>
      <c r="D2047" s="51" t="s">
        <v>2718</v>
      </c>
      <c r="E2047" s="62" t="s">
        <v>45</v>
      </c>
      <c r="F2047" s="63" t="str">
        <f t="shared" si="447"/>
        <v>PE (Polyethylene) waste combustion - clean tech without heat recovery</v>
      </c>
      <c r="G2047" s="64">
        <v>0.507984938</v>
      </c>
      <c r="H2047" s="10">
        <f t="shared" si="442"/>
        <v>0.507984938</v>
      </c>
      <c r="I2047" s="65">
        <v>0.0168912</v>
      </c>
      <c r="J2047" s="65">
        <v>0.020093738</v>
      </c>
      <c r="K2047" s="65">
        <v>0.0</v>
      </c>
      <c r="L2047" s="65">
        <v>0.471</v>
      </c>
      <c r="N2047" s="66">
        <v>3.14</v>
      </c>
      <c r="O2047" s="10">
        <f t="shared" si="443"/>
        <v>3.14</v>
      </c>
      <c r="Q2047" s="67">
        <v>0.0</v>
      </c>
      <c r="S2047" s="68">
        <v>0.054362464</v>
      </c>
      <c r="T2047" s="68">
        <v>0.051831826</v>
      </c>
      <c r="U2047" s="68">
        <v>0.002530638</v>
      </c>
      <c r="V2047" s="68">
        <v>0.0</v>
      </c>
      <c r="X2047" s="69">
        <v>9.7817534E-5</v>
      </c>
    </row>
    <row r="2048" ht="12.75" customHeight="1">
      <c r="A2048" s="1" t="s">
        <v>2727</v>
      </c>
      <c r="B2048" s="2" t="s">
        <v>2543</v>
      </c>
      <c r="C2048" s="60" t="str">
        <f t="shared" si="446"/>
        <v>F.106.03.111</v>
      </c>
      <c r="D2048" s="51" t="s">
        <v>2718</v>
      </c>
      <c r="E2048" s="62" t="s">
        <v>45</v>
      </c>
      <c r="F2048" s="63" t="str">
        <f t="shared" si="447"/>
        <v>PET (Polyethylene terephthalate) waste combustion - clean tech without heat recovery</v>
      </c>
      <c r="G2048" s="64">
        <v>0.36869263900000004</v>
      </c>
      <c r="H2048" s="10">
        <f t="shared" si="442"/>
        <v>0.368692639</v>
      </c>
      <c r="I2048" s="65">
        <v>0.0115056</v>
      </c>
      <c r="J2048" s="65">
        <v>0.013687039</v>
      </c>
      <c r="K2048" s="65">
        <v>0.0</v>
      </c>
      <c r="L2048" s="65">
        <v>0.3435</v>
      </c>
      <c r="N2048" s="66">
        <v>2.2900000000000005</v>
      </c>
      <c r="O2048" s="10">
        <f t="shared" si="443"/>
        <v>2.29</v>
      </c>
      <c r="Q2048" s="67">
        <v>0.0</v>
      </c>
      <c r="S2048" s="68">
        <v>0.039483756</v>
      </c>
      <c r="T2048" s="68">
        <v>0.037645539</v>
      </c>
      <c r="U2048" s="68">
        <v>0.0018382168</v>
      </c>
      <c r="V2048" s="68">
        <v>0.0</v>
      </c>
      <c r="X2048" s="69">
        <v>7.0844061E-5</v>
      </c>
    </row>
    <row r="2049" ht="12.75" customHeight="1">
      <c r="A2049" s="1" t="s">
        <v>2728</v>
      </c>
      <c r="B2049" s="2" t="s">
        <v>2543</v>
      </c>
      <c r="C2049" s="60" t="str">
        <f t="shared" si="446"/>
        <v>F.106.03.112</v>
      </c>
      <c r="D2049" s="51" t="s">
        <v>2718</v>
      </c>
      <c r="E2049" s="62" t="s">
        <v>45</v>
      </c>
      <c r="F2049" s="63" t="str">
        <f t="shared" si="447"/>
        <v>PHA (Polyhydroxyalkanoates) waste combustion - clean tech without heat recovery</v>
      </c>
      <c r="G2049" s="64">
        <v>0.019430493</v>
      </c>
      <c r="H2049" s="10">
        <f t="shared" si="442"/>
        <v>0.019430493</v>
      </c>
      <c r="I2049" s="65">
        <v>0.008874</v>
      </c>
      <c r="J2049" s="65">
        <v>0.010556493</v>
      </c>
      <c r="K2049" s="65">
        <v>0.0</v>
      </c>
      <c r="L2049" s="65">
        <v>0.0</v>
      </c>
      <c r="N2049" s="66">
        <v>0.0</v>
      </c>
      <c r="O2049" s="10">
        <f t="shared" si="443"/>
        <v>0</v>
      </c>
      <c r="Q2049" s="67">
        <v>0.0</v>
      </c>
      <c r="S2049" s="68">
        <v>0.0017761745</v>
      </c>
      <c r="T2049" s="68">
        <v>0.0016956805</v>
      </c>
      <c r="U2049" s="68">
        <v>8.0494024E-5</v>
      </c>
      <c r="V2049" s="68">
        <v>0.0</v>
      </c>
      <c r="X2049" s="69">
        <v>5.3933708E-6</v>
      </c>
    </row>
    <row r="2050" ht="12.75" customHeight="1">
      <c r="A2050" s="1" t="s">
        <v>2729</v>
      </c>
      <c r="B2050" s="2" t="s">
        <v>2543</v>
      </c>
      <c r="C2050" s="60" t="str">
        <f t="shared" si="446"/>
        <v>F.106.03.113</v>
      </c>
      <c r="D2050" s="51" t="s">
        <v>2718</v>
      </c>
      <c r="E2050" s="62" t="s">
        <v>45</v>
      </c>
      <c r="F2050" s="63" t="str">
        <f t="shared" si="447"/>
        <v>PLA (Polylactide) waste combustion - clean tech without heat recovery</v>
      </c>
      <c r="G2050" s="64">
        <v>0.0159464046</v>
      </c>
      <c r="H2050" s="10">
        <f t="shared" si="442"/>
        <v>0.0159464046</v>
      </c>
      <c r="I2050" s="65">
        <v>0.0072828</v>
      </c>
      <c r="J2050" s="65">
        <v>0.0086636046</v>
      </c>
      <c r="K2050" s="65">
        <v>0.0</v>
      </c>
      <c r="L2050" s="65">
        <v>0.0</v>
      </c>
      <c r="N2050" s="66">
        <v>0.0</v>
      </c>
      <c r="O2050" s="10">
        <f t="shared" si="443"/>
        <v>0</v>
      </c>
      <c r="Q2050" s="67">
        <v>0.0</v>
      </c>
      <c r="S2050" s="68">
        <v>0.001457688</v>
      </c>
      <c r="T2050" s="68">
        <v>0.0013916274</v>
      </c>
      <c r="U2050" s="68">
        <v>6.6060613E-5</v>
      </c>
      <c r="V2050" s="68">
        <v>0.0</v>
      </c>
      <c r="X2050" s="69">
        <v>4.4262837E-6</v>
      </c>
    </row>
    <row r="2051" ht="12.75" customHeight="1">
      <c r="A2051" s="1" t="s">
        <v>2730</v>
      </c>
      <c r="B2051" s="2" t="s">
        <v>2543</v>
      </c>
      <c r="C2051" s="60" t="str">
        <f t="shared" si="446"/>
        <v>F.106.03.114</v>
      </c>
      <c r="D2051" s="51" t="s">
        <v>2718</v>
      </c>
      <c r="E2051" s="62" t="s">
        <v>45</v>
      </c>
      <c r="F2051" s="63" t="str">
        <f t="shared" si="447"/>
        <v>PMMA (Polymethyl methacrylate) waste combustion - clean tech without heat recovery</v>
      </c>
      <c r="G2051" s="64">
        <v>0.350770527</v>
      </c>
      <c r="H2051" s="10">
        <f t="shared" si="442"/>
        <v>0.350770527</v>
      </c>
      <c r="I2051" s="65">
        <v>0.009486</v>
      </c>
      <c r="J2051" s="65">
        <v>0.011284527</v>
      </c>
      <c r="K2051" s="65">
        <v>0.0</v>
      </c>
      <c r="L2051" s="65">
        <v>0.33</v>
      </c>
      <c r="N2051" s="66">
        <v>2.2</v>
      </c>
      <c r="O2051" s="10">
        <f t="shared" si="443"/>
        <v>2.2</v>
      </c>
      <c r="Q2051" s="67">
        <v>0.0</v>
      </c>
      <c r="S2051" s="68">
        <v>0.037618267</v>
      </c>
      <c r="T2051" s="68">
        <v>0.035866512</v>
      </c>
      <c r="U2051" s="68">
        <v>0.0017517548</v>
      </c>
      <c r="V2051" s="68">
        <v>0.0</v>
      </c>
      <c r="X2051" s="69">
        <v>6.7107165E-5</v>
      </c>
    </row>
    <row r="2052" ht="12.75" customHeight="1">
      <c r="A2052" s="1" t="s">
        <v>2731</v>
      </c>
      <c r="B2052" s="2" t="s">
        <v>2543</v>
      </c>
      <c r="C2052" s="60" t="str">
        <f t="shared" si="446"/>
        <v>F.106.03.115</v>
      </c>
      <c r="D2052" s="51" t="s">
        <v>2718</v>
      </c>
      <c r="E2052" s="62" t="s">
        <v>45</v>
      </c>
      <c r="F2052" s="63" t="str">
        <f t="shared" si="447"/>
        <v>POM (Polyoxymethylene  Polyacetaal) waste combustion - clean tech without heat recove</v>
      </c>
      <c r="G2052" s="64">
        <v>0.2336323332</v>
      </c>
      <c r="H2052" s="10">
        <f t="shared" si="442"/>
        <v>0.2336323332</v>
      </c>
      <c r="I2052" s="65">
        <v>0.0059976</v>
      </c>
      <c r="J2052" s="65">
        <v>0.0071347332</v>
      </c>
      <c r="K2052" s="65">
        <v>0.0</v>
      </c>
      <c r="L2052" s="65">
        <v>0.2205</v>
      </c>
      <c r="N2052" s="66">
        <v>1.47</v>
      </c>
      <c r="O2052" s="10">
        <f t="shared" si="443"/>
        <v>1.47</v>
      </c>
      <c r="Q2052" s="67">
        <v>0.0</v>
      </c>
      <c r="S2052" s="68">
        <v>0.025067635</v>
      </c>
      <c r="T2052" s="68">
        <v>0.023900235</v>
      </c>
      <c r="U2052" s="68">
        <v>0.0011673997</v>
      </c>
      <c r="V2052" s="68">
        <v>0.0</v>
      </c>
      <c r="X2052" s="69">
        <v>4.4632675E-5</v>
      </c>
    </row>
    <row r="2053" ht="12.75" customHeight="1">
      <c r="A2053" s="1" t="s">
        <v>2732</v>
      </c>
      <c r="B2053" s="2" t="s">
        <v>2543</v>
      </c>
      <c r="C2053" s="60" t="str">
        <f t="shared" si="446"/>
        <v>F.106.03.116</v>
      </c>
      <c r="D2053" s="51" t="s">
        <v>2718</v>
      </c>
      <c r="E2053" s="62" t="s">
        <v>45</v>
      </c>
      <c r="F2053" s="63" t="str">
        <f t="shared" si="447"/>
        <v>PP (Polypropylene) waste combustion - clean tech without heat recovery</v>
      </c>
      <c r="G2053" s="64">
        <v>0.506376898</v>
      </c>
      <c r="H2053" s="10">
        <f t="shared" si="442"/>
        <v>0.506376898</v>
      </c>
      <c r="I2053" s="65">
        <v>0.0161568</v>
      </c>
      <c r="J2053" s="65">
        <v>0.019220098</v>
      </c>
      <c r="K2053" s="65">
        <v>0.0</v>
      </c>
      <c r="L2053" s="65">
        <v>0.471</v>
      </c>
      <c r="N2053" s="66">
        <v>3.14</v>
      </c>
      <c r="O2053" s="10">
        <f t="shared" si="443"/>
        <v>3.14</v>
      </c>
      <c r="Q2053" s="67">
        <v>0.0</v>
      </c>
      <c r="S2053" s="68">
        <v>0.05421547</v>
      </c>
      <c r="T2053" s="68">
        <v>0.051691493</v>
      </c>
      <c r="U2053" s="68">
        <v>0.0025239764</v>
      </c>
      <c r="V2053" s="68">
        <v>0.0</v>
      </c>
      <c r="X2053" s="69">
        <v>9.7371186E-5</v>
      </c>
    </row>
    <row r="2054" ht="12.75" customHeight="1">
      <c r="A2054" s="1" t="s">
        <v>2733</v>
      </c>
      <c r="B2054" s="2" t="s">
        <v>2543</v>
      </c>
      <c r="C2054" s="60" t="str">
        <f t="shared" si="446"/>
        <v>F.106.03.117</v>
      </c>
      <c r="D2054" s="51" t="s">
        <v>2718</v>
      </c>
      <c r="E2054" s="62" t="s">
        <v>45</v>
      </c>
      <c r="F2054" s="63" t="str">
        <f t="shared" si="447"/>
        <v>PS (Polystyrene) waste combustion - clean tech without heat recovery</v>
      </c>
      <c r="G2054" s="64">
        <v>0.541840884</v>
      </c>
      <c r="H2054" s="10">
        <f t="shared" si="442"/>
        <v>0.541840884</v>
      </c>
      <c r="I2054" s="65">
        <v>0.015912</v>
      </c>
      <c r="J2054" s="65">
        <v>0.018928884</v>
      </c>
      <c r="K2054" s="65">
        <v>0.0</v>
      </c>
      <c r="L2054" s="65">
        <v>0.507</v>
      </c>
      <c r="N2054" s="66">
        <v>3.3800000000000003</v>
      </c>
      <c r="O2054" s="10">
        <f t="shared" si="443"/>
        <v>3.38</v>
      </c>
      <c r="Q2054" s="67">
        <v>0.0</v>
      </c>
      <c r="S2054" s="68">
        <v>0.058063155</v>
      </c>
      <c r="T2054" s="68">
        <v>0.055359686</v>
      </c>
      <c r="U2054" s="68">
        <v>0.0027034696</v>
      </c>
      <c r="V2054" s="68">
        <v>0.0</v>
      </c>
      <c r="X2054" s="69">
        <v>1.0391424E-4</v>
      </c>
    </row>
    <row r="2055" ht="12.75" customHeight="1">
      <c r="A2055" s="1" t="s">
        <v>2734</v>
      </c>
      <c r="B2055" s="2" t="s">
        <v>2543</v>
      </c>
      <c r="C2055" s="60" t="str">
        <f t="shared" si="446"/>
        <v>F.106.03.118</v>
      </c>
      <c r="D2055" s="51" t="s">
        <v>2718</v>
      </c>
      <c r="E2055" s="62" t="s">
        <v>45</v>
      </c>
      <c r="F2055" s="63" t="str">
        <f t="shared" si="447"/>
        <v>PTFE (Teflon, Polytetrafluoroethylene) waste combustion - clean tech without heat rec</v>
      </c>
      <c r="G2055" s="64">
        <v>0.1374941394</v>
      </c>
      <c r="H2055" s="10">
        <f t="shared" si="442"/>
        <v>0.1374941394</v>
      </c>
      <c r="I2055" s="65">
        <v>0.0025092</v>
      </c>
      <c r="J2055" s="65">
        <v>0.0029849394</v>
      </c>
      <c r="K2055" s="65">
        <v>0.0</v>
      </c>
      <c r="L2055" s="65">
        <v>0.132</v>
      </c>
      <c r="N2055" s="66">
        <v>0.8800000000000001</v>
      </c>
      <c r="O2055" s="10">
        <f t="shared" si="443"/>
        <v>0.88</v>
      </c>
      <c r="Q2055" s="67">
        <v>0.0</v>
      </c>
      <c r="S2055" s="68">
        <v>0.014790068</v>
      </c>
      <c r="T2055" s="68">
        <v>0.014101023</v>
      </c>
      <c r="U2055" s="68">
        <v>6.8904418E-4</v>
      </c>
      <c r="V2055" s="68">
        <v>0.0</v>
      </c>
      <c r="X2055" s="69">
        <v>2.6061757E-5</v>
      </c>
    </row>
    <row r="2056" ht="12.75" customHeight="1">
      <c r="A2056" s="1" t="s">
        <v>2735</v>
      </c>
      <c r="B2056" s="2" t="s">
        <v>2543</v>
      </c>
      <c r="C2056" s="60" t="str">
        <f t="shared" si="446"/>
        <v>F.106.03.119</v>
      </c>
      <c r="D2056" s="51" t="s">
        <v>2718</v>
      </c>
      <c r="E2056" s="62" t="s">
        <v>45</v>
      </c>
      <c r="F2056" s="63" t="str">
        <f t="shared" si="447"/>
        <v>PTT (Polyltrimethylene terephthalate) waste combustion - clean tech without heat reco</v>
      </c>
      <c r="G2056" s="64">
        <v>0.2723124012</v>
      </c>
      <c r="H2056" s="10">
        <f t="shared" si="442"/>
        <v>0.2723124012</v>
      </c>
      <c r="I2056" s="65">
        <v>0.0072216</v>
      </c>
      <c r="J2056" s="65">
        <v>0.0085908012</v>
      </c>
      <c r="K2056" s="65">
        <v>0.0</v>
      </c>
      <c r="L2056" s="65">
        <v>0.2565</v>
      </c>
      <c r="N2056" s="66">
        <v>1.7100000000000002</v>
      </c>
      <c r="O2056" s="10">
        <f t="shared" si="443"/>
        <v>1.71</v>
      </c>
      <c r="Q2056" s="67">
        <v>0.0</v>
      </c>
      <c r="S2056" s="68">
        <v>0.029209308</v>
      </c>
      <c r="T2056" s="68">
        <v>0.027849091</v>
      </c>
      <c r="U2056" s="68">
        <v>0.0013602161</v>
      </c>
      <c r="V2056" s="68">
        <v>0.0</v>
      </c>
      <c r="X2056" s="69">
        <v>5.2068425E-5</v>
      </c>
    </row>
    <row r="2057" ht="12.75" customHeight="1">
      <c r="A2057" s="1" t="s">
        <v>2736</v>
      </c>
      <c r="B2057" s="2" t="s">
        <v>2543</v>
      </c>
      <c r="C2057" s="60" t="str">
        <f t="shared" si="446"/>
        <v>F.106.03.120</v>
      </c>
      <c r="D2057" s="51" t="s">
        <v>2718</v>
      </c>
      <c r="E2057" s="62" t="s">
        <v>45</v>
      </c>
      <c r="F2057" s="63" t="str">
        <f t="shared" si="447"/>
        <v>PUR (Polyurethane) waste combustion - clean tech without heat recovery</v>
      </c>
      <c r="G2057" s="64">
        <v>0.42199246900000004</v>
      </c>
      <c r="H2057" s="10">
        <f t="shared" si="442"/>
        <v>0.421992469</v>
      </c>
      <c r="I2057" s="65">
        <v>0.0084456</v>
      </c>
      <c r="J2057" s="65">
        <v>0.010046869</v>
      </c>
      <c r="K2057" s="65">
        <v>0.0</v>
      </c>
      <c r="L2057" s="65">
        <v>0.4035</v>
      </c>
      <c r="N2057" s="66">
        <v>2.6900000000000004</v>
      </c>
      <c r="O2057" s="10">
        <f t="shared" si="443"/>
        <v>2.69</v>
      </c>
      <c r="Q2057" s="67">
        <v>0.0</v>
      </c>
      <c r="S2057" s="68">
        <v>0.045365754</v>
      </c>
      <c r="T2057" s="68">
        <v>0.043252438</v>
      </c>
      <c r="U2057" s="68">
        <v>0.0021133165</v>
      </c>
      <c r="V2057" s="68">
        <v>0.0</v>
      </c>
      <c r="X2057" s="69">
        <v>8.0137339E-5</v>
      </c>
    </row>
    <row r="2058" ht="12.75" customHeight="1">
      <c r="A2058" s="1" t="s">
        <v>2737</v>
      </c>
      <c r="B2058" s="2" t="s">
        <v>2543</v>
      </c>
      <c r="C2058" s="60" t="str">
        <f t="shared" si="446"/>
        <v>F.106.03.122</v>
      </c>
      <c r="D2058" s="51" t="s">
        <v>2718</v>
      </c>
      <c r="E2058" s="62" t="s">
        <v>45</v>
      </c>
      <c r="F2058" s="63" t="str">
        <f t="shared" si="447"/>
        <v>PVDC (Polyvinyliden chloride) waste combustion - clean tech without heat recovery</v>
      </c>
      <c r="G2058" s="64">
        <v>1.0973957776</v>
      </c>
      <c r="H2058" s="10">
        <f t="shared" si="442"/>
        <v>1.097395778</v>
      </c>
      <c r="I2058" s="65">
        <v>0.11477442</v>
      </c>
      <c r="J2058" s="65">
        <v>0.8461213576</v>
      </c>
      <c r="K2058" s="65">
        <v>0.0</v>
      </c>
      <c r="L2058" s="65">
        <v>0.1365</v>
      </c>
      <c r="N2058" s="66">
        <v>0.9100000000000001</v>
      </c>
      <c r="O2058" s="10">
        <f t="shared" si="443"/>
        <v>0.91</v>
      </c>
      <c r="Q2058" s="67">
        <v>0.0</v>
      </c>
      <c r="S2058" s="68">
        <v>0.015558891</v>
      </c>
      <c r="T2058" s="68">
        <v>0.014834365</v>
      </c>
      <c r="U2058" s="68">
        <v>7.2452642E-4</v>
      </c>
      <c r="V2058" s="68">
        <v>0.0</v>
      </c>
      <c r="X2058" s="69">
        <v>1.9967501E-4</v>
      </c>
    </row>
    <row r="2059" ht="12.75" customHeight="1">
      <c r="A2059" s="1" t="s">
        <v>2738</v>
      </c>
      <c r="B2059" s="2" t="s">
        <v>2543</v>
      </c>
      <c r="C2059" s="60" t="str">
        <f t="shared" si="446"/>
        <v>F.106.03.123</v>
      </c>
      <c r="D2059" s="51" t="s">
        <v>2718</v>
      </c>
      <c r="E2059" s="62" t="s">
        <v>45</v>
      </c>
      <c r="F2059" s="63" t="str">
        <f t="shared" si="447"/>
        <v>Starch PBS 50%-50% (Polybutylene succinate) waste combustion - clean tech without hea</v>
      </c>
      <c r="G2059" s="64">
        <v>0.014070357</v>
      </c>
      <c r="H2059" s="10">
        <f t="shared" si="442"/>
        <v>0.014070357</v>
      </c>
      <c r="I2059" s="65">
        <v>0.006426</v>
      </c>
      <c r="J2059" s="65">
        <v>0.007644357</v>
      </c>
      <c r="K2059" s="65">
        <v>0.0</v>
      </c>
      <c r="L2059" s="65">
        <v>0.0</v>
      </c>
      <c r="N2059" s="66">
        <v>0.0</v>
      </c>
      <c r="O2059" s="10">
        <f t="shared" si="443"/>
        <v>0</v>
      </c>
      <c r="Q2059" s="67">
        <v>0.0</v>
      </c>
      <c r="S2059" s="68">
        <v>0.0012861953</v>
      </c>
      <c r="T2059" s="68">
        <v>0.0012279065</v>
      </c>
      <c r="U2059" s="68">
        <v>5.8288776E-5</v>
      </c>
      <c r="V2059" s="68">
        <v>0.0</v>
      </c>
      <c r="X2059" s="69">
        <v>3.9055444E-6</v>
      </c>
    </row>
    <row r="2060" ht="12.75" customHeight="1">
      <c r="A2060" s="1" t="s">
        <v>2739</v>
      </c>
      <c r="B2060" s="2" t="s">
        <v>2543</v>
      </c>
      <c r="C2060" s="60" t="str">
        <f t="shared" si="446"/>
        <v>F.106.03.124</v>
      </c>
      <c r="D2060" s="51" t="s">
        <v>2718</v>
      </c>
      <c r="E2060" s="62" t="s">
        <v>45</v>
      </c>
      <c r="F2060" s="63" t="str">
        <f t="shared" si="447"/>
        <v>PBS (Polybutylene succinate) waste combustion - clean tech without heat recovery</v>
      </c>
      <c r="G2060" s="64">
        <v>0.0159464046</v>
      </c>
      <c r="H2060" s="10">
        <f t="shared" si="442"/>
        <v>0.0159464046</v>
      </c>
      <c r="I2060" s="65">
        <v>0.0072828</v>
      </c>
      <c r="J2060" s="65">
        <v>0.0086636046</v>
      </c>
      <c r="K2060" s="65">
        <v>0.0</v>
      </c>
      <c r="L2060" s="65">
        <v>0.0</v>
      </c>
      <c r="N2060" s="66">
        <v>0.0</v>
      </c>
      <c r="O2060" s="10">
        <f t="shared" si="443"/>
        <v>0</v>
      </c>
      <c r="Q2060" s="67">
        <v>0.0</v>
      </c>
      <c r="S2060" s="68">
        <v>0.001457688</v>
      </c>
      <c r="T2060" s="68">
        <v>0.0013916274</v>
      </c>
      <c r="U2060" s="68">
        <v>6.6060613E-5</v>
      </c>
      <c r="V2060" s="68">
        <v>0.0</v>
      </c>
      <c r="X2060" s="69">
        <v>4.4262837E-6</v>
      </c>
    </row>
    <row r="2061" ht="12.75" customHeight="1">
      <c r="A2061" s="1" t="s">
        <v>2740</v>
      </c>
      <c r="B2061" s="2" t="s">
        <v>2543</v>
      </c>
      <c r="C2061" s="60" t="str">
        <f t="shared" si="446"/>
        <v>F.106.03.125</v>
      </c>
      <c r="D2061" s="51" t="s">
        <v>2718</v>
      </c>
      <c r="E2061" s="62" t="s">
        <v>45</v>
      </c>
      <c r="F2061" s="63" t="str">
        <f t="shared" si="447"/>
        <v>PBAT (Polybutylene adipate terepht) waste combustion - clean tech without heat recove</v>
      </c>
      <c r="G2061" s="64">
        <v>0.0159464046</v>
      </c>
      <c r="H2061" s="10">
        <f t="shared" si="442"/>
        <v>0.0159464046</v>
      </c>
      <c r="I2061" s="65">
        <v>0.0072828</v>
      </c>
      <c r="J2061" s="65">
        <v>0.0086636046</v>
      </c>
      <c r="K2061" s="65">
        <v>0.0</v>
      </c>
      <c r="L2061" s="65">
        <v>0.0</v>
      </c>
      <c r="N2061" s="66">
        <v>0.0</v>
      </c>
      <c r="O2061" s="10">
        <f t="shared" si="443"/>
        <v>0</v>
      </c>
      <c r="Q2061" s="67">
        <v>0.0</v>
      </c>
      <c r="S2061" s="68">
        <v>0.001457688</v>
      </c>
      <c r="T2061" s="68">
        <v>0.0013916274</v>
      </c>
      <c r="U2061" s="68">
        <v>6.6060613E-5</v>
      </c>
      <c r="V2061" s="68">
        <v>0.0</v>
      </c>
      <c r="X2061" s="69">
        <v>4.4262837E-6</v>
      </c>
    </row>
    <row r="2062" ht="12.75" customHeight="1">
      <c r="A2062" s="1" t="s">
        <v>2741</v>
      </c>
      <c r="B2062" s="2" t="s">
        <v>2543</v>
      </c>
      <c r="C2062" s="60" t="str">
        <f t="shared" si="446"/>
        <v>F.106.03.126</v>
      </c>
      <c r="D2062" s="51" t="s">
        <v>2718</v>
      </c>
      <c r="E2062" s="62" t="s">
        <v>45</v>
      </c>
      <c r="F2062" s="63" t="str">
        <f t="shared" si="447"/>
        <v>PHB (Polyhydroxybutyrate) waste combustion - clean tech without heat recovery</v>
      </c>
      <c r="G2062" s="64">
        <v>0.0159464046</v>
      </c>
      <c r="H2062" s="10">
        <f t="shared" si="442"/>
        <v>0.0159464046</v>
      </c>
      <c r="I2062" s="65">
        <v>0.0072828</v>
      </c>
      <c r="J2062" s="65">
        <v>0.0086636046</v>
      </c>
      <c r="K2062" s="65">
        <v>0.0</v>
      </c>
      <c r="L2062" s="65">
        <v>0.0</v>
      </c>
      <c r="N2062" s="66">
        <v>0.0</v>
      </c>
      <c r="O2062" s="10">
        <f t="shared" si="443"/>
        <v>0</v>
      </c>
      <c r="Q2062" s="67">
        <v>0.0</v>
      </c>
      <c r="S2062" s="68">
        <v>0.001457688</v>
      </c>
      <c r="T2062" s="68">
        <v>0.0013916274</v>
      </c>
      <c r="U2062" s="68">
        <v>6.6060613E-5</v>
      </c>
      <c r="V2062" s="68">
        <v>0.0</v>
      </c>
      <c r="X2062" s="69">
        <v>4.4262837E-6</v>
      </c>
    </row>
    <row r="2063" ht="12.75" customHeight="1">
      <c r="A2063" s="1" t="s">
        <v>2742</v>
      </c>
      <c r="B2063" s="2" t="s">
        <v>2543</v>
      </c>
      <c r="C2063" s="60" t="str">
        <f t="shared" si="446"/>
        <v>F.106.03.127</v>
      </c>
      <c r="D2063" s="51" t="s">
        <v>2718</v>
      </c>
      <c r="E2063" s="62" t="s">
        <v>45</v>
      </c>
      <c r="F2063" s="63" t="str">
        <f t="shared" si="447"/>
        <v>PAN (Polyacrylonitrile fibres) waste combustion - clean tech without heat recovery</v>
      </c>
      <c r="G2063" s="64">
        <v>0.398022622</v>
      </c>
      <c r="H2063" s="10">
        <f t="shared" si="442"/>
        <v>0.398022622</v>
      </c>
      <c r="I2063" s="65">
        <v>0.0111996</v>
      </c>
      <c r="J2063" s="65">
        <v>0.013323022</v>
      </c>
      <c r="K2063" s="65">
        <v>0.0</v>
      </c>
      <c r="L2063" s="65">
        <v>0.3735</v>
      </c>
      <c r="N2063" s="66">
        <v>2.49</v>
      </c>
      <c r="O2063" s="10">
        <f t="shared" si="443"/>
        <v>2.49</v>
      </c>
      <c r="Q2063" s="67">
        <v>0.0</v>
      </c>
      <c r="S2063" s="68">
        <v>0.042669745</v>
      </c>
      <c r="T2063" s="68">
        <v>0.040682875</v>
      </c>
      <c r="U2063" s="68">
        <v>0.0019868693</v>
      </c>
      <c r="V2063" s="68">
        <v>0.0</v>
      </c>
      <c r="X2063" s="69">
        <v>7.6234613E-5</v>
      </c>
    </row>
    <row r="2064" ht="12.75" customHeight="1">
      <c r="A2064" s="1" t="s">
        <v>2743</v>
      </c>
      <c r="B2064" s="2" t="s">
        <v>2543</v>
      </c>
      <c r="C2064" s="60" t="str">
        <f t="shared" si="446"/>
        <v>F.106.03.128</v>
      </c>
      <c r="D2064" s="51" t="s">
        <v>2718</v>
      </c>
      <c r="E2064" s="62" t="s">
        <v>45</v>
      </c>
      <c r="F2064" s="63" t="str">
        <f t="shared" si="447"/>
        <v>bio-PP (Polypropylene) waste combustion - clean tech without heat recovery</v>
      </c>
      <c r="G2064" s="64">
        <v>0.035376898000000004</v>
      </c>
      <c r="H2064" s="10">
        <f t="shared" si="442"/>
        <v>0.035376898</v>
      </c>
      <c r="I2064" s="65">
        <v>0.0161568</v>
      </c>
      <c r="J2064" s="65">
        <v>0.019220098</v>
      </c>
      <c r="K2064" s="65">
        <v>0.0</v>
      </c>
      <c r="L2064" s="65">
        <v>0.0</v>
      </c>
      <c r="N2064" s="66">
        <v>0.0</v>
      </c>
      <c r="O2064" s="10">
        <f t="shared" si="443"/>
        <v>0</v>
      </c>
      <c r="Q2064" s="67">
        <v>0.0</v>
      </c>
      <c r="S2064" s="68">
        <v>0.0032338625</v>
      </c>
      <c r="T2064" s="68">
        <v>0.0030873079</v>
      </c>
      <c r="U2064" s="68">
        <v>1.4655464E-4</v>
      </c>
      <c r="V2064" s="68">
        <v>0.0</v>
      </c>
      <c r="X2064" s="69">
        <v>9.8196545E-6</v>
      </c>
    </row>
    <row r="2065" ht="12.75" customHeight="1">
      <c r="A2065" s="1" t="s">
        <v>2744</v>
      </c>
      <c r="B2065" s="2" t="s">
        <v>2543</v>
      </c>
      <c r="C2065" s="60" t="str">
        <f t="shared" si="446"/>
        <v>F.106.03.129</v>
      </c>
      <c r="D2065" s="51" t="s">
        <v>2718</v>
      </c>
      <c r="E2065" s="62" t="s">
        <v>45</v>
      </c>
      <c r="F2065" s="63" t="str">
        <f t="shared" si="447"/>
        <v>bio-PET (Polyethylene terephthalate)waste combustion - clean tech without heat recove</v>
      </c>
      <c r="G2065" s="64">
        <v>0.36279649</v>
      </c>
      <c r="H2065" s="10">
        <f t="shared" si="442"/>
        <v>0.36279649</v>
      </c>
      <c r="I2065" s="65">
        <v>0.0088128</v>
      </c>
      <c r="J2065" s="65">
        <v>0.01048369</v>
      </c>
      <c r="K2065" s="65">
        <v>0.0</v>
      </c>
      <c r="L2065" s="65">
        <v>0.3435</v>
      </c>
      <c r="N2065" s="66">
        <v>2.2900000000000005</v>
      </c>
      <c r="O2065" s="10">
        <f t="shared" si="443"/>
        <v>2.29</v>
      </c>
      <c r="Q2065" s="67">
        <v>0.0</v>
      </c>
      <c r="S2065" s="68">
        <v>0.038944779</v>
      </c>
      <c r="T2065" s="68">
        <v>0.037130988</v>
      </c>
      <c r="U2065" s="68">
        <v>0.0018137911</v>
      </c>
      <c r="V2065" s="68">
        <v>0.0</v>
      </c>
      <c r="X2065" s="69">
        <v>6.9207451E-5</v>
      </c>
    </row>
    <row r="2066" ht="12.75" customHeight="1">
      <c r="A2066" s="1" t="s">
        <v>2745</v>
      </c>
      <c r="B2066" s="2" t="s">
        <v>2543</v>
      </c>
      <c r="C2066" s="60" t="str">
        <f t="shared" si="446"/>
        <v>F.106.03.130</v>
      </c>
      <c r="D2066" s="51" t="s">
        <v>2718</v>
      </c>
      <c r="E2066" s="62" t="s">
        <v>45</v>
      </c>
      <c r="F2066" s="63" t="str">
        <f t="shared" si="447"/>
        <v>PEF (Polyethylene terephthalate) waste combustion - clean tech without heat recovery</v>
      </c>
      <c r="G2066" s="64">
        <v>0.0182244624</v>
      </c>
      <c r="H2066" s="10">
        <f t="shared" si="442"/>
        <v>0.0182244624</v>
      </c>
      <c r="I2066" s="65">
        <v>0.0083232</v>
      </c>
      <c r="J2066" s="65">
        <v>0.0099012624</v>
      </c>
      <c r="K2066" s="65">
        <v>0.0</v>
      </c>
      <c r="L2066" s="65">
        <v>0.0</v>
      </c>
      <c r="N2066" s="66">
        <v>0.0</v>
      </c>
      <c r="O2066" s="10">
        <f t="shared" si="443"/>
        <v>0</v>
      </c>
      <c r="Q2066" s="67">
        <v>0.0</v>
      </c>
      <c r="S2066" s="68">
        <v>0.0016659292</v>
      </c>
      <c r="T2066" s="68">
        <v>0.0015904313</v>
      </c>
      <c r="U2066" s="68">
        <v>7.5497843E-5</v>
      </c>
      <c r="V2066" s="68">
        <v>0.0</v>
      </c>
      <c r="X2066" s="69">
        <v>5.0586099E-6</v>
      </c>
    </row>
    <row r="2067" ht="12.75" customHeight="1">
      <c r="B2067" s="2"/>
      <c r="C2067" s="60"/>
      <c r="D2067" s="75" t="s">
        <v>2746</v>
      </c>
      <c r="E2067" s="62"/>
      <c r="G2067" s="10"/>
      <c r="H2067" s="10" t="str">
        <f t="shared" si="442"/>
        <v/>
      </c>
      <c r="I2067" s="10"/>
      <c r="J2067" s="10"/>
      <c r="K2067" s="10"/>
      <c r="L2067" s="10"/>
      <c r="N2067" s="10"/>
      <c r="O2067" s="10" t="str">
        <f t="shared" si="443"/>
        <v/>
      </c>
      <c r="Q2067" s="67"/>
    </row>
    <row r="2068" ht="12.75" customHeight="1">
      <c r="A2068" s="1" t="s">
        <v>2747</v>
      </c>
      <c r="B2068" s="2" t="s">
        <v>2543</v>
      </c>
      <c r="C2068" s="60" t="str">
        <f t="shared" ref="C2068:C2070" si="448">MID(A2068,1,12)</f>
        <v>F.106.04.101</v>
      </c>
      <c r="D2068" s="51" t="s">
        <v>2746</v>
      </c>
      <c r="E2068" s="62" t="s">
        <v>45</v>
      </c>
      <c r="F2068" s="63" t="str">
        <f t="shared" ref="F2068:F2070" si="449">MID(A2068, 21,85)</f>
        <v>Epoxies waste combustion - clean tech without heat recovery</v>
      </c>
      <c r="G2068" s="64">
        <v>0.43506868699999995</v>
      </c>
      <c r="H2068" s="10">
        <f t="shared" si="442"/>
        <v>0.435068687</v>
      </c>
      <c r="I2068" s="65">
        <v>0.0123624</v>
      </c>
      <c r="J2068" s="65">
        <v>0.014706287</v>
      </c>
      <c r="K2068" s="65">
        <v>0.0</v>
      </c>
      <c r="L2068" s="65">
        <v>0.408</v>
      </c>
      <c r="N2068" s="66">
        <v>2.7199999999999998</v>
      </c>
      <c r="O2068" s="10">
        <f t="shared" si="443"/>
        <v>2.72</v>
      </c>
      <c r="Q2068" s="67">
        <v>0.0</v>
      </c>
      <c r="S2068" s="68">
        <v>0.046636806</v>
      </c>
      <c r="T2068" s="68">
        <v>0.044465247</v>
      </c>
      <c r="U2068" s="68">
        <v>0.0021715592</v>
      </c>
      <c r="V2068" s="68">
        <v>0.0</v>
      </c>
      <c r="X2068" s="69">
        <v>8.3354341E-5</v>
      </c>
    </row>
    <row r="2069" ht="12.75" customHeight="1">
      <c r="A2069" s="1" t="s">
        <v>2748</v>
      </c>
      <c r="B2069" s="2" t="s">
        <v>2543</v>
      </c>
      <c r="C2069" s="60" t="str">
        <f t="shared" si="448"/>
        <v>F.106.04.102</v>
      </c>
      <c r="D2069" s="51" t="s">
        <v>2746</v>
      </c>
      <c r="E2069" s="62" t="s">
        <v>45</v>
      </c>
      <c r="F2069" s="63" t="str">
        <f t="shared" si="449"/>
        <v>Phenolics (Bakelite) waste combustion - clean tech without heat recovery</v>
      </c>
      <c r="G2069" s="64">
        <v>0.44830068</v>
      </c>
      <c r="H2069" s="10">
        <f t="shared" si="442"/>
        <v>0.44830068</v>
      </c>
      <c r="I2069" s="65">
        <v>0.01224</v>
      </c>
      <c r="J2069" s="65">
        <v>0.01456068</v>
      </c>
      <c r="K2069" s="65">
        <v>0.0</v>
      </c>
      <c r="L2069" s="65">
        <v>0.4215</v>
      </c>
      <c r="N2069" s="66">
        <v>2.81</v>
      </c>
      <c r="O2069" s="10">
        <f t="shared" si="443"/>
        <v>2.81</v>
      </c>
      <c r="Q2069" s="67">
        <v>0.0</v>
      </c>
      <c r="S2069" s="68">
        <v>0.048073564</v>
      </c>
      <c r="T2069" s="68">
        <v>0.045834972</v>
      </c>
      <c r="U2069" s="68">
        <v>0.0022385916</v>
      </c>
      <c r="V2069" s="68">
        <v>0.0</v>
      </c>
      <c r="X2069" s="69">
        <v>8.5789388E-5</v>
      </c>
    </row>
    <row r="2070" ht="12.75" customHeight="1">
      <c r="A2070" s="1" t="s">
        <v>2749</v>
      </c>
      <c r="B2070" s="2" t="s">
        <v>2543</v>
      </c>
      <c r="C2070" s="60" t="str">
        <f t="shared" si="448"/>
        <v>F.106.04.103</v>
      </c>
      <c r="D2070" s="51" t="s">
        <v>2746</v>
      </c>
      <c r="E2070" s="62" t="s">
        <v>45</v>
      </c>
      <c r="F2070" s="63" t="str">
        <f t="shared" si="449"/>
        <v>Polyester waste combustion - clean tech without heat recovery</v>
      </c>
      <c r="G2070" s="64">
        <v>0.367352605</v>
      </c>
      <c r="H2070" s="10">
        <f t="shared" si="442"/>
        <v>0.367352605</v>
      </c>
      <c r="I2070" s="65">
        <v>0.0108936</v>
      </c>
      <c r="J2070" s="65">
        <v>0.012959005</v>
      </c>
      <c r="K2070" s="65">
        <v>0.0</v>
      </c>
      <c r="L2070" s="65">
        <v>0.3435</v>
      </c>
      <c r="N2070" s="66">
        <v>2.2900000000000005</v>
      </c>
      <c r="O2070" s="10">
        <f t="shared" si="443"/>
        <v>2.29</v>
      </c>
      <c r="Q2070" s="67">
        <v>0.0</v>
      </c>
      <c r="S2070" s="68">
        <v>0.039361261</v>
      </c>
      <c r="T2070" s="68">
        <v>0.037528596</v>
      </c>
      <c r="U2070" s="68">
        <v>0.0018326655</v>
      </c>
      <c r="V2070" s="68">
        <v>0.0</v>
      </c>
      <c r="X2070" s="69">
        <v>7.0472104E-5</v>
      </c>
    </row>
    <row r="2071" ht="12.75" customHeight="1">
      <c r="B2071" s="2"/>
      <c r="C2071" s="60"/>
      <c r="D2071" s="75" t="s">
        <v>2750</v>
      </c>
      <c r="E2071" s="62"/>
      <c r="G2071" s="10"/>
      <c r="H2071" s="10" t="str">
        <f t="shared" si="442"/>
        <v/>
      </c>
      <c r="I2071" s="10"/>
      <c r="J2071" s="10"/>
      <c r="K2071" s="10"/>
      <c r="L2071" s="10"/>
      <c r="N2071" s="10"/>
      <c r="O2071" s="10" t="str">
        <f t="shared" si="443"/>
        <v/>
      </c>
      <c r="Q2071" s="67"/>
    </row>
    <row r="2072" ht="12.75" customHeight="1">
      <c r="A2072" s="1" t="s">
        <v>2751</v>
      </c>
      <c r="B2072" s="2" t="s">
        <v>2543</v>
      </c>
      <c r="C2072" s="60" t="str">
        <f t="shared" ref="C2072:C2088" si="450">MID(A2072,1,12)</f>
        <v>F.106.05.101</v>
      </c>
      <c r="D2072" s="51" t="s">
        <v>2750</v>
      </c>
      <c r="E2072" s="62" t="s">
        <v>45</v>
      </c>
      <c r="F2072" s="63" t="str">
        <f t="shared" ref="F2072:F2088" si="451">MID(A2072, 21,85)</f>
        <v>Bisphenol A  waste combustion - clean tech without heat recovery</v>
      </c>
      <c r="G2072" s="64">
        <v>0.46070268999999997</v>
      </c>
      <c r="H2072" s="10">
        <f t="shared" si="442"/>
        <v>0.46070269</v>
      </c>
      <c r="I2072" s="65">
        <v>0.0124236</v>
      </c>
      <c r="J2072" s="65">
        <v>0.01477909</v>
      </c>
      <c r="K2072" s="65">
        <v>0.0</v>
      </c>
      <c r="L2072" s="65">
        <v>0.4335</v>
      </c>
      <c r="N2072" s="66">
        <v>2.89</v>
      </c>
      <c r="O2072" s="10">
        <f t="shared" si="443"/>
        <v>2.89</v>
      </c>
      <c r="Q2072" s="67">
        <v>0.0</v>
      </c>
      <c r="S2072" s="68">
        <v>0.049409206</v>
      </c>
      <c r="T2072" s="68">
        <v>0.047108378</v>
      </c>
      <c r="U2072" s="68">
        <v>0.0023008282</v>
      </c>
      <c r="V2072" s="68">
        <v>0.0</v>
      </c>
      <c r="X2072" s="69">
        <v>8.8131588E-5</v>
      </c>
    </row>
    <row r="2073" ht="12.75" customHeight="1">
      <c r="A2073" s="1" t="s">
        <v>2752</v>
      </c>
      <c r="B2073" s="2" t="s">
        <v>2543</v>
      </c>
      <c r="C2073" s="60" t="str">
        <f t="shared" si="450"/>
        <v>F.106.05.102</v>
      </c>
      <c r="D2073" s="51" t="s">
        <v>2750</v>
      </c>
      <c r="E2073" s="62" t="s">
        <v>45</v>
      </c>
      <c r="F2073" s="63" t="str">
        <f t="shared" si="451"/>
        <v>DEHP  waste combustion - clean tech without heat recovery</v>
      </c>
      <c r="G2073" s="64">
        <v>0.43410469999999995</v>
      </c>
      <c r="H2073" s="10">
        <f t="shared" si="442"/>
        <v>0.4341047</v>
      </c>
      <c r="I2073" s="65">
        <v>0.0126072</v>
      </c>
      <c r="J2073" s="65">
        <v>0.0149975</v>
      </c>
      <c r="K2073" s="65">
        <v>0.0</v>
      </c>
      <c r="L2073" s="65">
        <v>0.4065</v>
      </c>
      <c r="N2073" s="66">
        <v>2.71</v>
      </c>
      <c r="O2073" s="10">
        <f t="shared" si="443"/>
        <v>2.71</v>
      </c>
      <c r="Q2073" s="67">
        <v>0.0</v>
      </c>
      <c r="S2073" s="68">
        <v>0.046523442</v>
      </c>
      <c r="T2073" s="68">
        <v>0.044357234</v>
      </c>
      <c r="U2073" s="68">
        <v>0.0021662083</v>
      </c>
      <c r="V2073" s="68">
        <v>0.0</v>
      </c>
      <c r="X2073" s="69">
        <v>8.3224297E-5</v>
      </c>
    </row>
    <row r="2074" ht="12.75" customHeight="1">
      <c r="A2074" s="1" t="s">
        <v>2753</v>
      </c>
      <c r="B2074" s="2" t="s">
        <v>2543</v>
      </c>
      <c r="C2074" s="60" t="str">
        <f t="shared" si="450"/>
        <v>F.106.05.103</v>
      </c>
      <c r="D2074" s="51" t="s">
        <v>2750</v>
      </c>
      <c r="E2074" s="62" t="s">
        <v>45</v>
      </c>
      <c r="F2074" s="63" t="str">
        <f t="shared" si="451"/>
        <v>DINP  waste combustion - clean tech without heat recovery</v>
      </c>
      <c r="G2074" s="64">
        <v>0.439274717</v>
      </c>
      <c r="H2074" s="10">
        <f t="shared" si="442"/>
        <v>0.439274717</v>
      </c>
      <c r="I2074" s="65">
        <v>0.0129132</v>
      </c>
      <c r="J2074" s="65">
        <v>0.015361517</v>
      </c>
      <c r="K2074" s="65">
        <v>0.0</v>
      </c>
      <c r="L2074" s="65">
        <v>0.411</v>
      </c>
      <c r="N2074" s="66">
        <v>2.7399999999999998</v>
      </c>
      <c r="O2074" s="10">
        <f t="shared" si="443"/>
        <v>2.74</v>
      </c>
      <c r="Q2074" s="67">
        <v>0.0</v>
      </c>
      <c r="S2074" s="68">
        <v>0.047071775</v>
      </c>
      <c r="T2074" s="68">
        <v>0.044880077</v>
      </c>
      <c r="U2074" s="68">
        <v>0.0021916982</v>
      </c>
      <c r="V2074" s="68">
        <v>0.0</v>
      </c>
      <c r="X2074" s="69">
        <v>8.4246755E-5</v>
      </c>
    </row>
    <row r="2075" ht="12.75" customHeight="1">
      <c r="A2075" s="1" t="s">
        <v>2754</v>
      </c>
      <c r="B2075" s="2" t="s">
        <v>2543</v>
      </c>
      <c r="C2075" s="60" t="str">
        <f t="shared" si="450"/>
        <v>F.106.05.104</v>
      </c>
      <c r="D2075" s="51" t="s">
        <v>2750</v>
      </c>
      <c r="E2075" s="62" t="s">
        <v>45</v>
      </c>
      <c r="F2075" s="63" t="str">
        <f t="shared" si="451"/>
        <v>Epichlorohydrin waste combustion - clean tech without heat recovery</v>
      </c>
      <c r="G2075" s="64">
        <v>0.72937942</v>
      </c>
      <c r="H2075" s="10">
        <f t="shared" si="442"/>
        <v>0.72937942</v>
      </c>
      <c r="I2075" s="65">
        <v>0.064952186</v>
      </c>
      <c r="J2075" s="65">
        <v>0.449927234</v>
      </c>
      <c r="K2075" s="65">
        <v>0.0</v>
      </c>
      <c r="L2075" s="65">
        <v>0.2145</v>
      </c>
      <c r="N2075" s="66">
        <v>1.43</v>
      </c>
      <c r="O2075" s="10">
        <f t="shared" si="443"/>
        <v>1.43</v>
      </c>
      <c r="Q2075" s="67">
        <v>0.0</v>
      </c>
      <c r="S2075" s="68">
        <v>0.024565181</v>
      </c>
      <c r="T2075" s="68">
        <v>0.023421405</v>
      </c>
      <c r="U2075" s="68">
        <v>0.0011437756</v>
      </c>
      <c r="V2075" s="68">
        <v>0.0</v>
      </c>
      <c r="X2075" s="69">
        <v>1.3425331E-4</v>
      </c>
    </row>
    <row r="2076" ht="12.75" customHeight="1">
      <c r="A2076" s="1" t="s">
        <v>2755</v>
      </c>
      <c r="B2076" s="2" t="s">
        <v>2543</v>
      </c>
      <c r="C2076" s="60" t="str">
        <f t="shared" si="450"/>
        <v>F.106.05.105</v>
      </c>
      <c r="D2076" s="51" t="s">
        <v>2750</v>
      </c>
      <c r="E2076" s="62" t="s">
        <v>45</v>
      </c>
      <c r="F2076" s="63" t="str">
        <f t="shared" si="451"/>
        <v>EVOH  waste combustion - clean tech without heat recovery</v>
      </c>
      <c r="G2076" s="64">
        <v>0.392532673</v>
      </c>
      <c r="H2076" s="10">
        <f t="shared" si="442"/>
        <v>0.392532673</v>
      </c>
      <c r="I2076" s="65">
        <v>0.0121176</v>
      </c>
      <c r="J2076" s="65">
        <v>0.014415073</v>
      </c>
      <c r="K2076" s="65">
        <v>0.0</v>
      </c>
      <c r="L2076" s="65">
        <v>0.366</v>
      </c>
      <c r="N2076" s="66">
        <v>2.44</v>
      </c>
      <c r="O2076" s="10">
        <f t="shared" si="443"/>
        <v>2.44</v>
      </c>
      <c r="Q2076" s="67">
        <v>0.0</v>
      </c>
      <c r="S2076" s="68">
        <v>0.042041678</v>
      </c>
      <c r="T2076" s="68">
        <v>0.040084339</v>
      </c>
      <c r="U2076" s="68">
        <v>0.0019573393</v>
      </c>
      <c r="V2076" s="68">
        <v>0.0</v>
      </c>
      <c r="X2076" s="69">
        <v>7.5398415E-5</v>
      </c>
    </row>
    <row r="2077" ht="12.75" customHeight="1">
      <c r="A2077" s="1" t="s">
        <v>2756</v>
      </c>
      <c r="B2077" s="2" t="s">
        <v>2543</v>
      </c>
      <c r="C2077" s="60" t="str">
        <f t="shared" si="450"/>
        <v>F.106.05.106</v>
      </c>
      <c r="D2077" s="51" t="s">
        <v>2750</v>
      </c>
      <c r="E2077" s="62" t="s">
        <v>45</v>
      </c>
      <c r="F2077" s="63" t="str">
        <f t="shared" si="451"/>
        <v>Formaldehyde  waste combustion - clean tech without heat recovery</v>
      </c>
      <c r="G2077" s="64">
        <v>0.2351063706</v>
      </c>
      <c r="H2077" s="10">
        <f t="shared" si="442"/>
        <v>0.2351063706</v>
      </c>
      <c r="I2077" s="65">
        <v>0.0066708</v>
      </c>
      <c r="J2077" s="65">
        <v>0.0079355706</v>
      </c>
      <c r="K2077" s="65">
        <v>0.0</v>
      </c>
      <c r="L2077" s="65">
        <v>0.2205</v>
      </c>
      <c r="N2077" s="66">
        <v>1.47</v>
      </c>
      <c r="O2077" s="10">
        <f t="shared" si="443"/>
        <v>1.47</v>
      </c>
      <c r="Q2077" s="67">
        <v>0.0</v>
      </c>
      <c r="S2077" s="68">
        <v>0.025202379</v>
      </c>
      <c r="T2077" s="68">
        <v>0.024028873</v>
      </c>
      <c r="U2077" s="68">
        <v>0.0011735061</v>
      </c>
      <c r="V2077" s="68">
        <v>0.0</v>
      </c>
      <c r="X2077" s="69">
        <v>4.5041828E-5</v>
      </c>
    </row>
    <row r="2078" ht="12.75" customHeight="1">
      <c r="A2078" s="1" t="s">
        <v>2757</v>
      </c>
      <c r="B2078" s="2" t="s">
        <v>2543</v>
      </c>
      <c r="C2078" s="60" t="str">
        <f t="shared" si="450"/>
        <v>F.106.05.107</v>
      </c>
      <c r="D2078" s="51" t="s">
        <v>2750</v>
      </c>
      <c r="E2078" s="62" t="s">
        <v>45</v>
      </c>
      <c r="F2078" s="63" t="str">
        <f t="shared" si="451"/>
        <v>MDI  waste combustion - clean tech without heat recovery</v>
      </c>
      <c r="G2078" s="64">
        <v>0.419182588</v>
      </c>
      <c r="H2078" s="10">
        <f t="shared" si="442"/>
        <v>0.419182588</v>
      </c>
      <c r="I2078" s="65">
        <v>0.0105876</v>
      </c>
      <c r="J2078" s="65">
        <v>0.012594988</v>
      </c>
      <c r="K2078" s="65">
        <v>0.0</v>
      </c>
      <c r="L2078" s="65">
        <v>0.396</v>
      </c>
      <c r="N2078" s="66">
        <v>2.64</v>
      </c>
      <c r="O2078" s="10">
        <f t="shared" si="443"/>
        <v>2.64</v>
      </c>
      <c r="Q2078" s="67">
        <v>0.0</v>
      </c>
      <c r="S2078" s="68">
        <v>0.044982677</v>
      </c>
      <c r="T2078" s="68">
        <v>0.042887788</v>
      </c>
      <c r="U2078" s="68">
        <v>0.0020948891</v>
      </c>
      <c r="V2078" s="68">
        <v>0.0</v>
      </c>
      <c r="X2078" s="69">
        <v>8.0045054E-5</v>
      </c>
    </row>
    <row r="2079" ht="12.75" customHeight="1">
      <c r="A2079" s="1" t="s">
        <v>2758</v>
      </c>
      <c r="B2079" s="2" t="s">
        <v>2543</v>
      </c>
      <c r="C2079" s="60" t="str">
        <f t="shared" si="450"/>
        <v>F.106.05.108</v>
      </c>
      <c r="D2079" s="51" t="s">
        <v>2750</v>
      </c>
      <c r="E2079" s="62" t="s">
        <v>45</v>
      </c>
      <c r="F2079" s="63" t="str">
        <f t="shared" si="451"/>
        <v>MMA monomer  waste combustion - clean tech without heat recovery</v>
      </c>
      <c r="G2079" s="64">
        <v>0.351172537</v>
      </c>
      <c r="H2079" s="10">
        <f t="shared" si="442"/>
        <v>0.351172537</v>
      </c>
      <c r="I2079" s="65">
        <v>0.0096696</v>
      </c>
      <c r="J2079" s="65">
        <v>0.011502937</v>
      </c>
      <c r="K2079" s="65">
        <v>0.0</v>
      </c>
      <c r="L2079" s="65">
        <v>0.33</v>
      </c>
      <c r="N2079" s="66">
        <v>2.2</v>
      </c>
      <c r="O2079" s="10">
        <f t="shared" si="443"/>
        <v>2.2</v>
      </c>
      <c r="Q2079" s="67">
        <v>0.0</v>
      </c>
      <c r="S2079" s="68">
        <v>0.037655015</v>
      </c>
      <c r="T2079" s="68">
        <v>0.035901595</v>
      </c>
      <c r="U2079" s="68">
        <v>0.0017534202</v>
      </c>
      <c r="V2079" s="68">
        <v>0.0</v>
      </c>
      <c r="X2079" s="69">
        <v>6.7218752E-5</v>
      </c>
    </row>
    <row r="2080" ht="12.75" customHeight="1">
      <c r="A2080" s="1" t="s">
        <v>2759</v>
      </c>
      <c r="B2080" s="2" t="s">
        <v>2543</v>
      </c>
      <c r="C2080" s="60" t="str">
        <f t="shared" si="450"/>
        <v>F.106.05.109</v>
      </c>
      <c r="D2080" s="51" t="s">
        <v>2750</v>
      </c>
      <c r="E2080" s="62" t="s">
        <v>45</v>
      </c>
      <c r="F2080" s="63" t="str">
        <f t="shared" si="451"/>
        <v>Nafion  waste combustion - clean tech without heat recovery</v>
      </c>
      <c r="G2080" s="64">
        <v>1.31878017</v>
      </c>
      <c r="H2080" s="10">
        <f t="shared" si="442"/>
        <v>1.31878017</v>
      </c>
      <c r="I2080" s="65">
        <v>0.00306</v>
      </c>
      <c r="J2080" s="65">
        <v>1.20622017</v>
      </c>
      <c r="K2080" s="65">
        <v>0.0</v>
      </c>
      <c r="L2080" s="65">
        <v>0.1095</v>
      </c>
      <c r="N2080" s="66">
        <v>0.73</v>
      </c>
      <c r="O2080" s="10">
        <f t="shared" si="443"/>
        <v>0.73</v>
      </c>
      <c r="Q2080" s="67">
        <v>0.0</v>
      </c>
      <c r="S2080" s="68">
        <v>0.38363506</v>
      </c>
      <c r="T2080" s="68">
        <v>0.37617562</v>
      </c>
      <c r="U2080" s="68">
        <v>0.0074594453</v>
      </c>
      <c r="V2080" s="68">
        <v>0.0</v>
      </c>
      <c r="X2080" s="69">
        <v>3.5346599E-4</v>
      </c>
    </row>
    <row r="2081" ht="12.75" customHeight="1">
      <c r="A2081" s="1" t="s">
        <v>2760</v>
      </c>
      <c r="B2081" s="2" t="s">
        <v>2543</v>
      </c>
      <c r="C2081" s="60" t="str">
        <f t="shared" si="450"/>
        <v>F.106.05.110</v>
      </c>
      <c r="D2081" s="51" t="s">
        <v>2750</v>
      </c>
      <c r="E2081" s="62" t="s">
        <v>45</v>
      </c>
      <c r="F2081" s="63" t="str">
        <f t="shared" si="451"/>
        <v>Paperfoam  waste combustion - clean tech without heat recovery</v>
      </c>
      <c r="G2081" s="64">
        <v>0.014070357</v>
      </c>
      <c r="H2081" s="10">
        <f t="shared" si="442"/>
        <v>0.014070357</v>
      </c>
      <c r="I2081" s="65">
        <v>0.006426</v>
      </c>
      <c r="J2081" s="65">
        <v>0.007644357</v>
      </c>
      <c r="K2081" s="65">
        <v>0.0</v>
      </c>
      <c r="L2081" s="65">
        <v>0.0</v>
      </c>
      <c r="N2081" s="66">
        <v>0.0</v>
      </c>
      <c r="O2081" s="10">
        <f t="shared" si="443"/>
        <v>0</v>
      </c>
      <c r="Q2081" s="67">
        <v>0.0</v>
      </c>
      <c r="S2081" s="68">
        <v>0.0012861953</v>
      </c>
      <c r="T2081" s="68">
        <v>0.0012279065</v>
      </c>
      <c r="U2081" s="68">
        <v>5.8288776E-5</v>
      </c>
      <c r="V2081" s="68">
        <v>0.0</v>
      </c>
      <c r="X2081" s="69">
        <v>3.9055444E-6</v>
      </c>
    </row>
    <row r="2082" ht="12.75" customHeight="1">
      <c r="A2082" s="1" t="s">
        <v>2761</v>
      </c>
      <c r="B2082" s="2" t="s">
        <v>2543</v>
      </c>
      <c r="C2082" s="60" t="str">
        <f t="shared" si="450"/>
        <v>F.106.05.111</v>
      </c>
      <c r="D2082" s="51" t="s">
        <v>2750</v>
      </c>
      <c r="E2082" s="62" t="s">
        <v>45</v>
      </c>
      <c r="F2082" s="63" t="str">
        <f t="shared" si="451"/>
        <v>PEEK (Polyetheretherketone)  waste combustion - clean tech without heat recovery</v>
      </c>
      <c r="G2082" s="64">
        <v>0.446692639</v>
      </c>
      <c r="H2082" s="10">
        <f t="shared" si="442"/>
        <v>0.446692639</v>
      </c>
      <c r="I2082" s="65">
        <v>0.0115056</v>
      </c>
      <c r="J2082" s="65">
        <v>0.013687039</v>
      </c>
      <c r="K2082" s="65">
        <v>0.0</v>
      </c>
      <c r="L2082" s="65">
        <v>0.4215</v>
      </c>
      <c r="N2082" s="66">
        <v>2.81</v>
      </c>
      <c r="O2082" s="10">
        <f t="shared" si="443"/>
        <v>2.81</v>
      </c>
      <c r="Q2082" s="67">
        <v>0.0</v>
      </c>
      <c r="S2082" s="68">
        <v>0.04792657</v>
      </c>
      <c r="T2082" s="68">
        <v>0.04569464</v>
      </c>
      <c r="U2082" s="68">
        <v>0.00223193</v>
      </c>
      <c r="V2082" s="68">
        <v>0.0</v>
      </c>
      <c r="X2082" s="69">
        <v>8.534304E-5</v>
      </c>
    </row>
    <row r="2083" ht="12.75" customHeight="1">
      <c r="A2083" s="1" t="s">
        <v>2762</v>
      </c>
      <c r="B2083" s="2" t="s">
        <v>2543</v>
      </c>
      <c r="C2083" s="60" t="str">
        <f t="shared" si="450"/>
        <v>F.106.05.112</v>
      </c>
      <c r="D2083" s="51" t="s">
        <v>2750</v>
      </c>
      <c r="E2083" s="62" t="s">
        <v>45</v>
      </c>
      <c r="F2083" s="63" t="str">
        <f t="shared" si="451"/>
        <v>PEI (Polyether Imide) waste combustion - clean tech without heat recovery</v>
      </c>
      <c r="G2083" s="64">
        <v>0.4335</v>
      </c>
      <c r="H2083" s="10">
        <f t="shared" si="442"/>
        <v>0.4335</v>
      </c>
      <c r="I2083" s="65">
        <v>0.0</v>
      </c>
      <c r="J2083" s="65">
        <v>0.0</v>
      </c>
      <c r="K2083" s="65">
        <v>0.0</v>
      </c>
      <c r="L2083" s="65">
        <v>0.4335</v>
      </c>
      <c r="N2083" s="66">
        <v>2.89</v>
      </c>
      <c r="O2083" s="10">
        <f t="shared" si="443"/>
        <v>2.89</v>
      </c>
      <c r="Q2083" s="67">
        <v>0.0</v>
      </c>
      <c r="S2083" s="68">
        <v>0.046922562</v>
      </c>
      <c r="T2083" s="68">
        <v>0.044734426</v>
      </c>
      <c r="U2083" s="68">
        <v>0.0021881366</v>
      </c>
      <c r="V2083" s="68">
        <v>0.0</v>
      </c>
      <c r="X2083" s="69">
        <v>8.0580868E-5</v>
      </c>
    </row>
    <row r="2084" ht="12.75" customHeight="1">
      <c r="A2084" s="1" t="s">
        <v>2763</v>
      </c>
      <c r="B2084" s="2" t="s">
        <v>2543</v>
      </c>
      <c r="C2084" s="60" t="str">
        <f t="shared" si="450"/>
        <v>F.106.05.113</v>
      </c>
      <c r="D2084" s="51" t="s">
        <v>2750</v>
      </c>
      <c r="E2084" s="62" t="s">
        <v>45</v>
      </c>
      <c r="F2084" s="63" t="str">
        <f t="shared" si="451"/>
        <v>Phthalic anhydride  waste combustion - clean tech without heat recovery</v>
      </c>
      <c r="G2084" s="64">
        <v>0.37468844879999996</v>
      </c>
      <c r="H2084" s="10">
        <f t="shared" si="442"/>
        <v>0.3746884488</v>
      </c>
      <c r="I2084" s="65">
        <v>0.0080784</v>
      </c>
      <c r="J2084" s="65">
        <v>0.0096100488</v>
      </c>
      <c r="K2084" s="65">
        <v>0.0</v>
      </c>
      <c r="L2084" s="65">
        <v>0.357</v>
      </c>
      <c r="N2084" s="66">
        <v>2.38</v>
      </c>
      <c r="O2084" s="10">
        <f t="shared" si="443"/>
        <v>2.38</v>
      </c>
      <c r="Q2084" s="67">
        <v>0.0</v>
      </c>
      <c r="S2084" s="68">
        <v>0.040259041</v>
      </c>
      <c r="T2084" s="68">
        <v>0.038383769</v>
      </c>
      <c r="U2084" s="68">
        <v>0.0018752722</v>
      </c>
      <c r="V2084" s="68">
        <v>0.0</v>
      </c>
      <c r="X2084" s="69">
        <v>7.1270542E-5</v>
      </c>
    </row>
    <row r="2085" ht="12.75" customHeight="1">
      <c r="A2085" s="1" t="s">
        <v>2764</v>
      </c>
      <c r="B2085" s="2" t="s">
        <v>2543</v>
      </c>
      <c r="C2085" s="60" t="str">
        <f t="shared" si="450"/>
        <v>F.106.05.114</v>
      </c>
      <c r="D2085" s="51" t="s">
        <v>2750</v>
      </c>
      <c r="E2085" s="62" t="s">
        <v>45</v>
      </c>
      <c r="F2085" s="63" t="str">
        <f t="shared" si="451"/>
        <v>Polyether-polyols  waste combustion - clean tech without heat recovery</v>
      </c>
      <c r="G2085" s="64">
        <v>0.45239867</v>
      </c>
      <c r="H2085" s="10">
        <f t="shared" si="442"/>
        <v>0.45239867</v>
      </c>
      <c r="I2085" s="65">
        <v>0.0120564</v>
      </c>
      <c r="J2085" s="65">
        <v>0.01434227</v>
      </c>
      <c r="K2085" s="65">
        <v>0.0</v>
      </c>
      <c r="L2085" s="65">
        <v>0.426</v>
      </c>
      <c r="N2085" s="66">
        <v>2.84</v>
      </c>
      <c r="O2085" s="10">
        <f t="shared" si="443"/>
        <v>2.84</v>
      </c>
      <c r="Q2085" s="67">
        <v>0.0</v>
      </c>
      <c r="S2085" s="68">
        <v>0.048523901</v>
      </c>
      <c r="T2085" s="68">
        <v>0.04626426</v>
      </c>
      <c r="U2085" s="68">
        <v>0.0022596404</v>
      </c>
      <c r="V2085" s="68">
        <v>0.0</v>
      </c>
      <c r="X2085" s="69">
        <v>8.6514281E-5</v>
      </c>
    </row>
    <row r="2086" ht="12.75" customHeight="1">
      <c r="A2086" s="1" t="s">
        <v>2765</v>
      </c>
      <c r="B2086" s="2" t="s">
        <v>2543</v>
      </c>
      <c r="C2086" s="60" t="str">
        <f t="shared" si="450"/>
        <v>F.106.05.115</v>
      </c>
      <c r="D2086" s="51" t="s">
        <v>2750</v>
      </c>
      <c r="E2086" s="62" t="s">
        <v>45</v>
      </c>
      <c r="F2086" s="63" t="str">
        <f t="shared" si="451"/>
        <v>PPS  waste combustion - clean tech without heat recovery</v>
      </c>
      <c r="G2086" s="64">
        <v>6.3018675879999995</v>
      </c>
      <c r="H2086" s="10">
        <f t="shared" si="442"/>
        <v>6.301867588</v>
      </c>
      <c r="I2086" s="65">
        <v>0.0105876</v>
      </c>
      <c r="J2086" s="65">
        <v>5.925279988</v>
      </c>
      <c r="K2086" s="65">
        <v>0.0</v>
      </c>
      <c r="L2086" s="65">
        <v>0.366</v>
      </c>
      <c r="N2086" s="66">
        <v>2.44</v>
      </c>
      <c r="O2086" s="10">
        <f t="shared" si="443"/>
        <v>2.44</v>
      </c>
      <c r="Q2086" s="67">
        <v>0.0</v>
      </c>
      <c r="S2086" s="68">
        <v>1.8666555</v>
      </c>
      <c r="T2086" s="68">
        <v>1.8308904</v>
      </c>
      <c r="U2086" s="68">
        <v>0.035765093</v>
      </c>
      <c r="V2086" s="68">
        <v>0.0</v>
      </c>
      <c r="X2086" s="69">
        <v>0.0017031235</v>
      </c>
    </row>
    <row r="2087" ht="12.75" customHeight="1">
      <c r="A2087" s="1" t="s">
        <v>2766</v>
      </c>
      <c r="B2087" s="2" t="s">
        <v>2543</v>
      </c>
      <c r="C2087" s="60" t="str">
        <f t="shared" si="450"/>
        <v>F.106.05.116</v>
      </c>
      <c r="D2087" s="51" t="s">
        <v>2750</v>
      </c>
      <c r="E2087" s="62" t="s">
        <v>45</v>
      </c>
      <c r="F2087" s="63" t="str">
        <f t="shared" si="451"/>
        <v>PVOH (PVA)  waste combustion - clean tech without heat recovery</v>
      </c>
      <c r="G2087" s="64">
        <v>0.31768844879999997</v>
      </c>
      <c r="H2087" s="10">
        <f t="shared" si="442"/>
        <v>0.3176884488</v>
      </c>
      <c r="I2087" s="65">
        <v>0.0080784</v>
      </c>
      <c r="J2087" s="65">
        <v>0.0096100488</v>
      </c>
      <c r="K2087" s="65">
        <v>0.0</v>
      </c>
      <c r="L2087" s="65">
        <v>0.3</v>
      </c>
      <c r="N2087" s="66">
        <v>2.0</v>
      </c>
      <c r="O2087" s="10">
        <f t="shared" si="443"/>
        <v>2</v>
      </c>
      <c r="Q2087" s="67">
        <v>0.0</v>
      </c>
      <c r="S2087" s="68">
        <v>0.034089293</v>
      </c>
      <c r="T2087" s="68">
        <v>0.032501734</v>
      </c>
      <c r="U2087" s="68">
        <v>0.0015875587</v>
      </c>
      <c r="V2087" s="68">
        <v>0.0</v>
      </c>
      <c r="X2087" s="69">
        <v>6.0675134E-5</v>
      </c>
    </row>
    <row r="2088" ht="12.75" customHeight="1">
      <c r="A2088" s="1" t="s">
        <v>2767</v>
      </c>
      <c r="B2088" s="2" t="s">
        <v>2543</v>
      </c>
      <c r="C2088" s="60" t="str">
        <f t="shared" si="450"/>
        <v>F.106.05.117</v>
      </c>
      <c r="D2088" s="51" t="s">
        <v>2750</v>
      </c>
      <c r="E2088" s="62" t="s">
        <v>45</v>
      </c>
      <c r="F2088" s="63" t="str">
        <f t="shared" si="451"/>
        <v>TDI  waste combustion - clean tech without heat recovery</v>
      </c>
      <c r="G2088" s="64">
        <v>0.36196650700000005</v>
      </c>
      <c r="H2088" s="10">
        <f t="shared" si="442"/>
        <v>0.361966507</v>
      </c>
      <c r="I2088" s="65">
        <v>0.0091188</v>
      </c>
      <c r="J2088" s="65">
        <v>0.010847707</v>
      </c>
      <c r="K2088" s="65">
        <v>0.0</v>
      </c>
      <c r="L2088" s="65">
        <v>0.342</v>
      </c>
      <c r="N2088" s="66">
        <v>2.2800000000000002</v>
      </c>
      <c r="O2088" s="10">
        <f t="shared" si="443"/>
        <v>2.28</v>
      </c>
      <c r="Q2088" s="67">
        <v>0.0</v>
      </c>
      <c r="S2088" s="68">
        <v>0.038843664</v>
      </c>
      <c r="T2088" s="68">
        <v>0.037034669</v>
      </c>
      <c r="U2088" s="68">
        <v>0.0018089953</v>
      </c>
      <c r="V2088" s="68">
        <v>0.0</v>
      </c>
      <c r="X2088" s="69">
        <v>6.9114603E-5</v>
      </c>
    </row>
    <row r="2089" ht="12.75" customHeight="1">
      <c r="B2089" s="2"/>
      <c r="C2089" s="60"/>
      <c r="D2089" s="51"/>
      <c r="E2089" s="62"/>
      <c r="G2089" s="10"/>
      <c r="H2089" s="10" t="str">
        <f t="shared" si="442"/>
        <v/>
      </c>
      <c r="I2089" s="10"/>
      <c r="J2089" s="10"/>
      <c r="K2089" s="10"/>
      <c r="L2089" s="10"/>
      <c r="N2089" s="10"/>
      <c r="O2089" s="10"/>
      <c r="Q2089" s="67"/>
    </row>
    <row r="2090" ht="12.75" customHeight="1">
      <c r="A2090" s="1" t="s">
        <v>2768</v>
      </c>
      <c r="B2090" s="2" t="s">
        <v>2543</v>
      </c>
      <c r="C2090" s="60" t="str">
        <f t="shared" ref="C2090:C2092" si="452">MID(A2090,1,12)</f>
        <v>F.106.06.101</v>
      </c>
      <c r="D2090" s="51" t="s">
        <v>2769</v>
      </c>
      <c r="E2090" s="62" t="s">
        <v>45</v>
      </c>
      <c r="F2090" s="63" t="str">
        <f t="shared" ref="F2090:F2092" si="453">MID(A2090, 21,85)</f>
        <v>AKD (Alkyl ketene dimers)  waste combustion - clean tech without heat recovery</v>
      </c>
      <c r="G2090" s="64">
        <v>0.018760475999999998</v>
      </c>
      <c r="H2090" s="10">
        <f t="shared" si="442"/>
        <v>0.018760476</v>
      </c>
      <c r="I2090" s="65">
        <v>0.008568</v>
      </c>
      <c r="J2090" s="65">
        <v>0.010192476</v>
      </c>
      <c r="K2090" s="65">
        <v>0.0</v>
      </c>
      <c r="L2090" s="65">
        <v>0.0</v>
      </c>
      <c r="N2090" s="66">
        <v>0.0</v>
      </c>
      <c r="O2090" s="10">
        <f t="shared" ref="O2090:O2092" si="454">N2090</f>
        <v>0</v>
      </c>
      <c r="Q2090" s="67">
        <v>0.0</v>
      </c>
      <c r="S2090" s="68">
        <v>0.0017149271</v>
      </c>
      <c r="T2090" s="68">
        <v>0.0016372087</v>
      </c>
      <c r="U2090" s="68">
        <v>7.7718368E-5</v>
      </c>
      <c r="V2090" s="68">
        <v>0.0</v>
      </c>
      <c r="X2090" s="69">
        <v>5.2073925E-6</v>
      </c>
    </row>
    <row r="2091" ht="12.75" customHeight="1">
      <c r="A2091" s="1" t="s">
        <v>2770</v>
      </c>
      <c r="B2091" s="2" t="s">
        <v>2543</v>
      </c>
      <c r="C2091" s="60" t="str">
        <f t="shared" si="452"/>
        <v>F.106.06.102</v>
      </c>
      <c r="D2091" s="51" t="s">
        <v>2769</v>
      </c>
      <c r="E2091" s="62" t="s">
        <v>45</v>
      </c>
      <c r="F2091" s="63" t="str">
        <f t="shared" si="453"/>
        <v>ASA (Acrylonitrile styrene acrylate)  waste combustion - clean tech without heat reco</v>
      </c>
      <c r="G2091" s="64">
        <v>0.341390289</v>
      </c>
      <c r="H2091" s="10">
        <f t="shared" si="442"/>
        <v>0.341390289</v>
      </c>
      <c r="I2091" s="65">
        <v>0.005202</v>
      </c>
      <c r="J2091" s="65">
        <v>0.006188289</v>
      </c>
      <c r="K2091" s="65">
        <v>0.0</v>
      </c>
      <c r="L2091" s="65">
        <v>0.33</v>
      </c>
      <c r="N2091" s="66">
        <v>2.2</v>
      </c>
      <c r="O2091" s="10">
        <f t="shared" si="454"/>
        <v>2.2</v>
      </c>
      <c r="Q2091" s="67">
        <v>0.0</v>
      </c>
      <c r="S2091" s="68">
        <v>0.036760803</v>
      </c>
      <c r="T2091" s="68">
        <v>0.035047908</v>
      </c>
      <c r="U2091" s="68">
        <v>0.0017128957</v>
      </c>
      <c r="V2091" s="68">
        <v>0.0</v>
      </c>
      <c r="X2091" s="69">
        <v>6.4503469E-5</v>
      </c>
    </row>
    <row r="2092" ht="12.75" customHeight="1">
      <c r="A2092" s="1" t="s">
        <v>2771</v>
      </c>
      <c r="B2092" s="2" t="s">
        <v>2543</v>
      </c>
      <c r="C2092" s="60" t="str">
        <f t="shared" si="452"/>
        <v>F.106.06.103</v>
      </c>
      <c r="D2092" s="51" t="s">
        <v>2769</v>
      </c>
      <c r="E2092" s="62" t="s">
        <v>45</v>
      </c>
      <c r="F2092" s="63" t="str">
        <f t="shared" si="453"/>
        <v>Rosin (from wood, pine)  waste combustion - clean tech without heat recovery</v>
      </c>
      <c r="G2092" s="64">
        <v>0.011390289</v>
      </c>
      <c r="H2092" s="10">
        <f t="shared" si="442"/>
        <v>0.011390289</v>
      </c>
      <c r="I2092" s="65">
        <v>0.005202</v>
      </c>
      <c r="J2092" s="65">
        <v>0.006188289</v>
      </c>
      <c r="K2092" s="65">
        <v>0.0</v>
      </c>
      <c r="L2092" s="65">
        <v>0.0</v>
      </c>
      <c r="N2092" s="66">
        <v>0.0</v>
      </c>
      <c r="O2092" s="10">
        <f t="shared" si="454"/>
        <v>0</v>
      </c>
      <c r="Q2092" s="67">
        <v>0.0</v>
      </c>
      <c r="S2092" s="68">
        <v>0.0010412057</v>
      </c>
      <c r="T2092" s="68">
        <v>9.9401958E-4</v>
      </c>
      <c r="U2092" s="68">
        <v>4.7186152E-5</v>
      </c>
      <c r="V2092" s="68">
        <v>0.0</v>
      </c>
      <c r="X2092" s="69">
        <v>3.1616312E-6</v>
      </c>
    </row>
    <row r="2093" ht="12.75" customHeight="1">
      <c r="B2093" s="2"/>
      <c r="C2093" s="60"/>
      <c r="D2093" s="51"/>
      <c r="E2093" s="62"/>
      <c r="G2093" s="10"/>
      <c r="H2093" s="10"/>
      <c r="I2093" s="10"/>
      <c r="J2093" s="10"/>
      <c r="K2093" s="10"/>
      <c r="L2093" s="10"/>
      <c r="N2093" s="10"/>
      <c r="O2093" s="10"/>
      <c r="Q2093" s="67"/>
    </row>
    <row r="2094" ht="12.75" customHeight="1">
      <c r="B2094" s="2"/>
      <c r="C2094" s="60"/>
      <c r="D2094" s="75" t="s">
        <v>2772</v>
      </c>
      <c r="E2094" s="62"/>
      <c r="G2094" s="10"/>
      <c r="H2094" s="10"/>
      <c r="I2094" s="10"/>
      <c r="J2094" s="10"/>
      <c r="K2094" s="10"/>
      <c r="L2094" s="10"/>
      <c r="N2094" s="10"/>
      <c r="O2094" s="10"/>
      <c r="Q2094" s="67"/>
    </row>
    <row r="2095" ht="12.75" customHeight="1">
      <c r="A2095" s="1" t="s">
        <v>2773</v>
      </c>
      <c r="B2095" s="2" t="s">
        <v>2543</v>
      </c>
      <c r="C2095" s="60" t="str">
        <f t="shared" ref="C2095:C2106" si="455">MID(A2095,1,12)</f>
        <v>F.108.01.101</v>
      </c>
      <c r="D2095" s="51" t="s">
        <v>2772</v>
      </c>
      <c r="E2095" s="62" t="s">
        <v>729</v>
      </c>
      <c r="F2095" s="63" t="str">
        <f t="shared" ref="F2095:F2106" si="456">MID(A2095, 21,85)</f>
        <v>film HDPE 50 mu in mun waste inc</v>
      </c>
      <c r="G2095" s="64">
        <v>0.008151987930059999</v>
      </c>
      <c r="H2095" s="10">
        <f t="shared" ref="H2095:H2106" si="457">G2095</f>
        <v>0.00815198793</v>
      </c>
      <c r="I2095" s="65">
        <v>1.5903562389999997E-4</v>
      </c>
      <c r="J2095" s="65">
        <v>3.268913115999997E-5</v>
      </c>
      <c r="K2095" s="65">
        <v>-1.4007552500000002E-4</v>
      </c>
      <c r="L2095" s="65">
        <v>0.0081003387</v>
      </c>
      <c r="N2095" s="66">
        <v>0.054002258</v>
      </c>
      <c r="O2095" s="10">
        <f t="shared" ref="O2095:O2106" si="458">N2095</f>
        <v>0.054002258</v>
      </c>
      <c r="Q2095" s="67">
        <v>-1.4075651</v>
      </c>
      <c r="S2095" s="68">
        <v>8.1628323E-4</v>
      </c>
      <c r="T2095" s="68">
        <v>8.6987966E-4</v>
      </c>
      <c r="U2095" s="68">
        <v>4.535111E-5</v>
      </c>
      <c r="V2095" s="68">
        <v>-9.8947545E-5</v>
      </c>
      <c r="X2095" s="69">
        <v>-2.0108906E-9</v>
      </c>
    </row>
    <row r="2096" ht="12.75" customHeight="1">
      <c r="A2096" s="1" t="s">
        <v>2774</v>
      </c>
      <c r="B2096" s="2" t="s">
        <v>2543</v>
      </c>
      <c r="C2096" s="60" t="str">
        <f t="shared" si="455"/>
        <v>F.108.01.102</v>
      </c>
      <c r="D2096" s="51" t="s">
        <v>2772</v>
      </c>
      <c r="E2096" s="62" t="s">
        <v>729</v>
      </c>
      <c r="F2096" s="63" t="str">
        <f t="shared" si="456"/>
        <v>film LDPE 50 mu in mun waste inc</v>
      </c>
      <c r="G2096" s="64">
        <v>0.008151987930059999</v>
      </c>
      <c r="H2096" s="10">
        <f t="shared" si="457"/>
        <v>0.00815198793</v>
      </c>
      <c r="I2096" s="65">
        <v>1.5903562389999997E-4</v>
      </c>
      <c r="J2096" s="65">
        <v>3.268913115999997E-5</v>
      </c>
      <c r="K2096" s="65">
        <v>-1.4007552500000002E-4</v>
      </c>
      <c r="L2096" s="65">
        <v>0.0081003387</v>
      </c>
      <c r="N2096" s="66">
        <v>0.054002258</v>
      </c>
      <c r="O2096" s="10">
        <f t="shared" si="458"/>
        <v>0.054002258</v>
      </c>
      <c r="Q2096" s="67">
        <v>-1.4075651</v>
      </c>
      <c r="S2096" s="68">
        <v>8.1628323E-4</v>
      </c>
      <c r="T2096" s="68">
        <v>8.6987966E-4</v>
      </c>
      <c r="U2096" s="68">
        <v>4.535111E-5</v>
      </c>
      <c r="V2096" s="68">
        <v>-9.8947545E-5</v>
      </c>
      <c r="X2096" s="69">
        <v>-2.0108906E-9</v>
      </c>
    </row>
    <row r="2097" ht="12.75" customHeight="1">
      <c r="A2097" s="1" t="s">
        <v>2775</v>
      </c>
      <c r="B2097" s="2" t="s">
        <v>2543</v>
      </c>
      <c r="C2097" s="60" t="str">
        <f t="shared" si="455"/>
        <v>F.108.01.103</v>
      </c>
      <c r="D2097" s="51" t="s">
        <v>2772</v>
      </c>
      <c r="E2097" s="62" t="s">
        <v>729</v>
      </c>
      <c r="F2097" s="63" t="str">
        <f t="shared" si="456"/>
        <v>film PC 50 mu in mun waste inc</v>
      </c>
      <c r="G2097" s="64">
        <v>0.01272703927133</v>
      </c>
      <c r="H2097" s="10">
        <f t="shared" si="457"/>
        <v>0.01272703927</v>
      </c>
      <c r="I2097" s="65">
        <v>1.3700865270000002E-4</v>
      </c>
      <c r="J2097" s="65">
        <v>2.9437338629999983E-5</v>
      </c>
      <c r="K2097" s="65">
        <v>-1.1953271999999999E-4</v>
      </c>
      <c r="L2097" s="65">
        <v>0.012680126</v>
      </c>
      <c r="N2097" s="66">
        <v>0.08453417333333334</v>
      </c>
      <c r="O2097" s="10">
        <f t="shared" si="458"/>
        <v>0.08453417333</v>
      </c>
      <c r="Q2097" s="67">
        <v>-1.2011383</v>
      </c>
      <c r="S2097" s="68">
        <v>0.0013211381</v>
      </c>
      <c r="T2097" s="68">
        <v>0.0013377493</v>
      </c>
      <c r="U2097" s="68">
        <v>6.7825185E-5</v>
      </c>
      <c r="V2097" s="68">
        <v>-8.443637E-5</v>
      </c>
      <c r="X2097" s="69">
        <v>1.0712054E-6</v>
      </c>
    </row>
    <row r="2098" ht="12.75" customHeight="1">
      <c r="A2098" s="1" t="s">
        <v>2776</v>
      </c>
      <c r="B2098" s="2" t="s">
        <v>2543</v>
      </c>
      <c r="C2098" s="60" t="str">
        <f t="shared" si="455"/>
        <v>F.108.01.104</v>
      </c>
      <c r="D2098" s="51" t="s">
        <v>2772</v>
      </c>
      <c r="E2098" s="62" t="s">
        <v>729</v>
      </c>
      <c r="F2098" s="63" t="str">
        <f t="shared" si="456"/>
        <v>film PET / PE+EVOH+PE 62 mu in mun waste inc</v>
      </c>
      <c r="G2098" s="64">
        <v>0.01071956394544</v>
      </c>
      <c r="H2098" s="10">
        <f t="shared" si="457"/>
        <v>0.01071956395</v>
      </c>
      <c r="I2098" s="65">
        <v>1.797036091E-4</v>
      </c>
      <c r="J2098" s="65">
        <v>4.0565464339999985E-5</v>
      </c>
      <c r="K2098" s="65">
        <v>-1.55032128E-4</v>
      </c>
      <c r="L2098" s="65">
        <v>0.010654327</v>
      </c>
      <c r="N2098" s="66">
        <v>0.07102884666666667</v>
      </c>
      <c r="O2098" s="10">
        <f t="shared" si="458"/>
        <v>0.07102884667</v>
      </c>
      <c r="Q2098" s="67">
        <v>-1.5578583</v>
      </c>
      <c r="S2098" s="68">
        <v>0.0010870073</v>
      </c>
      <c r="T2098" s="68">
        <v>0.0011377673</v>
      </c>
      <c r="U2098" s="68">
        <v>5.8752699E-5</v>
      </c>
      <c r="V2098" s="68">
        <v>-1.095127E-4</v>
      </c>
      <c r="X2098" s="69">
        <v>3.1398726E-7</v>
      </c>
    </row>
    <row r="2099" ht="12.75" customHeight="1">
      <c r="A2099" s="1" t="s">
        <v>2777</v>
      </c>
      <c r="B2099" s="2" t="s">
        <v>2543</v>
      </c>
      <c r="C2099" s="60" t="str">
        <f t="shared" si="455"/>
        <v>F.108.01.105</v>
      </c>
      <c r="D2099" s="51" t="s">
        <v>2772</v>
      </c>
      <c r="E2099" s="62" t="s">
        <v>729</v>
      </c>
      <c r="F2099" s="63" t="str">
        <f t="shared" si="456"/>
        <v>film PET 50 mu in mun waste inc</v>
      </c>
      <c r="G2099" s="64">
        <v>0.01283762945108</v>
      </c>
      <c r="H2099" s="10">
        <f t="shared" si="457"/>
        <v>0.01283762945</v>
      </c>
      <c r="I2099" s="65">
        <v>1.214471906E-4</v>
      </c>
      <c r="J2099" s="65">
        <v>2.6360638480000012E-5</v>
      </c>
      <c r="K2099" s="65">
        <v>-1.0571737800000001E-4</v>
      </c>
      <c r="L2099" s="65">
        <v>0.012795539</v>
      </c>
      <c r="N2099" s="66">
        <v>0.08530359333333333</v>
      </c>
      <c r="O2099" s="10">
        <f t="shared" si="458"/>
        <v>0.08530359333</v>
      </c>
      <c r="Q2099" s="67">
        <v>-1.0623133</v>
      </c>
      <c r="S2099" s="68">
        <v>0.001339623</v>
      </c>
      <c r="T2099" s="68">
        <v>0.0013463318</v>
      </c>
      <c r="U2099" s="68">
        <v>6.7968611E-5</v>
      </c>
      <c r="V2099" s="68">
        <v>-7.4677392E-5</v>
      </c>
      <c r="X2099" s="69">
        <v>1.2414389E-6</v>
      </c>
    </row>
    <row r="2100" ht="12.75" customHeight="1">
      <c r="A2100" s="1" t="s">
        <v>2778</v>
      </c>
      <c r="B2100" s="2" t="s">
        <v>2543</v>
      </c>
      <c r="C2100" s="60" t="str">
        <f t="shared" si="455"/>
        <v>F.108.01.106</v>
      </c>
      <c r="D2100" s="51" t="s">
        <v>2772</v>
      </c>
      <c r="E2100" s="62" t="s">
        <v>729</v>
      </c>
      <c r="F2100" s="63" t="str">
        <f t="shared" si="456"/>
        <v>film PET+ALOx / LDPE 62 mu in mun waste inc</v>
      </c>
      <c r="G2100" s="64">
        <v>0.01066010182248</v>
      </c>
      <c r="H2100" s="10">
        <f t="shared" si="457"/>
        <v>0.01066010182</v>
      </c>
      <c r="I2100" s="65">
        <v>1.7746690469999999E-4</v>
      </c>
      <c r="J2100" s="65">
        <v>3.689805177999999E-5</v>
      </c>
      <c r="K2100" s="65">
        <v>-1.55933134E-4</v>
      </c>
      <c r="L2100" s="65">
        <v>0.01060167</v>
      </c>
      <c r="N2100" s="66">
        <v>0.07067780000000001</v>
      </c>
      <c r="O2100" s="10">
        <f t="shared" si="458"/>
        <v>0.0706778</v>
      </c>
      <c r="Q2100" s="67">
        <v>-1.5669121</v>
      </c>
      <c r="S2100" s="68">
        <v>0.0010802659</v>
      </c>
      <c r="T2100" s="68">
        <v>0.001131929</v>
      </c>
      <c r="U2100" s="68">
        <v>5.848605E-5</v>
      </c>
      <c r="V2100" s="68">
        <v>-1.1014915E-4</v>
      </c>
      <c r="X2100" s="69">
        <v>2.9251982E-7</v>
      </c>
    </row>
    <row r="2101" ht="12.75" customHeight="1">
      <c r="A2101" s="1" t="s">
        <v>2779</v>
      </c>
      <c r="B2101" s="2" t="s">
        <v>2543</v>
      </c>
      <c r="C2101" s="60" t="str">
        <f t="shared" si="455"/>
        <v>F.108.01.107</v>
      </c>
      <c r="D2101" s="51" t="s">
        <v>2772</v>
      </c>
      <c r="E2101" s="62" t="s">
        <v>729</v>
      </c>
      <c r="F2101" s="63" t="str">
        <f t="shared" si="456"/>
        <v>film PET+PVOH / LDPE 62 mu in mun waste inc</v>
      </c>
      <c r="G2101" s="64">
        <v>0.0142557769687</v>
      </c>
      <c r="H2101" s="10">
        <f t="shared" si="457"/>
        <v>0.01425577697</v>
      </c>
      <c r="I2101" s="65">
        <v>1.7714034169999998E-4</v>
      </c>
      <c r="J2101" s="65">
        <v>3.5744516E-5</v>
      </c>
      <c r="K2101" s="65">
        <v>-1.5661788899999998E-4</v>
      </c>
      <c r="L2101" s="65">
        <v>0.01419951</v>
      </c>
      <c r="N2101" s="66">
        <v>0.09466340000000001</v>
      </c>
      <c r="O2101" s="10">
        <f t="shared" si="458"/>
        <v>0.0946634</v>
      </c>
      <c r="Q2101" s="67">
        <v>-1.573793</v>
      </c>
      <c r="S2101" s="68">
        <v>0.0014691837</v>
      </c>
      <c r="T2101" s="68">
        <v>0.0015031583</v>
      </c>
      <c r="U2101" s="68">
        <v>7.6658333E-5</v>
      </c>
      <c r="V2101" s="68">
        <v>-1.1063286E-4</v>
      </c>
      <c r="X2101" s="69">
        <v>9.5326049E-7</v>
      </c>
    </row>
    <row r="2102" ht="12.75" customHeight="1">
      <c r="A2102" s="1" t="s">
        <v>2780</v>
      </c>
      <c r="B2102" s="2" t="s">
        <v>2543</v>
      </c>
      <c r="C2102" s="60" t="str">
        <f t="shared" si="455"/>
        <v>F.108.01.108</v>
      </c>
      <c r="D2102" s="51" t="s">
        <v>2772</v>
      </c>
      <c r="E2102" s="62" t="s">
        <v>729</v>
      </c>
      <c r="F2102" s="63" t="str">
        <f t="shared" si="456"/>
        <v>film PLA (biobased) 50 mu in mun waste inc</v>
      </c>
      <c r="G2102" s="64">
        <v>-0.008374833948100001</v>
      </c>
      <c r="H2102" s="10">
        <f t="shared" si="457"/>
        <v>-0.008374833948</v>
      </c>
      <c r="I2102" s="65">
        <v>9.508314759999998E-5</v>
      </c>
      <c r="J2102" s="65">
        <v>2.0768073300000016E-5</v>
      </c>
      <c r="K2102" s="65">
        <v>-8.265176900000001E-5</v>
      </c>
      <c r="L2102" s="65">
        <v>-0.0084080334</v>
      </c>
      <c r="N2102" s="66">
        <v>-0.056053556000000004</v>
      </c>
      <c r="O2102" s="10">
        <f t="shared" si="458"/>
        <v>-0.056053556</v>
      </c>
      <c r="Q2102" s="67">
        <v>-0.83053582</v>
      </c>
      <c r="S2102" s="68">
        <v>-9.4554904E-4</v>
      </c>
      <c r="T2102" s="68">
        <v>-8.4736963E-4</v>
      </c>
      <c r="U2102" s="68">
        <v>-3.9795271E-5</v>
      </c>
      <c r="V2102" s="68">
        <v>-5.8384143E-5</v>
      </c>
      <c r="X2102" s="69">
        <v>-2.4518083E-6</v>
      </c>
    </row>
    <row r="2103" ht="12.75" customHeight="1">
      <c r="A2103" s="1" t="s">
        <v>2781</v>
      </c>
      <c r="B2103" s="2" t="s">
        <v>2543</v>
      </c>
      <c r="C2103" s="60" t="str">
        <f t="shared" si="455"/>
        <v>F.108.01.109</v>
      </c>
      <c r="D2103" s="51" t="s">
        <v>2772</v>
      </c>
      <c r="E2103" s="62" t="s">
        <v>729</v>
      </c>
      <c r="F2103" s="63" t="str">
        <f t="shared" si="456"/>
        <v>film PP 50 mu in mun waste inc</v>
      </c>
      <c r="G2103" s="64">
        <v>0.0083991229612</v>
      </c>
      <c r="H2103" s="10">
        <f t="shared" si="457"/>
        <v>0.008399122961</v>
      </c>
      <c r="I2103" s="65">
        <v>1.462831705E-4</v>
      </c>
      <c r="J2103" s="65">
        <v>3.080651370000003E-5</v>
      </c>
      <c r="K2103" s="65">
        <v>-1.28182323E-4</v>
      </c>
      <c r="L2103" s="65">
        <v>0.0083502156</v>
      </c>
      <c r="N2103" s="66">
        <v>0.055668104</v>
      </c>
      <c r="O2103" s="10">
        <f t="shared" si="458"/>
        <v>0.055668104</v>
      </c>
      <c r="Q2103" s="67">
        <v>-1.2880548</v>
      </c>
      <c r="S2103" s="68">
        <v>8.4861784E-4</v>
      </c>
      <c r="T2103" s="68">
        <v>8.9292398E-4</v>
      </c>
      <c r="U2103" s="68">
        <v>4.6240196E-5</v>
      </c>
      <c r="V2103" s="68">
        <v>-9.0546338E-5</v>
      </c>
      <c r="X2103" s="69">
        <v>1.7290891E-7</v>
      </c>
    </row>
    <row r="2104" ht="12.75" customHeight="1">
      <c r="A2104" s="1" t="s">
        <v>2782</v>
      </c>
      <c r="B2104" s="2" t="s">
        <v>2543</v>
      </c>
      <c r="C2104" s="60" t="str">
        <f t="shared" si="455"/>
        <v>F.108.01.110</v>
      </c>
      <c r="D2104" s="51" t="s">
        <v>2772</v>
      </c>
      <c r="E2104" s="62" t="s">
        <v>729</v>
      </c>
      <c r="F2104" s="63" t="str">
        <f t="shared" si="456"/>
        <v>film PP+PVDC 62 mu in mun waste inc</v>
      </c>
      <c r="G2104" s="64">
        <v>0.00890245526923</v>
      </c>
      <c r="H2104" s="10">
        <f t="shared" si="457"/>
        <v>0.008902455269</v>
      </c>
      <c r="I2104" s="65">
        <v>1.5006905209999998E-4</v>
      </c>
      <c r="J2104" s="65">
        <v>3.235737512999998E-5</v>
      </c>
      <c r="K2104" s="65">
        <v>-1.30825258E-4</v>
      </c>
      <c r="L2104" s="65">
        <v>0.0088508541</v>
      </c>
      <c r="N2104" s="66">
        <v>0.059005694</v>
      </c>
      <c r="O2104" s="10">
        <f t="shared" si="458"/>
        <v>0.059005694</v>
      </c>
      <c r="Q2104" s="67">
        <v>-1.3146127</v>
      </c>
      <c r="S2104" s="68">
        <v>9.0182306E-4</v>
      </c>
      <c r="T2104" s="68">
        <v>9.4537777E-4</v>
      </c>
      <c r="U2104" s="68">
        <v>4.8858566E-5</v>
      </c>
      <c r="V2104" s="68">
        <v>-9.2413273E-5</v>
      </c>
      <c r="X2104" s="69">
        <v>2.3799912E-7</v>
      </c>
    </row>
    <row r="2105" ht="12.75" customHeight="1">
      <c r="A2105" s="1" t="s">
        <v>2783</v>
      </c>
      <c r="B2105" s="2" t="s">
        <v>2543</v>
      </c>
      <c r="C2105" s="60" t="str">
        <f t="shared" si="455"/>
        <v>F.108.01.111</v>
      </c>
      <c r="D2105" s="51" t="s">
        <v>2772</v>
      </c>
      <c r="E2105" s="62" t="s">
        <v>729</v>
      </c>
      <c r="F2105" s="63" t="str">
        <f t="shared" si="456"/>
        <v>film PS (shrink) 50 mu in mun waste inc</v>
      </c>
      <c r="G2105" s="64">
        <v>0.01182747277814</v>
      </c>
      <c r="H2105" s="10">
        <f t="shared" si="457"/>
        <v>0.01182747278</v>
      </c>
      <c r="I2105" s="65">
        <v>1.653833871E-4</v>
      </c>
      <c r="J2105" s="65">
        <v>3.4334785039999946E-5</v>
      </c>
      <c r="K2105" s="65">
        <v>-1.45361394E-4</v>
      </c>
      <c r="L2105" s="65">
        <v>0.011773116</v>
      </c>
      <c r="N2105" s="66">
        <v>0.07848744</v>
      </c>
      <c r="O2105" s="10">
        <f t="shared" si="458"/>
        <v>0.07848744</v>
      </c>
      <c r="Q2105" s="67">
        <v>-1.4606807</v>
      </c>
      <c r="S2105" s="68">
        <v>0.0012116151</v>
      </c>
      <c r="T2105" s="68">
        <v>0.0012502351</v>
      </c>
      <c r="U2105" s="68">
        <v>6.4061423E-5</v>
      </c>
      <c r="V2105" s="68">
        <v>-1.0268141E-4</v>
      </c>
      <c r="X2105" s="69">
        <v>6.2401569E-7</v>
      </c>
    </row>
    <row r="2106" ht="12.75" customHeight="1">
      <c r="A2106" s="1" t="s">
        <v>2784</v>
      </c>
      <c r="B2106" s="2" t="s">
        <v>2543</v>
      </c>
      <c r="C2106" s="60" t="str">
        <f t="shared" si="455"/>
        <v>F.108.01.112</v>
      </c>
      <c r="D2106" s="51" t="s">
        <v>2772</v>
      </c>
      <c r="E2106" s="62" t="s">
        <v>729</v>
      </c>
      <c r="F2106" s="63" t="str">
        <f t="shared" si="456"/>
        <v>film PVC (stiff shrink) 50 mu in mun waste inc</v>
      </c>
      <c r="G2106" s="64">
        <v>0.00620929903909</v>
      </c>
      <c r="H2106" s="10">
        <f t="shared" si="457"/>
        <v>0.006209299039</v>
      </c>
      <c r="I2106" s="65">
        <v>4.808077420000001E-5</v>
      </c>
      <c r="J2106" s="65">
        <v>-3.5414300109999985E-5</v>
      </c>
      <c r="K2106" s="65">
        <v>-8.2892035E-5</v>
      </c>
      <c r="L2106" s="65">
        <v>0.0062795246</v>
      </c>
      <c r="N2106" s="66">
        <v>0.04186349733333333</v>
      </c>
      <c r="O2106" s="10">
        <f t="shared" si="458"/>
        <v>0.04186349733</v>
      </c>
      <c r="Q2106" s="67">
        <v>-0.83295017</v>
      </c>
      <c r="S2106" s="68">
        <v>6.3468379E-4</v>
      </c>
      <c r="T2106" s="68">
        <v>6.5931711E-4</v>
      </c>
      <c r="U2106" s="68">
        <v>3.3920549E-5</v>
      </c>
      <c r="V2106" s="68">
        <v>-5.8553864E-5</v>
      </c>
      <c r="X2106" s="69">
        <v>2.4706023E-7</v>
      </c>
    </row>
    <row r="2107" ht="12.75" customHeight="1">
      <c r="B2107" s="2"/>
      <c r="C2107" s="60"/>
      <c r="D2107" s="51"/>
      <c r="E2107" s="62"/>
      <c r="G2107" s="10"/>
      <c r="H2107" s="10"/>
      <c r="I2107" s="10"/>
      <c r="J2107" s="10"/>
      <c r="K2107" s="10"/>
      <c r="L2107" s="10"/>
      <c r="N2107" s="10"/>
      <c r="O2107" s="10"/>
      <c r="Q2107" s="67"/>
    </row>
    <row r="2108" ht="12.75" customHeight="1">
      <c r="B2108" s="2"/>
      <c r="C2108" s="60"/>
      <c r="D2108" s="75" t="s">
        <v>2785</v>
      </c>
      <c r="E2108" s="62"/>
      <c r="G2108" s="10"/>
      <c r="H2108" s="10"/>
      <c r="I2108" s="10"/>
      <c r="J2108" s="10"/>
      <c r="K2108" s="10"/>
      <c r="L2108" s="10"/>
      <c r="N2108" s="10"/>
      <c r="O2108" s="10"/>
      <c r="Q2108" s="67"/>
    </row>
    <row r="2109" ht="12.75" customHeight="1">
      <c r="A2109" s="1" t="s">
        <v>2786</v>
      </c>
      <c r="B2109" s="2" t="s">
        <v>2543</v>
      </c>
      <c r="C2109" s="60" t="str">
        <f t="shared" ref="C2109:C2122" si="459">MID(A2109,1,12)</f>
        <v>F.110.01.100</v>
      </c>
      <c r="D2109" s="51" t="s">
        <v>2787</v>
      </c>
      <c r="E2109" s="62" t="s">
        <v>45</v>
      </c>
      <c r="F2109" s="63" t="str">
        <f t="shared" ref="F2109:F2122" si="460">MID(A2109, 21,85)</f>
        <v>Metals open loop recycling credit</v>
      </c>
      <c r="G2109" s="64">
        <v>0.0</v>
      </c>
      <c r="H2109" s="10">
        <f t="shared" ref="H2109:H2122" si="461">G2109</f>
        <v>0</v>
      </c>
      <c r="I2109" s="65">
        <v>0.0</v>
      </c>
      <c r="J2109" s="65">
        <v>0.0</v>
      </c>
      <c r="K2109" s="65">
        <v>0.0</v>
      </c>
      <c r="L2109" s="65">
        <v>0.0</v>
      </c>
      <c r="N2109" s="66">
        <v>0.0</v>
      </c>
      <c r="O2109" s="10">
        <f t="shared" ref="O2109:O2122" si="462">N2109</f>
        <v>0</v>
      </c>
      <c r="Q2109" s="67">
        <v>0.0</v>
      </c>
      <c r="S2109" s="68">
        <v>0.0</v>
      </c>
      <c r="T2109" s="68">
        <v>0.0</v>
      </c>
      <c r="U2109" s="68">
        <v>0.0</v>
      </c>
      <c r="V2109" s="68">
        <v>0.0</v>
      </c>
      <c r="X2109" s="69">
        <v>0.0</v>
      </c>
    </row>
    <row r="2110" ht="12.75" customHeight="1">
      <c r="A2110" s="1" t="s">
        <v>2788</v>
      </c>
      <c r="B2110" s="2" t="s">
        <v>2543</v>
      </c>
      <c r="C2110" s="60" t="str">
        <f t="shared" si="459"/>
        <v>F.110.01.101</v>
      </c>
      <c r="D2110" s="51" t="s">
        <v>2789</v>
      </c>
      <c r="E2110" s="62" t="s">
        <v>45</v>
      </c>
      <c r="F2110" s="63" t="str">
        <f t="shared" si="460"/>
        <v>Aluminium  recycling credit closed loop (79% virgin part trade mix)</v>
      </c>
      <c r="G2110" s="64">
        <v>-1.4046035266495402</v>
      </c>
      <c r="H2110" s="10">
        <f t="shared" si="461"/>
        <v>-1.404603527</v>
      </c>
      <c r="I2110" s="65">
        <v>-0.008799856760999999</v>
      </c>
      <c r="J2110" s="65">
        <v>-0.0379678913321</v>
      </c>
      <c r="K2110" s="65">
        <v>-0.8765100285564401</v>
      </c>
      <c r="L2110" s="65">
        <v>-0.48132575</v>
      </c>
      <c r="N2110" s="66">
        <v>-3.2088383333333335</v>
      </c>
      <c r="O2110" s="10">
        <f t="shared" si="462"/>
        <v>-3.208838333</v>
      </c>
      <c r="Q2110" s="67">
        <v>-47.72177</v>
      </c>
      <c r="S2110" s="68">
        <v>-0.063316484</v>
      </c>
      <c r="T2110" s="68">
        <v>-0.060762278</v>
      </c>
      <c r="U2110" s="68">
        <v>-0.0026932002</v>
      </c>
      <c r="V2110" s="68">
        <v>1.3899423E-4</v>
      </c>
      <c r="X2110" s="69">
        <v>-1.1808164E-4</v>
      </c>
    </row>
    <row r="2111" ht="12.75" customHeight="1">
      <c r="A2111" s="1" t="s">
        <v>2790</v>
      </c>
      <c r="B2111" s="2" t="s">
        <v>2543</v>
      </c>
      <c r="C2111" s="60" t="str">
        <f t="shared" si="459"/>
        <v>F.110.01.102</v>
      </c>
      <c r="D2111" s="51" t="s">
        <v>2791</v>
      </c>
      <c r="E2111" s="62" t="s">
        <v>45</v>
      </c>
      <c r="F2111" s="63" t="str">
        <f t="shared" si="460"/>
        <v>Copper  recycling credit closed loop (45% virgin part in trade mix)</v>
      </c>
      <c r="G2111" s="64">
        <v>-2.3064863881635422</v>
      </c>
      <c r="H2111" s="10">
        <f t="shared" si="461"/>
        <v>-2.306486388</v>
      </c>
      <c r="I2111" s="65">
        <v>-0.06405580889</v>
      </c>
      <c r="J2111" s="65">
        <v>-0.13379811346800002</v>
      </c>
      <c r="K2111" s="65">
        <v>-1.9051901058055423</v>
      </c>
      <c r="L2111" s="65">
        <v>-0.20344236</v>
      </c>
      <c r="N2111" s="66">
        <v>-1.3562824</v>
      </c>
      <c r="O2111" s="10">
        <f t="shared" si="462"/>
        <v>-1.3562824</v>
      </c>
      <c r="Q2111" s="67">
        <v>-22.166082</v>
      </c>
      <c r="S2111" s="68">
        <v>-0.071250009</v>
      </c>
      <c r="T2111" s="68">
        <v>-0.06785276</v>
      </c>
      <c r="U2111" s="68">
        <v>-0.0018859987</v>
      </c>
      <c r="V2111" s="68">
        <v>-0.0015112505</v>
      </c>
      <c r="X2111" s="69">
        <v>-8.6184747E-4</v>
      </c>
    </row>
    <row r="2112" ht="12.75" customHeight="1">
      <c r="A2112" s="1" t="s">
        <v>2792</v>
      </c>
      <c r="B2112" s="2" t="s">
        <v>2543</v>
      </c>
      <c r="C2112" s="60" t="str">
        <f t="shared" si="459"/>
        <v>F.110.01.103</v>
      </c>
      <c r="D2112" s="51" t="s">
        <v>2793</v>
      </c>
      <c r="E2112" s="62" t="s">
        <v>45</v>
      </c>
      <c r="F2112" s="63" t="str">
        <f t="shared" si="460"/>
        <v>Gold  recycling credit closed loop (80% virgin part trade mix)</v>
      </c>
      <c r="G2112" s="64">
        <v>-46120.758509846</v>
      </c>
      <c r="H2112" s="10">
        <f t="shared" si="461"/>
        <v>-46120.75851</v>
      </c>
      <c r="I2112" s="65">
        <v>-2333.7553622</v>
      </c>
      <c r="J2112" s="65">
        <v>-15800.699547646</v>
      </c>
      <c r="K2112" s="65">
        <v>-22341.5426</v>
      </c>
      <c r="L2112" s="65">
        <v>-5644.761</v>
      </c>
      <c r="N2112" s="66">
        <v>-37631.740000000005</v>
      </c>
      <c r="O2112" s="10">
        <f t="shared" si="462"/>
        <v>-37631.74</v>
      </c>
      <c r="Q2112" s="67">
        <v>-66205.007</v>
      </c>
      <c r="S2112" s="68">
        <v>-7191.625</v>
      </c>
      <c r="T2112" s="68">
        <v>-7078.2608</v>
      </c>
      <c r="U2112" s="68">
        <v>-108.99468</v>
      </c>
      <c r="V2112" s="68">
        <v>-4.369562</v>
      </c>
      <c r="X2112" s="69">
        <v>-56.734182</v>
      </c>
    </row>
    <row r="2113" ht="12.75" customHeight="1">
      <c r="A2113" s="1" t="s">
        <v>2794</v>
      </c>
      <c r="B2113" s="2" t="s">
        <v>2543</v>
      </c>
      <c r="C2113" s="60" t="str">
        <f t="shared" si="459"/>
        <v>F.110.01.104</v>
      </c>
      <c r="D2113" s="51" t="s">
        <v>2795</v>
      </c>
      <c r="E2113" s="62" t="s">
        <v>45</v>
      </c>
      <c r="F2113" s="63" t="str">
        <f t="shared" si="460"/>
        <v>Lead  recycling credit  closed loop (25% virgin part in trade mix)</v>
      </c>
      <c r="G2113" s="64">
        <v>-0.5703337694970295</v>
      </c>
      <c r="H2113" s="10">
        <f t="shared" si="461"/>
        <v>-0.5703337695</v>
      </c>
      <c r="I2113" s="65">
        <v>-0.01762794225</v>
      </c>
      <c r="J2113" s="65">
        <v>-0.0899916284066</v>
      </c>
      <c r="K2113" s="65">
        <v>-0.41453324084042953</v>
      </c>
      <c r="L2113" s="65">
        <v>-0.048180958</v>
      </c>
      <c r="N2113" s="66">
        <v>-0.3212063866666667</v>
      </c>
      <c r="O2113" s="10">
        <f t="shared" si="462"/>
        <v>-0.3212063867</v>
      </c>
      <c r="Q2113" s="67">
        <v>-5.4713232</v>
      </c>
      <c r="S2113" s="68">
        <v>-0.032262038</v>
      </c>
      <c r="T2113" s="68">
        <v>-0.030993798</v>
      </c>
      <c r="U2113" s="68">
        <v>-7.2751561E-4</v>
      </c>
      <c r="V2113" s="68">
        <v>-5.4072397E-4</v>
      </c>
      <c r="X2113" s="69">
        <v>-4.7916857E-5</v>
      </c>
    </row>
    <row r="2114" ht="12.75" customHeight="1">
      <c r="A2114" s="1" t="s">
        <v>2796</v>
      </c>
      <c r="B2114" s="2" t="s">
        <v>2543</v>
      </c>
      <c r="C2114" s="60" t="str">
        <f t="shared" si="459"/>
        <v>F.110.01.105</v>
      </c>
      <c r="D2114" s="51" t="s">
        <v>2797</v>
      </c>
      <c r="E2114" s="62" t="s">
        <v>45</v>
      </c>
      <c r="F2114" s="63" t="str">
        <f t="shared" si="460"/>
        <v>Magnesium  recycling credit closed loop (90% virgin part in trade mix)</v>
      </c>
      <c r="G2114" s="64">
        <v>-4.040279908795542</v>
      </c>
      <c r="H2114" s="10">
        <f t="shared" si="461"/>
        <v>-4.040279909</v>
      </c>
      <c r="I2114" s="65">
        <v>-0.1573947093</v>
      </c>
      <c r="J2114" s="65">
        <v>-0.22569251738999999</v>
      </c>
      <c r="K2114" s="65">
        <v>-0.14912648210554227</v>
      </c>
      <c r="L2114" s="65">
        <v>-3.5080662</v>
      </c>
      <c r="N2114" s="66">
        <v>-23.387108</v>
      </c>
      <c r="O2114" s="10">
        <f t="shared" si="462"/>
        <v>-23.387108</v>
      </c>
      <c r="Q2114" s="67">
        <v>-346.44663</v>
      </c>
      <c r="S2114" s="68">
        <v>-0.43519444</v>
      </c>
      <c r="T2114" s="68">
        <v>-0.39126641</v>
      </c>
      <c r="U2114" s="68">
        <v>-0.01839553</v>
      </c>
      <c r="V2114" s="68">
        <v>-0.025532497</v>
      </c>
      <c r="X2114" s="69">
        <v>-0.0011429306</v>
      </c>
    </row>
    <row r="2115" ht="12.75" customHeight="1">
      <c r="A2115" s="1" t="s">
        <v>2798</v>
      </c>
      <c r="B2115" s="2" t="s">
        <v>2543</v>
      </c>
      <c r="C2115" s="60" t="str">
        <f t="shared" si="459"/>
        <v>F.110.01.106</v>
      </c>
      <c r="D2115" s="51" t="s">
        <v>2799</v>
      </c>
      <c r="E2115" s="62" t="s">
        <v>45</v>
      </c>
      <c r="F2115" s="63" t="str">
        <f t="shared" si="460"/>
        <v>Nickel  recycling credit closed loop (66% virgin part in trade mix)</v>
      </c>
      <c r="G2115" s="64">
        <v>-19.818132598648727</v>
      </c>
      <c r="H2115" s="10">
        <f t="shared" si="461"/>
        <v>-19.8181326</v>
      </c>
      <c r="I2115" s="65">
        <v>-0.37261590837999997</v>
      </c>
      <c r="J2115" s="65">
        <v>-9.276317180258001</v>
      </c>
      <c r="K2115" s="65">
        <v>-8.926401810010727</v>
      </c>
      <c r="L2115" s="65">
        <v>-1.2427977</v>
      </c>
      <c r="N2115" s="66">
        <v>-8.285318</v>
      </c>
      <c r="O2115" s="10">
        <f t="shared" si="462"/>
        <v>-8.285318</v>
      </c>
      <c r="Q2115" s="67">
        <v>-160.5775</v>
      </c>
      <c r="S2115" s="68">
        <v>-3.0082117</v>
      </c>
      <c r="T2115" s="68">
        <v>-2.9336115</v>
      </c>
      <c r="U2115" s="68">
        <v>-0.059980717</v>
      </c>
      <c r="V2115" s="68">
        <v>-0.01461946</v>
      </c>
      <c r="X2115" s="69">
        <v>-0.0030978177</v>
      </c>
    </row>
    <row r="2116" ht="12.75" customHeight="1">
      <c r="A2116" s="1" t="s">
        <v>2800</v>
      </c>
      <c r="B2116" s="2" t="s">
        <v>2543</v>
      </c>
      <c r="C2116" s="60" t="str">
        <f t="shared" si="459"/>
        <v>F.110.01.107</v>
      </c>
      <c r="D2116" s="51" t="s">
        <v>2801</v>
      </c>
      <c r="E2116" s="62" t="s">
        <v>45</v>
      </c>
      <c r="F2116" s="63" t="str">
        <f t="shared" si="460"/>
        <v>Palladium  recycling credit  closed loop (91% virgin part in trade mix)</v>
      </c>
      <c r="G2116" s="64">
        <v>-27014.98324003834</v>
      </c>
      <c r="H2116" s="10">
        <f t="shared" si="461"/>
        <v>-27014.98324</v>
      </c>
      <c r="I2116" s="65">
        <v>-617.713691169</v>
      </c>
      <c r="J2116" s="65">
        <v>-14734.92871243934</v>
      </c>
      <c r="K2116" s="65">
        <v>-8469.81443643</v>
      </c>
      <c r="L2116" s="65">
        <v>-3192.5264</v>
      </c>
      <c r="N2116" s="66">
        <v>-21283.509333333335</v>
      </c>
      <c r="O2116" s="10">
        <f t="shared" si="462"/>
        <v>-21283.50933</v>
      </c>
      <c r="Q2116" s="67">
        <v>-326862.63</v>
      </c>
      <c r="S2116" s="68">
        <v>-4905.9026</v>
      </c>
      <c r="T2116" s="68">
        <v>-4774.8666</v>
      </c>
      <c r="U2116" s="68">
        <v>-101.27582</v>
      </c>
      <c r="V2116" s="68">
        <v>-29.760165</v>
      </c>
      <c r="X2116" s="69">
        <v>-5.768055</v>
      </c>
    </row>
    <row r="2117" ht="12.75" customHeight="1">
      <c r="A2117" s="1" t="s">
        <v>2802</v>
      </c>
      <c r="B2117" s="2" t="s">
        <v>2543</v>
      </c>
      <c r="C2117" s="60" t="str">
        <f t="shared" si="459"/>
        <v>F.110.01.108</v>
      </c>
      <c r="D2117" s="51" t="s">
        <v>2803</v>
      </c>
      <c r="E2117" s="62" t="s">
        <v>45</v>
      </c>
      <c r="F2117" s="63" t="str">
        <f t="shared" si="460"/>
        <v>Platinum  recycling credit  closed loop (88.5% virgin part in trade mix)</v>
      </c>
      <c r="G2117" s="64">
        <v>-20748.606108941698</v>
      </c>
      <c r="H2117" s="10">
        <f t="shared" si="461"/>
        <v>-20748.60611</v>
      </c>
      <c r="I2117" s="65">
        <v>-335.87063988499995</v>
      </c>
      <c r="J2117" s="65">
        <v>-7901.6738646567</v>
      </c>
      <c r="K2117" s="65">
        <v>-8236.5187044</v>
      </c>
      <c r="L2117" s="65">
        <v>-4274.5429</v>
      </c>
      <c r="N2117" s="66">
        <v>-28496.95266666667</v>
      </c>
      <c r="O2117" s="10">
        <f t="shared" si="462"/>
        <v>-28496.95267</v>
      </c>
      <c r="Q2117" s="67">
        <v>-398812.77</v>
      </c>
      <c r="S2117" s="68">
        <v>-2915.5939</v>
      </c>
      <c r="T2117" s="68">
        <v>-2807.3438</v>
      </c>
      <c r="U2117" s="68">
        <v>-66.938094</v>
      </c>
      <c r="V2117" s="68">
        <v>-41.312014</v>
      </c>
      <c r="X2117" s="69">
        <v>-5.8262853</v>
      </c>
    </row>
    <row r="2118" ht="12.75" customHeight="1">
      <c r="A2118" s="1" t="s">
        <v>2804</v>
      </c>
      <c r="B2118" s="2" t="s">
        <v>2543</v>
      </c>
      <c r="C2118" s="60" t="str">
        <f t="shared" si="459"/>
        <v>F.110.01.109</v>
      </c>
      <c r="D2118" s="51" t="s">
        <v>2805</v>
      </c>
      <c r="E2118" s="62" t="s">
        <v>45</v>
      </c>
      <c r="F2118" s="63" t="str">
        <f t="shared" si="460"/>
        <v>Rhodium  recycling credit  closed loop (91% virgin part in trade mix)</v>
      </c>
      <c r="G2118" s="64">
        <v>-17050.8052158506</v>
      </c>
      <c r="H2118" s="10">
        <f t="shared" si="461"/>
        <v>-17050.80522</v>
      </c>
      <c r="I2118" s="65">
        <v>-153.51097031</v>
      </c>
      <c r="J2118" s="65">
        <v>-4089.8210380406003</v>
      </c>
      <c r="K2118" s="65">
        <v>-8467.5969075</v>
      </c>
      <c r="L2118" s="65">
        <v>-4339.8763</v>
      </c>
      <c r="N2118" s="66">
        <v>-28932.50866666667</v>
      </c>
      <c r="O2118" s="10">
        <f t="shared" si="462"/>
        <v>-28932.50867</v>
      </c>
      <c r="Q2118" s="67">
        <v>-401281.79</v>
      </c>
      <c r="S2118" s="68">
        <v>-1748.6108</v>
      </c>
      <c r="T2118" s="68">
        <v>-1665.1264</v>
      </c>
      <c r="U2118" s="68">
        <v>-45.254374</v>
      </c>
      <c r="V2118" s="68">
        <v>-38.230034</v>
      </c>
      <c r="X2118" s="69">
        <v>-2.4274237</v>
      </c>
    </row>
    <row r="2119" ht="12.75" customHeight="1">
      <c r="A2119" s="1" t="s">
        <v>2806</v>
      </c>
      <c r="B2119" s="2" t="s">
        <v>2543</v>
      </c>
      <c r="C2119" s="60" t="str">
        <f t="shared" si="459"/>
        <v>F.110.01.110</v>
      </c>
      <c r="D2119" s="51" t="s">
        <v>2807</v>
      </c>
      <c r="E2119" s="62" t="s">
        <v>45</v>
      </c>
      <c r="F2119" s="63" t="str">
        <f t="shared" si="460"/>
        <v>Silver  recycling credit closed loop (45% virgin part trade mix)</v>
      </c>
      <c r="G2119" s="64">
        <v>-426.795933069832</v>
      </c>
      <c r="H2119" s="10">
        <f t="shared" si="461"/>
        <v>-426.7959331</v>
      </c>
      <c r="I2119" s="65">
        <v>-14.564615387</v>
      </c>
      <c r="J2119" s="65">
        <v>-87.355447082832</v>
      </c>
      <c r="K2119" s="65">
        <v>-295.5124976</v>
      </c>
      <c r="L2119" s="65">
        <v>-29.363373</v>
      </c>
      <c r="N2119" s="66">
        <v>-195.75582</v>
      </c>
      <c r="O2119" s="10">
        <f t="shared" si="462"/>
        <v>-195.75582</v>
      </c>
      <c r="Q2119" s="67">
        <v>-283.4947</v>
      </c>
      <c r="S2119" s="68">
        <v>-44.870585</v>
      </c>
      <c r="T2119" s="68">
        <v>-44.165832</v>
      </c>
      <c r="U2119" s="68">
        <v>-0.59648732</v>
      </c>
      <c r="V2119" s="68">
        <v>-0.10826579</v>
      </c>
      <c r="X2119" s="69">
        <v>-0.66775296</v>
      </c>
    </row>
    <row r="2120" ht="12.75" customHeight="1">
      <c r="A2120" s="1" t="s">
        <v>2808</v>
      </c>
      <c r="B2120" s="2" t="s">
        <v>2543</v>
      </c>
      <c r="C2120" s="60" t="str">
        <f t="shared" si="459"/>
        <v>F.110.01.111</v>
      </c>
      <c r="D2120" s="51" t="s">
        <v>2809</v>
      </c>
      <c r="E2120" s="62" t="s">
        <v>45</v>
      </c>
      <c r="F2120" s="63" t="str">
        <f t="shared" si="460"/>
        <v>Steel  recycling credit closed loop (50.2% virgin part in trade mix)</v>
      </c>
      <c r="G2120" s="64">
        <v>-0.2275595886183812</v>
      </c>
      <c r="H2120" s="10">
        <f t="shared" si="461"/>
        <v>-0.2275595886</v>
      </c>
      <c r="I2120" s="65">
        <v>-0.011675428708889</v>
      </c>
      <c r="J2120" s="65">
        <v>-0.0419637499094922</v>
      </c>
      <c r="K2120" s="65">
        <v>-0.0358428</v>
      </c>
      <c r="L2120" s="65">
        <v>-0.13807761</v>
      </c>
      <c r="N2120" s="66">
        <v>-0.9205173999999999</v>
      </c>
      <c r="O2120" s="10">
        <f t="shared" si="462"/>
        <v>-0.9205174</v>
      </c>
      <c r="Q2120" s="67">
        <v>-6.8855073</v>
      </c>
      <c r="S2120" s="68">
        <v>-0.022758381</v>
      </c>
      <c r="T2120" s="68">
        <v>-0.021371157</v>
      </c>
      <c r="U2120" s="68">
        <v>-8.5203164E-4</v>
      </c>
      <c r="V2120" s="68">
        <v>-5.3519214E-4</v>
      </c>
      <c r="X2120" s="69">
        <v>-4.2803837E-5</v>
      </c>
    </row>
    <row r="2121" ht="12.75" customHeight="1">
      <c r="A2121" s="1" t="s">
        <v>2810</v>
      </c>
      <c r="B2121" s="2" t="s">
        <v>2543</v>
      </c>
      <c r="C2121" s="60" t="str">
        <f t="shared" si="459"/>
        <v>F.110.01.112</v>
      </c>
      <c r="D2121" s="51" t="s">
        <v>2811</v>
      </c>
      <c r="E2121" s="62" t="s">
        <v>45</v>
      </c>
      <c r="F2121" s="63" t="str">
        <f t="shared" si="460"/>
        <v>Titanium  recycling credit  closed loop (81% virgin part in trade mix)</v>
      </c>
      <c r="G2121" s="64">
        <v>-13.82426003616999</v>
      </c>
      <c r="H2121" s="10">
        <f t="shared" si="461"/>
        <v>-13.82426004</v>
      </c>
      <c r="I2121" s="65">
        <v>-0.10209064287700001</v>
      </c>
      <c r="J2121" s="65">
        <v>-0.298697140098</v>
      </c>
      <c r="K2121" s="65">
        <v>-12.18477235319499</v>
      </c>
      <c r="L2121" s="65">
        <v>-1.2386999</v>
      </c>
      <c r="N2121" s="66">
        <v>-8.257999333333334</v>
      </c>
      <c r="O2121" s="10">
        <f t="shared" si="462"/>
        <v>-8.257999333</v>
      </c>
      <c r="Q2121" s="67">
        <v>-82.289537</v>
      </c>
      <c r="S2121" s="68">
        <v>-0.21749174</v>
      </c>
      <c r="T2121" s="68">
        <v>-0.20388733</v>
      </c>
      <c r="U2121" s="68">
        <v>-0.0083318671</v>
      </c>
      <c r="V2121" s="68">
        <v>-0.0052725463</v>
      </c>
      <c r="X2121" s="69">
        <v>-4.6121673E-4</v>
      </c>
    </row>
    <row r="2122" ht="12.75" customHeight="1">
      <c r="A2122" s="1" t="s">
        <v>2812</v>
      </c>
      <c r="B2122" s="2" t="s">
        <v>2543</v>
      </c>
      <c r="C2122" s="60" t="str">
        <f t="shared" si="459"/>
        <v>F.110.01.113</v>
      </c>
      <c r="D2122" s="51" t="s">
        <v>2813</v>
      </c>
      <c r="E2122" s="62" t="s">
        <v>45</v>
      </c>
      <c r="F2122" s="63" t="str">
        <f t="shared" si="460"/>
        <v>Zinc  recycling credit closed loop (69% virgin part in trade mix)</v>
      </c>
      <c r="G2122" s="64">
        <v>-1.6340516312590965</v>
      </c>
      <c r="H2122" s="10">
        <f t="shared" si="461"/>
        <v>-1.634051631</v>
      </c>
      <c r="I2122" s="65">
        <v>0.005111099496</v>
      </c>
      <c r="J2122" s="65">
        <v>-0.22581002567799996</v>
      </c>
      <c r="K2122" s="65">
        <v>-1.1146819550770966</v>
      </c>
      <c r="L2122" s="65">
        <v>-0.29867075</v>
      </c>
      <c r="N2122" s="66">
        <v>-1.9911383333333332</v>
      </c>
      <c r="O2122" s="10">
        <f t="shared" si="462"/>
        <v>-1.991138333</v>
      </c>
      <c r="Q2122" s="67">
        <v>-44.415149</v>
      </c>
      <c r="S2122" s="68">
        <v>-0.10520148</v>
      </c>
      <c r="T2122" s="68">
        <v>-0.09905165</v>
      </c>
      <c r="U2122" s="68">
        <v>-0.0027909026</v>
      </c>
      <c r="V2122" s="68">
        <v>-0.0033589288</v>
      </c>
      <c r="X2122" s="69">
        <v>-6.1094701E-4</v>
      </c>
    </row>
    <row r="2123" ht="12.75" customHeight="1">
      <c r="B2123" s="2"/>
      <c r="C2123" s="60"/>
      <c r="E2123" s="62"/>
      <c r="G2123" s="10"/>
      <c r="H2123" s="10"/>
      <c r="I2123" s="10"/>
      <c r="J2123" s="10"/>
      <c r="K2123" s="10"/>
      <c r="L2123" s="10"/>
      <c r="N2123" s="10"/>
      <c r="O2123" s="10"/>
      <c r="Q2123" s="67"/>
    </row>
    <row r="2124" ht="12.75" customHeight="1">
      <c r="B2124" s="2"/>
      <c r="C2124" s="60"/>
      <c r="D2124" s="75" t="s">
        <v>2814</v>
      </c>
      <c r="E2124" s="62"/>
      <c r="G2124" s="10"/>
      <c r="H2124" s="10"/>
      <c r="I2124" s="10"/>
      <c r="J2124" s="10"/>
      <c r="K2124" s="10"/>
      <c r="L2124" s="10"/>
      <c r="N2124" s="10"/>
      <c r="O2124" s="10"/>
      <c r="Q2124" s="67"/>
    </row>
    <row r="2125" ht="12.75" customHeight="1">
      <c r="A2125" s="1" t="s">
        <v>2815</v>
      </c>
      <c r="B2125" s="2" t="s">
        <v>2543</v>
      </c>
      <c r="C2125" s="60" t="str">
        <f t="shared" ref="C2125:C2152" si="463">MID(A2125,1,12)</f>
        <v>F.120.01.100</v>
      </c>
      <c r="D2125" s="51" t="s">
        <v>2816</v>
      </c>
      <c r="E2125" s="62" t="s">
        <v>45</v>
      </c>
      <c r="F2125" s="63" t="str">
        <f t="shared" ref="F2125:F2152" si="464">MID(A2125, 21,85)</f>
        <v>Plastics open loop recycling credit</v>
      </c>
      <c r="G2125" s="64">
        <v>0.0</v>
      </c>
      <c r="H2125" s="10">
        <f t="shared" ref="H2125:H2152" si="465">G2125</f>
        <v>0</v>
      </c>
      <c r="I2125" s="65">
        <v>0.0</v>
      </c>
      <c r="J2125" s="65">
        <v>0.0</v>
      </c>
      <c r="K2125" s="65">
        <v>0.0</v>
      </c>
      <c r="L2125" s="65">
        <v>0.0</v>
      </c>
      <c r="N2125" s="66">
        <v>0.0</v>
      </c>
      <c r="O2125" s="10">
        <f t="shared" ref="O2125:O2152" si="466">N2125</f>
        <v>0</v>
      </c>
      <c r="Q2125" s="67">
        <v>0.0</v>
      </c>
      <c r="S2125" s="68">
        <v>0.0</v>
      </c>
      <c r="T2125" s="68">
        <v>0.0</v>
      </c>
      <c r="U2125" s="68">
        <v>0.0</v>
      </c>
      <c r="V2125" s="68">
        <v>0.0</v>
      </c>
      <c r="X2125" s="69">
        <v>0.0</v>
      </c>
    </row>
    <row r="2126" ht="12.75" customHeight="1">
      <c r="A2126" s="1" t="s">
        <v>2817</v>
      </c>
      <c r="B2126" s="2" t="s">
        <v>2543</v>
      </c>
      <c r="C2126" s="60" t="str">
        <f t="shared" si="463"/>
        <v>F.120.01.101</v>
      </c>
      <c r="D2126" s="51" t="s">
        <v>2818</v>
      </c>
      <c r="E2126" s="62" t="s">
        <v>45</v>
      </c>
      <c r="F2126" s="63" t="str">
        <f t="shared" si="464"/>
        <v>ABS closed loop chemical upcycling credit</v>
      </c>
      <c r="G2126" s="64">
        <v>-0.842364087233854</v>
      </c>
      <c r="H2126" s="10">
        <f t="shared" si="465"/>
        <v>-0.8423640872</v>
      </c>
      <c r="I2126" s="65">
        <v>-0.008307086364000002</v>
      </c>
      <c r="J2126" s="65">
        <v>-0.800641369589</v>
      </c>
      <c r="K2126" s="65">
        <v>-0.0014059812808540212</v>
      </c>
      <c r="L2126" s="65">
        <v>-0.03200965</v>
      </c>
      <c r="N2126" s="66">
        <v>-0.21339766666666668</v>
      </c>
      <c r="O2126" s="10">
        <f t="shared" si="466"/>
        <v>-0.2133976667</v>
      </c>
      <c r="Q2126" s="67">
        <v>-51.181632</v>
      </c>
      <c r="S2126" s="68">
        <v>-0.011759829</v>
      </c>
      <c r="T2126" s="68">
        <v>-0.0078624915</v>
      </c>
      <c r="U2126" s="68">
        <v>-2.6037573E-4</v>
      </c>
      <c r="V2126" s="68">
        <v>-0.0036369616</v>
      </c>
      <c r="X2126" s="69">
        <v>-7.539766E-5</v>
      </c>
    </row>
    <row r="2127" ht="12.75" customHeight="1">
      <c r="A2127" s="1" t="s">
        <v>2819</v>
      </c>
      <c r="B2127" s="2" t="s">
        <v>2543</v>
      </c>
      <c r="C2127" s="60" t="str">
        <f t="shared" si="463"/>
        <v>F.120.01.102</v>
      </c>
      <c r="D2127" s="51" t="s">
        <v>2820</v>
      </c>
      <c r="E2127" s="62" t="s">
        <v>45</v>
      </c>
      <c r="F2127" s="63" t="str">
        <f t="shared" si="464"/>
        <v>bio-PE (Polyethylene) closed loop chemical upcycling credit</v>
      </c>
      <c r="G2127" s="64">
        <v>-0.7897881581036537</v>
      </c>
      <c r="H2127" s="10">
        <f t="shared" si="465"/>
        <v>-0.7897881581</v>
      </c>
      <c r="I2127" s="65">
        <v>-2.1734569450000002E-4</v>
      </c>
      <c r="J2127" s="65">
        <v>-0.7702622381501</v>
      </c>
      <c r="K2127" s="65">
        <v>-0.003046830259053618</v>
      </c>
      <c r="L2127" s="65">
        <v>-0.016261744</v>
      </c>
      <c r="N2127" s="66">
        <v>-0.10841162666666668</v>
      </c>
      <c r="O2127" s="10">
        <f t="shared" si="466"/>
        <v>-0.1084116267</v>
      </c>
      <c r="Q2127" s="67">
        <v>-42.731678</v>
      </c>
      <c r="S2127" s="68">
        <v>0.0012902825</v>
      </c>
      <c r="T2127" s="68">
        <v>-0.0021441768</v>
      </c>
      <c r="U2127" s="68">
        <v>-9.1104265E-5</v>
      </c>
      <c r="V2127" s="68">
        <v>0.0035255636</v>
      </c>
      <c r="X2127" s="69">
        <v>5.5757664E-5</v>
      </c>
    </row>
    <row r="2128" ht="12.75" customHeight="1">
      <c r="A2128" s="1" t="s">
        <v>2821</v>
      </c>
      <c r="B2128" s="2" t="s">
        <v>2543</v>
      </c>
      <c r="C2128" s="60" t="str">
        <f t="shared" si="463"/>
        <v>F.120.01.103</v>
      </c>
      <c r="D2128" s="51" t="s">
        <v>2822</v>
      </c>
      <c r="E2128" s="62" t="s">
        <v>45</v>
      </c>
      <c r="F2128" s="63" t="str">
        <f t="shared" si="464"/>
        <v>CA (Cellulose polymers) closed loop chemical upcycling credit</v>
      </c>
      <c r="G2128" s="64">
        <v>0.0</v>
      </c>
      <c r="H2128" s="10">
        <f t="shared" si="465"/>
        <v>0</v>
      </c>
      <c r="I2128" s="65">
        <v>0.0</v>
      </c>
      <c r="J2128" s="65">
        <v>0.0</v>
      </c>
      <c r="K2128" s="65">
        <v>0.0</v>
      </c>
      <c r="L2128" s="65">
        <v>0.0</v>
      </c>
      <c r="N2128" s="66">
        <v>0.0</v>
      </c>
      <c r="O2128" s="10">
        <f t="shared" si="466"/>
        <v>0</v>
      </c>
      <c r="Q2128" s="67">
        <v>0.0</v>
      </c>
      <c r="S2128" s="68">
        <v>0.0</v>
      </c>
      <c r="T2128" s="68">
        <v>0.0</v>
      </c>
      <c r="U2128" s="68">
        <v>0.0</v>
      </c>
      <c r="V2128" s="68">
        <v>0.0</v>
      </c>
      <c r="X2128" s="69">
        <v>0.0</v>
      </c>
    </row>
    <row r="2129" ht="12.75" customHeight="1">
      <c r="A2129" s="1" t="s">
        <v>2823</v>
      </c>
      <c r="B2129" s="2" t="s">
        <v>2543</v>
      </c>
      <c r="C2129" s="60" t="str">
        <f t="shared" si="463"/>
        <v>F.120.01.104</v>
      </c>
      <c r="D2129" s="51" t="s">
        <v>2824</v>
      </c>
      <c r="E2129" s="62" t="s">
        <v>45</v>
      </c>
      <c r="F2129" s="63" t="str">
        <f t="shared" si="464"/>
        <v>EVA (Ethylene vinyl acetate) closed loop chemical upcycling credit</v>
      </c>
      <c r="G2129" s="64">
        <v>-0.562370975509854</v>
      </c>
      <c r="H2129" s="10">
        <f t="shared" si="465"/>
        <v>-0.5623709755</v>
      </c>
      <c r="I2129" s="65">
        <v>-0.006987943686</v>
      </c>
      <c r="J2129" s="65">
        <v>-0.601847475076</v>
      </c>
      <c r="K2129" s="65">
        <v>9.168212521459799E-4</v>
      </c>
      <c r="L2129" s="65">
        <v>0.045547622</v>
      </c>
      <c r="N2129" s="66">
        <v>0.3036508133333334</v>
      </c>
      <c r="O2129" s="10">
        <f t="shared" si="466"/>
        <v>0.3036508133</v>
      </c>
      <c r="Q2129" s="67">
        <v>-36.237609</v>
      </c>
      <c r="S2129" s="68">
        <v>-0.0037051175</v>
      </c>
      <c r="T2129" s="68">
        <v>-0.0012360546</v>
      </c>
      <c r="U2129" s="68">
        <v>1.1102068E-4</v>
      </c>
      <c r="V2129" s="68">
        <v>-0.0025800836</v>
      </c>
      <c r="X2129" s="69">
        <v>-4.3783357E-5</v>
      </c>
    </row>
    <row r="2130" ht="12.75" customHeight="1">
      <c r="A2130" s="1" t="s">
        <v>2825</v>
      </c>
      <c r="B2130" s="2" t="s">
        <v>2543</v>
      </c>
      <c r="C2130" s="60" t="str">
        <f t="shared" si="463"/>
        <v>F.120.01.105</v>
      </c>
      <c r="D2130" s="51" t="s">
        <v>2826</v>
      </c>
      <c r="E2130" s="62" t="s">
        <v>45</v>
      </c>
      <c r="F2130" s="63" t="str">
        <f t="shared" si="464"/>
        <v>Ionomer closed loop chemical upcycling credit</v>
      </c>
      <c r="G2130" s="64">
        <v>-0.872450048802854</v>
      </c>
      <c r="H2130" s="10">
        <f t="shared" si="465"/>
        <v>-0.8724500488</v>
      </c>
      <c r="I2130" s="65">
        <v>-0.011312755639</v>
      </c>
      <c r="J2130" s="65">
        <v>-0.819123116276</v>
      </c>
      <c r="K2130" s="65">
        <v>-0.00124954888785402</v>
      </c>
      <c r="L2130" s="65">
        <v>-0.040764628</v>
      </c>
      <c r="N2130" s="66">
        <v>-0.2717641866666667</v>
      </c>
      <c r="O2130" s="10">
        <f t="shared" si="466"/>
        <v>-0.2717641867</v>
      </c>
      <c r="Q2130" s="67">
        <v>-51.534948</v>
      </c>
      <c r="S2130" s="68">
        <v>-0.016585376</v>
      </c>
      <c r="T2130" s="68">
        <v>-0.012546375</v>
      </c>
      <c r="U2130" s="68">
        <v>-3.7477903E-4</v>
      </c>
      <c r="V2130" s="68">
        <v>-0.0036642221</v>
      </c>
      <c r="X2130" s="69">
        <v>-8.2020241E-5</v>
      </c>
    </row>
    <row r="2131" ht="12.75" customHeight="1">
      <c r="A2131" s="1" t="s">
        <v>2827</v>
      </c>
      <c r="B2131" s="2" t="s">
        <v>2543</v>
      </c>
      <c r="C2131" s="60" t="str">
        <f t="shared" si="463"/>
        <v>F.120.01.106</v>
      </c>
      <c r="D2131" s="51" t="s">
        <v>2828</v>
      </c>
      <c r="E2131" s="62" t="s">
        <v>45</v>
      </c>
      <c r="F2131" s="63" t="str">
        <f t="shared" si="464"/>
        <v>PA-11 (nylon-11) closed loop chemical upcycling credit</v>
      </c>
      <c r="G2131" s="64">
        <v>-0.6123</v>
      </c>
      <c r="H2131" s="10">
        <f t="shared" si="465"/>
        <v>-0.6123</v>
      </c>
      <c r="I2131" s="65">
        <v>0.0</v>
      </c>
      <c r="J2131" s="65">
        <v>-0.6123</v>
      </c>
      <c r="K2131" s="65">
        <v>0.0</v>
      </c>
      <c r="L2131" s="65">
        <v>0.0</v>
      </c>
      <c r="N2131" s="66">
        <v>0.0</v>
      </c>
      <c r="O2131" s="10">
        <f t="shared" si="466"/>
        <v>0</v>
      </c>
      <c r="Q2131" s="67">
        <v>0.0</v>
      </c>
      <c r="S2131" s="68">
        <v>0.0</v>
      </c>
      <c r="T2131" s="68">
        <v>0.0</v>
      </c>
      <c r="U2131" s="68">
        <v>0.0</v>
      </c>
      <c r="V2131" s="68">
        <v>0.0</v>
      </c>
      <c r="X2131" s="69">
        <v>0.0</v>
      </c>
    </row>
    <row r="2132" ht="12.75" customHeight="1">
      <c r="A2132" s="1" t="s">
        <v>2829</v>
      </c>
      <c r="B2132" s="2" t="s">
        <v>2543</v>
      </c>
      <c r="C2132" s="60" t="str">
        <f t="shared" si="463"/>
        <v>F.120.01.107</v>
      </c>
      <c r="D2132" s="51" t="s">
        <v>2830</v>
      </c>
      <c r="E2132" s="62" t="s">
        <v>45</v>
      </c>
      <c r="F2132" s="63" t="str">
        <f t="shared" si="464"/>
        <v>PA (nylons, polyamides) closed loop chemical upcycling credit</v>
      </c>
      <c r="G2132" s="64">
        <v>-0.635286548055554</v>
      </c>
      <c r="H2132" s="10">
        <f t="shared" si="465"/>
        <v>-0.6352865481</v>
      </c>
      <c r="I2132" s="65">
        <v>-0.007777262992</v>
      </c>
      <c r="J2132" s="65">
        <v>-0.6415023451759999</v>
      </c>
      <c r="K2132" s="65">
        <v>5.214381124459805E-4</v>
      </c>
      <c r="L2132" s="65">
        <v>0.013471622</v>
      </c>
      <c r="N2132" s="66">
        <v>0.08981081333333334</v>
      </c>
      <c r="O2132" s="10">
        <f t="shared" si="466"/>
        <v>0.08981081333</v>
      </c>
      <c r="Q2132" s="67">
        <v>-39.029519</v>
      </c>
      <c r="S2132" s="68">
        <v>-0.0078227293</v>
      </c>
      <c r="T2132" s="68">
        <v>-0.0049847447</v>
      </c>
      <c r="U2132" s="68">
        <v>-6.0035414E-5</v>
      </c>
      <c r="V2132" s="68">
        <v>-0.0027779492</v>
      </c>
      <c r="X2132" s="69">
        <v>-5.3796178E-5</v>
      </c>
    </row>
    <row r="2133" ht="12.75" customHeight="1">
      <c r="A2133" s="1" t="s">
        <v>2831</v>
      </c>
      <c r="B2133" s="2" t="s">
        <v>2543</v>
      </c>
      <c r="C2133" s="60" t="str">
        <f t="shared" si="463"/>
        <v>F.120.01.108</v>
      </c>
      <c r="D2133" s="51" t="s">
        <v>2832</v>
      </c>
      <c r="E2133" s="62" t="s">
        <v>45</v>
      </c>
      <c r="F2133" s="63" t="str">
        <f t="shared" si="464"/>
        <v>PC (Polycarbonate) closed loop chemical upcycling credit</v>
      </c>
      <c r="G2133" s="64">
        <v>-0.781772711101854</v>
      </c>
      <c r="H2133" s="10">
        <f t="shared" si="465"/>
        <v>-0.7817727111</v>
      </c>
      <c r="I2133" s="65">
        <v>-0.010243885737999999</v>
      </c>
      <c r="J2133" s="65">
        <v>-0.7654238130759999</v>
      </c>
      <c r="K2133" s="65">
        <v>-7.141341878540204E-4</v>
      </c>
      <c r="L2133" s="65">
        <v>-0.0053908781</v>
      </c>
      <c r="N2133" s="66">
        <v>-0.03593918733333333</v>
      </c>
      <c r="O2133" s="10">
        <f t="shared" si="466"/>
        <v>-0.03593918733</v>
      </c>
      <c r="Q2133" s="67">
        <v>-47.754237</v>
      </c>
      <c r="S2133" s="68">
        <v>-0.011882138</v>
      </c>
      <c r="T2133" s="68">
        <v>-0.0083020224</v>
      </c>
      <c r="U2133" s="68">
        <v>-1.8383688E-4</v>
      </c>
      <c r="V2133" s="68">
        <v>-0.0033962791</v>
      </c>
      <c r="X2133" s="69">
        <v>-6.9959905E-5</v>
      </c>
    </row>
    <row r="2134" ht="12.75" customHeight="1">
      <c r="A2134" s="1" t="s">
        <v>2833</v>
      </c>
      <c r="B2134" s="2" t="s">
        <v>2543</v>
      </c>
      <c r="C2134" s="60" t="str">
        <f t="shared" si="463"/>
        <v>F.120.01.109</v>
      </c>
      <c r="D2134" s="51" t="s">
        <v>2834</v>
      </c>
      <c r="E2134" s="62" t="s">
        <v>45</v>
      </c>
      <c r="F2134" s="63" t="str">
        <f t="shared" si="464"/>
        <v>PE (Polyethylene) closed loop chemical upcycling credit</v>
      </c>
      <c r="G2134" s="64">
        <v>-0.8724500489038541</v>
      </c>
      <c r="H2134" s="10">
        <f t="shared" si="465"/>
        <v>-0.8724500489</v>
      </c>
      <c r="I2134" s="65">
        <v>-0.011312755639</v>
      </c>
      <c r="J2134" s="65">
        <v>-0.8191231162770001</v>
      </c>
      <c r="K2134" s="65">
        <v>-0.0012495489878540213</v>
      </c>
      <c r="L2134" s="65">
        <v>-0.040764628</v>
      </c>
      <c r="N2134" s="66">
        <v>-0.2717641866666667</v>
      </c>
      <c r="O2134" s="10">
        <f t="shared" si="466"/>
        <v>-0.2717641867</v>
      </c>
      <c r="Q2134" s="67">
        <v>-51.534948</v>
      </c>
      <c r="S2134" s="68">
        <v>-0.016585376</v>
      </c>
      <c r="T2134" s="68">
        <v>-0.012546375</v>
      </c>
      <c r="U2134" s="68">
        <v>-3.7477903E-4</v>
      </c>
      <c r="V2134" s="68">
        <v>-0.0036642221</v>
      </c>
      <c r="X2134" s="69">
        <v>-8.2020241E-5</v>
      </c>
    </row>
    <row r="2135" ht="12.75" customHeight="1">
      <c r="A2135" s="1" t="s">
        <v>2835</v>
      </c>
      <c r="B2135" s="2" t="s">
        <v>2543</v>
      </c>
      <c r="C2135" s="60" t="str">
        <f t="shared" si="463"/>
        <v>F.120.01.111</v>
      </c>
      <c r="D2135" s="51" t="s">
        <v>2836</v>
      </c>
      <c r="E2135" s="62" t="s">
        <v>45</v>
      </c>
      <c r="F2135" s="63" t="str">
        <f t="shared" si="464"/>
        <v>PET (Polyethylene terephthalate) closed loop chemical upcycling credit</v>
      </c>
      <c r="G2135" s="64">
        <v>-0.7399808966880594</v>
      </c>
      <c r="H2135" s="10">
        <f t="shared" si="465"/>
        <v>-0.7399808967</v>
      </c>
      <c r="I2135" s="65">
        <v>-0.015715095560000003</v>
      </c>
      <c r="J2135" s="65">
        <v>-0.59156194681</v>
      </c>
      <c r="K2135" s="65">
        <v>0.006710005681940565</v>
      </c>
      <c r="L2135" s="65">
        <v>-0.13941386</v>
      </c>
      <c r="N2135" s="66">
        <v>-0.9294257333333333</v>
      </c>
      <c r="O2135" s="10">
        <f t="shared" si="466"/>
        <v>-0.9294257333</v>
      </c>
      <c r="Q2135" s="67">
        <v>-56.383322</v>
      </c>
      <c r="S2135" s="68">
        <v>-0.025562274</v>
      </c>
      <c r="T2135" s="68">
        <v>-0.02064907</v>
      </c>
      <c r="U2135" s="68">
        <v>-8.4569804E-4</v>
      </c>
      <c r="V2135" s="68">
        <v>-0.0040675061</v>
      </c>
      <c r="X2135" s="69">
        <v>-1.0952071E-4</v>
      </c>
    </row>
    <row r="2136" ht="12.75" customHeight="1">
      <c r="A2136" s="1" t="s">
        <v>2837</v>
      </c>
      <c r="B2136" s="2" t="s">
        <v>2543</v>
      </c>
      <c r="C2136" s="60" t="str">
        <f t="shared" si="463"/>
        <v>F.120.01.112</v>
      </c>
      <c r="D2136" s="51" t="s">
        <v>2838</v>
      </c>
      <c r="E2136" s="62" t="s">
        <v>45</v>
      </c>
      <c r="F2136" s="63" t="str">
        <f t="shared" si="464"/>
        <v>PHA and PHB (Polyhydroxyalkanoates)  closed loop chemical upcycling credit</v>
      </c>
      <c r="G2136" s="64">
        <v>0.0</v>
      </c>
      <c r="H2136" s="10">
        <f t="shared" si="465"/>
        <v>0</v>
      </c>
      <c r="I2136" s="65">
        <v>0.0</v>
      </c>
      <c r="J2136" s="65">
        <v>0.0</v>
      </c>
      <c r="K2136" s="65">
        <v>0.0</v>
      </c>
      <c r="L2136" s="65">
        <v>0.0</v>
      </c>
      <c r="N2136" s="66">
        <v>0.0</v>
      </c>
      <c r="O2136" s="10">
        <f t="shared" si="466"/>
        <v>0</v>
      </c>
      <c r="Q2136" s="67">
        <v>0.0</v>
      </c>
      <c r="S2136" s="68">
        <v>0.0</v>
      </c>
      <c r="T2136" s="68">
        <v>0.0</v>
      </c>
      <c r="U2136" s="68">
        <v>0.0</v>
      </c>
      <c r="V2136" s="68">
        <v>0.0</v>
      </c>
      <c r="X2136" s="69">
        <v>0.0</v>
      </c>
    </row>
    <row r="2137" ht="12.75" customHeight="1">
      <c r="A2137" s="1" t="s">
        <v>2839</v>
      </c>
      <c r="B2137" s="2" t="s">
        <v>2543</v>
      </c>
      <c r="C2137" s="60" t="str">
        <f t="shared" si="463"/>
        <v>F.120.01.113</v>
      </c>
      <c r="D2137" s="51" t="s">
        <v>2840</v>
      </c>
      <c r="E2137" s="62" t="s">
        <v>45</v>
      </c>
      <c r="F2137" s="63" t="str">
        <f t="shared" si="464"/>
        <v>PLA (Polylactide) closed loop chemical upcycling credit</v>
      </c>
      <c r="G2137" s="64">
        <v>0.0</v>
      </c>
      <c r="H2137" s="10">
        <f t="shared" si="465"/>
        <v>0</v>
      </c>
      <c r="I2137" s="65">
        <v>0.0</v>
      </c>
      <c r="J2137" s="65">
        <v>0.0</v>
      </c>
      <c r="K2137" s="65">
        <v>0.0</v>
      </c>
      <c r="L2137" s="65">
        <v>0.0</v>
      </c>
      <c r="N2137" s="66">
        <v>0.0</v>
      </c>
      <c r="O2137" s="10">
        <f t="shared" si="466"/>
        <v>0</v>
      </c>
      <c r="Q2137" s="67">
        <v>0.0</v>
      </c>
      <c r="S2137" s="68">
        <v>0.0</v>
      </c>
      <c r="T2137" s="68">
        <v>0.0</v>
      </c>
      <c r="U2137" s="68">
        <v>0.0</v>
      </c>
      <c r="V2137" s="68">
        <v>0.0</v>
      </c>
      <c r="X2137" s="69">
        <v>0.0</v>
      </c>
    </row>
    <row r="2138" ht="12.75" customHeight="1">
      <c r="A2138" s="1" t="s">
        <v>2841</v>
      </c>
      <c r="B2138" s="2" t="s">
        <v>2543</v>
      </c>
      <c r="C2138" s="60" t="str">
        <f t="shared" si="463"/>
        <v>F.120.01.114</v>
      </c>
      <c r="D2138" s="51" t="s">
        <v>2842</v>
      </c>
      <c r="E2138" s="62" t="s">
        <v>45</v>
      </c>
      <c r="F2138" s="63" t="str">
        <f t="shared" si="464"/>
        <v>PMMA (Acrilylic Polymethyl Methacrylate) closed loop chemical upcycling credit</v>
      </c>
      <c r="G2138" s="64">
        <v>-0.519477721912854</v>
      </c>
      <c r="H2138" s="10">
        <f t="shared" si="465"/>
        <v>-0.5194777219</v>
      </c>
      <c r="I2138" s="65">
        <v>-0.0063795100479999995</v>
      </c>
      <c r="J2138" s="65">
        <v>-0.5712801795770001</v>
      </c>
      <c r="K2138" s="65">
        <v>0.0012215957121459787</v>
      </c>
      <c r="L2138" s="65">
        <v>0.056960372</v>
      </c>
      <c r="N2138" s="66">
        <v>0.37973581333333334</v>
      </c>
      <c r="O2138" s="10">
        <f t="shared" si="466"/>
        <v>0.3797358133</v>
      </c>
      <c r="Q2138" s="67">
        <v>-34.085512</v>
      </c>
      <c r="S2138" s="68">
        <v>-0.001972086</v>
      </c>
      <c r="T2138" s="68">
        <v>2.79796E-4</v>
      </c>
      <c r="U2138" s="68">
        <v>1.7568018E-4</v>
      </c>
      <c r="V2138" s="68">
        <v>-0.0024275622</v>
      </c>
      <c r="X2138" s="69">
        <v>-3.8539726E-5</v>
      </c>
    </row>
    <row r="2139" ht="12.75" customHeight="1">
      <c r="A2139" s="1" t="s">
        <v>2843</v>
      </c>
      <c r="B2139" s="2" t="s">
        <v>2543</v>
      </c>
      <c r="C2139" s="60" t="str">
        <f t="shared" si="463"/>
        <v>F.120.01.115</v>
      </c>
      <c r="D2139" s="51" t="s">
        <v>2844</v>
      </c>
      <c r="E2139" s="62" t="s">
        <v>45</v>
      </c>
      <c r="F2139" s="63" t="str">
        <f t="shared" si="464"/>
        <v>POM and Acetal (Polyoxymethylene) closed loop chemical upcycling credit</v>
      </c>
      <c r="G2139" s="64">
        <v>-0.253095882624254</v>
      </c>
      <c r="H2139" s="10">
        <f t="shared" si="465"/>
        <v>-0.2530958826</v>
      </c>
      <c r="I2139" s="65">
        <v>-0.0025480226103999997</v>
      </c>
      <c r="J2139" s="65">
        <v>-0.37878883156599996</v>
      </c>
      <c r="K2139" s="65">
        <v>0.0031408515521459805</v>
      </c>
      <c r="L2139" s="65">
        <v>0.12510012</v>
      </c>
      <c r="N2139" s="66">
        <v>0.8340008000000001</v>
      </c>
      <c r="O2139" s="10">
        <f t="shared" si="466"/>
        <v>0.8340008</v>
      </c>
      <c r="Q2139" s="67">
        <v>-20.533117</v>
      </c>
      <c r="S2139" s="68">
        <v>0.0085376178</v>
      </c>
      <c r="T2139" s="68">
        <v>0.0094406734</v>
      </c>
      <c r="U2139" s="68">
        <v>5.6403409E-4</v>
      </c>
      <c r="V2139" s="68">
        <v>-0.0014670897</v>
      </c>
      <c r="X2139" s="69">
        <v>-6.2123211E-6</v>
      </c>
    </row>
    <row r="2140" ht="12.75" customHeight="1">
      <c r="A2140" s="1" t="s">
        <v>2845</v>
      </c>
      <c r="B2140" s="2" t="s">
        <v>2543</v>
      </c>
      <c r="C2140" s="60" t="str">
        <f t="shared" si="463"/>
        <v>F.120.01.116</v>
      </c>
      <c r="D2140" s="51" t="s">
        <v>2846</v>
      </c>
      <c r="E2140" s="62" t="s">
        <v>45</v>
      </c>
      <c r="F2140" s="63" t="str">
        <f t="shared" si="464"/>
        <v>PP (Polypropylene) closed loop chemical upcycling credit</v>
      </c>
      <c r="G2140" s="64">
        <v>-0.8724500489038541</v>
      </c>
      <c r="H2140" s="10">
        <f t="shared" si="465"/>
        <v>-0.8724500489</v>
      </c>
      <c r="I2140" s="65">
        <v>-0.011312755639</v>
      </c>
      <c r="J2140" s="65">
        <v>-0.8191231162770001</v>
      </c>
      <c r="K2140" s="65">
        <v>-0.0012495489878540213</v>
      </c>
      <c r="L2140" s="65">
        <v>-0.040764628</v>
      </c>
      <c r="N2140" s="66">
        <v>-0.2717641866666667</v>
      </c>
      <c r="O2140" s="10">
        <f t="shared" si="466"/>
        <v>-0.2717641867</v>
      </c>
      <c r="Q2140" s="67">
        <v>-51.534948</v>
      </c>
      <c r="S2140" s="68">
        <v>-0.016585376</v>
      </c>
      <c r="T2140" s="68">
        <v>-0.012546375</v>
      </c>
      <c r="U2140" s="68">
        <v>-3.7477903E-4</v>
      </c>
      <c r="V2140" s="68">
        <v>-0.0036642221</v>
      </c>
      <c r="X2140" s="69">
        <v>-8.2020241E-5</v>
      </c>
    </row>
    <row r="2141" ht="12.75" customHeight="1">
      <c r="A2141" s="1" t="s">
        <v>2847</v>
      </c>
      <c r="B2141" s="2" t="s">
        <v>2543</v>
      </c>
      <c r="C2141" s="60" t="str">
        <f t="shared" si="463"/>
        <v>F.120.01.117</v>
      </c>
      <c r="D2141" s="51" t="s">
        <v>2848</v>
      </c>
      <c r="E2141" s="62" t="s">
        <v>45</v>
      </c>
      <c r="F2141" s="63" t="str">
        <f t="shared" si="464"/>
        <v>PS (Polystyrene) closed loop chemical upcycle credit</v>
      </c>
      <c r="G2141" s="64">
        <v>-0.930396709546854</v>
      </c>
      <c r="H2141" s="10">
        <f t="shared" si="465"/>
        <v>-0.9303967095</v>
      </c>
      <c r="I2141" s="65">
        <v>-0.011481859623</v>
      </c>
      <c r="J2141" s="65">
        <v>-0.881623662576</v>
      </c>
      <c r="K2141" s="65">
        <v>-0.0018838093478540205</v>
      </c>
      <c r="L2141" s="65">
        <v>-0.035407378</v>
      </c>
      <c r="N2141" s="66">
        <v>-0.2360491866666667</v>
      </c>
      <c r="O2141" s="10">
        <f t="shared" si="466"/>
        <v>-0.2360491867</v>
      </c>
      <c r="Q2141" s="67">
        <v>-54.344437</v>
      </c>
      <c r="S2141" s="68">
        <v>-0.016555283</v>
      </c>
      <c r="T2141" s="68">
        <v>-0.012317284</v>
      </c>
      <c r="U2141" s="68">
        <v>-3.553277E-4</v>
      </c>
      <c r="V2141" s="68">
        <v>-0.0038826711</v>
      </c>
      <c r="X2141" s="69">
        <v>-8.4923437E-5</v>
      </c>
    </row>
    <row r="2142" ht="12.75" customHeight="1">
      <c r="A2142" s="1" t="s">
        <v>2849</v>
      </c>
      <c r="B2142" s="2" t="s">
        <v>2543</v>
      </c>
      <c r="C2142" s="60" t="str">
        <f t="shared" si="463"/>
        <v>F.120.01.118</v>
      </c>
      <c r="D2142" s="51" t="s">
        <v>2850</v>
      </c>
      <c r="E2142" s="62" t="s">
        <v>45</v>
      </c>
      <c r="F2142" s="63" t="str">
        <f t="shared" si="464"/>
        <v>PTFE  Teflon (Polytetrafluoroethylene) closed loop chemical upcycling credit</v>
      </c>
      <c r="G2142" s="64">
        <v>-0.38017987277481796</v>
      </c>
      <c r="H2142" s="10">
        <f t="shared" si="465"/>
        <v>-0.3801798728</v>
      </c>
      <c r="I2142" s="65">
        <v>7.89786724E-4</v>
      </c>
      <c r="J2142" s="65">
        <v>-0.521610374732</v>
      </c>
      <c r="K2142" s="65">
        <v>0.0034148052331820786</v>
      </c>
      <c r="L2142" s="65">
        <v>0.13722591</v>
      </c>
      <c r="N2142" s="66">
        <v>0.9148394000000001</v>
      </c>
      <c r="O2142" s="10">
        <f t="shared" si="466"/>
        <v>0.9148394</v>
      </c>
      <c r="Q2142" s="67">
        <v>-17.247694</v>
      </c>
      <c r="S2142" s="68">
        <v>0.0095921395</v>
      </c>
      <c r="T2142" s="68">
        <v>0.010225963</v>
      </c>
      <c r="U2142" s="68">
        <v>6.197679E-4</v>
      </c>
      <c r="V2142" s="68">
        <v>-0.0012535917</v>
      </c>
      <c r="X2142" s="69">
        <v>4.2149361E-7</v>
      </c>
    </row>
    <row r="2143" ht="12.75" customHeight="1">
      <c r="A2143" s="1" t="s">
        <v>2851</v>
      </c>
      <c r="B2143" s="2" t="s">
        <v>2543</v>
      </c>
      <c r="C2143" s="60" t="str">
        <f t="shared" si="463"/>
        <v>F.120.01.119</v>
      </c>
      <c r="D2143" s="51" t="s">
        <v>2852</v>
      </c>
      <c r="E2143" s="62" t="s">
        <v>45</v>
      </c>
      <c r="F2143" s="63" t="str">
        <f t="shared" si="464"/>
        <v>PTT (Polyltrimethylene terephthalate) closed loop chemical upcycling credit</v>
      </c>
      <c r="G2143" s="64">
        <v>-0.367252111379354</v>
      </c>
      <c r="H2143" s="10">
        <f t="shared" si="465"/>
        <v>-0.3672521114</v>
      </c>
      <c r="I2143" s="65">
        <v>-0.0038142222954999994</v>
      </c>
      <c r="J2143" s="65">
        <v>-0.44240185207599997</v>
      </c>
      <c r="K2143" s="65">
        <v>0.0025065909921459795</v>
      </c>
      <c r="L2143" s="65">
        <v>0.076457372</v>
      </c>
      <c r="N2143" s="66">
        <v>0.5097158133333334</v>
      </c>
      <c r="O2143" s="10">
        <f t="shared" si="466"/>
        <v>0.5097158133</v>
      </c>
      <c r="Q2143" s="67">
        <v>-25.011805</v>
      </c>
      <c r="S2143" s="68">
        <v>0.0022367105</v>
      </c>
      <c r="T2143" s="68">
        <v>0.0037173815</v>
      </c>
      <c r="U2143" s="68">
        <v>3.03828E-4</v>
      </c>
      <c r="V2143" s="68">
        <v>-0.0017844991</v>
      </c>
      <c r="X2143" s="69">
        <v>-2.1751756E-5</v>
      </c>
    </row>
    <row r="2144" ht="12.75" customHeight="1">
      <c r="A2144" s="1" t="s">
        <v>2853</v>
      </c>
      <c r="B2144" s="2" t="s">
        <v>2543</v>
      </c>
      <c r="C2144" s="60" t="str">
        <f t="shared" si="463"/>
        <v>F.120.01.120</v>
      </c>
      <c r="D2144" s="51" t="s">
        <v>2854</v>
      </c>
      <c r="E2144" s="62" t="s">
        <v>45</v>
      </c>
      <c r="F2144" s="63" t="str">
        <f t="shared" si="464"/>
        <v>PUR (Polyethane) closed loop chemical upcycling credit</v>
      </c>
      <c r="G2144" s="64">
        <v>-0.7012901833886541</v>
      </c>
      <c r="H2144" s="10">
        <f t="shared" si="465"/>
        <v>-0.7012901834</v>
      </c>
      <c r="I2144" s="65">
        <v>-0.008911909503999999</v>
      </c>
      <c r="J2144" s="65">
        <v>-0.6985062205770001</v>
      </c>
      <c r="K2144" s="65">
        <v>-4.692520765402138E-5</v>
      </c>
      <c r="L2144" s="65">
        <v>0.0061748719</v>
      </c>
      <c r="N2144" s="66">
        <v>0.04116581266666667</v>
      </c>
      <c r="O2144" s="10">
        <f t="shared" si="466"/>
        <v>0.04116581267</v>
      </c>
      <c r="Q2144" s="67">
        <v>-43.042889</v>
      </c>
      <c r="S2144" s="68">
        <v>-0.0095406846</v>
      </c>
      <c r="T2144" s="68">
        <v>-0.0063682853</v>
      </c>
      <c r="U2144" s="68">
        <v>-1.100184E-4</v>
      </c>
      <c r="V2144" s="68">
        <v>-0.003062381</v>
      </c>
      <c r="X2144" s="69">
        <v>-6.0974972E-5</v>
      </c>
    </row>
    <row r="2145" ht="12.75" customHeight="1">
      <c r="A2145" s="1" t="s">
        <v>2855</v>
      </c>
      <c r="B2145" s="2" t="s">
        <v>2543</v>
      </c>
      <c r="C2145" s="60" t="str">
        <f t="shared" si="463"/>
        <v>F.120.01.121</v>
      </c>
      <c r="D2145" s="51" t="s">
        <v>2856</v>
      </c>
      <c r="E2145" s="62" t="s">
        <v>45</v>
      </c>
      <c r="F2145" s="63" t="str">
        <f t="shared" si="464"/>
        <v>PVC (Polyvinylchloride) closed loop chemical upcycling credit</v>
      </c>
      <c r="G2145" s="64">
        <v>-0.344420967301054</v>
      </c>
      <c r="H2145" s="10">
        <f t="shared" si="465"/>
        <v>-0.3444209673</v>
      </c>
      <c r="I2145" s="65">
        <v>-0.0022355836972000006</v>
      </c>
      <c r="J2145" s="65">
        <v>-0.36309211287599996</v>
      </c>
      <c r="K2145" s="65">
        <v>0.00329735727214598</v>
      </c>
      <c r="L2145" s="65">
        <v>0.017609372</v>
      </c>
      <c r="N2145" s="66">
        <v>0.11739581333333335</v>
      </c>
      <c r="O2145" s="10">
        <f t="shared" si="466"/>
        <v>0.1173958133</v>
      </c>
      <c r="Q2145" s="67">
        <v>-19.427986</v>
      </c>
      <c r="S2145" s="68">
        <v>-0.002841734</v>
      </c>
      <c r="T2145" s="68">
        <v>-0.0014780509</v>
      </c>
      <c r="U2145" s="68">
        <v>2.5084822E-5</v>
      </c>
      <c r="V2145" s="68">
        <v>-0.0013887679</v>
      </c>
      <c r="X2145" s="69">
        <v>-2.4589889E-5</v>
      </c>
    </row>
    <row r="2146" ht="12.75" customHeight="1">
      <c r="A2146" s="1" t="s">
        <v>2857</v>
      </c>
      <c r="B2146" s="2" t="s">
        <v>2543</v>
      </c>
      <c r="C2146" s="60" t="str">
        <f t="shared" si="463"/>
        <v>F.120.01.122</v>
      </c>
      <c r="D2146" s="51" t="s">
        <v>2858</v>
      </c>
      <c r="E2146" s="62" t="s">
        <v>45</v>
      </c>
      <c r="F2146" s="63" t="str">
        <f t="shared" si="464"/>
        <v>Starch-PBS 50%-50% blend biodegradeble plastic closed loop chemical upcycling credit</v>
      </c>
      <c r="G2146" s="64">
        <v>0.0</v>
      </c>
      <c r="H2146" s="10">
        <f t="shared" si="465"/>
        <v>0</v>
      </c>
      <c r="I2146" s="65">
        <v>0.0</v>
      </c>
      <c r="J2146" s="65">
        <v>0.0</v>
      </c>
      <c r="K2146" s="65">
        <v>0.0</v>
      </c>
      <c r="L2146" s="65">
        <v>0.0</v>
      </c>
      <c r="N2146" s="66">
        <v>0.0</v>
      </c>
      <c r="O2146" s="10">
        <f t="shared" si="466"/>
        <v>0</v>
      </c>
      <c r="Q2146" s="67">
        <v>0.0</v>
      </c>
      <c r="S2146" s="68">
        <v>0.0</v>
      </c>
      <c r="T2146" s="68">
        <v>0.0</v>
      </c>
      <c r="U2146" s="68">
        <v>0.0</v>
      </c>
      <c r="V2146" s="68">
        <v>0.0</v>
      </c>
      <c r="X2146" s="69">
        <v>0.0</v>
      </c>
    </row>
    <row r="2147" ht="12.75" customHeight="1">
      <c r="A2147" s="1" t="s">
        <v>2859</v>
      </c>
      <c r="B2147" s="2" t="s">
        <v>2543</v>
      </c>
      <c r="C2147" s="60" t="str">
        <f t="shared" si="463"/>
        <v>F.120.01.123</v>
      </c>
      <c r="D2147" s="51" t="s">
        <v>2860</v>
      </c>
      <c r="E2147" s="62" t="s">
        <v>45</v>
      </c>
      <c r="F2147" s="63" t="str">
        <f t="shared" si="464"/>
        <v>PBS (Polybutylene succinate) closed loop chemical upcycling credit</v>
      </c>
      <c r="G2147" s="64">
        <v>0.0</v>
      </c>
      <c r="H2147" s="10">
        <f t="shared" si="465"/>
        <v>0</v>
      </c>
      <c r="I2147" s="65">
        <v>0.0</v>
      </c>
      <c r="J2147" s="65">
        <v>0.0</v>
      </c>
      <c r="K2147" s="65">
        <v>0.0</v>
      </c>
      <c r="L2147" s="65">
        <v>0.0</v>
      </c>
      <c r="N2147" s="66">
        <v>0.0</v>
      </c>
      <c r="O2147" s="10">
        <f t="shared" si="466"/>
        <v>0</v>
      </c>
      <c r="Q2147" s="67">
        <v>0.0</v>
      </c>
      <c r="S2147" s="68">
        <v>0.0</v>
      </c>
      <c r="T2147" s="68">
        <v>0.0</v>
      </c>
      <c r="U2147" s="68">
        <v>0.0</v>
      </c>
      <c r="V2147" s="68">
        <v>0.0</v>
      </c>
      <c r="X2147" s="69">
        <v>0.0</v>
      </c>
    </row>
    <row r="2148" ht="12.75" customHeight="1">
      <c r="A2148" s="1" t="s">
        <v>2861</v>
      </c>
      <c r="B2148" s="2" t="s">
        <v>2543</v>
      </c>
      <c r="C2148" s="60" t="str">
        <f t="shared" si="463"/>
        <v>F.120.01.124</v>
      </c>
      <c r="D2148" s="51" t="s">
        <v>2862</v>
      </c>
      <c r="E2148" s="62" t="s">
        <v>45</v>
      </c>
      <c r="F2148" s="63" t="str">
        <f t="shared" si="464"/>
        <v>PBAT (polybutylene adipate-co-terephthalate) closed loop chemical upcycling credit</v>
      </c>
      <c r="G2148" s="64">
        <v>8.893063846604378E-17</v>
      </c>
      <c r="H2148" s="10">
        <f t="shared" si="465"/>
        <v>0</v>
      </c>
      <c r="I2148" s="65">
        <v>4.1924742739999996E-18</v>
      </c>
      <c r="J2148" s="65">
        <v>6.3027321738999994E-18</v>
      </c>
      <c r="K2148" s="65">
        <v>3.4193870181437864E-18</v>
      </c>
      <c r="L2148" s="65">
        <v>7.5016045E-17</v>
      </c>
      <c r="N2148" s="66">
        <v>5.001069666666667E-16</v>
      </c>
      <c r="O2148" s="10">
        <f t="shared" si="466"/>
        <v>0</v>
      </c>
      <c r="Q2148" s="67">
        <v>9.72751E-15</v>
      </c>
      <c r="S2148" s="68">
        <v>9.6110069E-18</v>
      </c>
      <c r="T2148" s="68">
        <v>8.6123828E-18</v>
      </c>
      <c r="U2148" s="68">
        <v>3.9866034E-19</v>
      </c>
      <c r="V2148" s="68">
        <v>5.9996381E-19</v>
      </c>
      <c r="X2148" s="69">
        <v>2.7323801E-20</v>
      </c>
    </row>
    <row r="2149" ht="12.75" customHeight="1">
      <c r="A2149" s="1" t="s">
        <v>2863</v>
      </c>
      <c r="B2149" s="2" t="s">
        <v>2543</v>
      </c>
      <c r="C2149" s="60" t="str">
        <f t="shared" si="463"/>
        <v>F.120.01.125</v>
      </c>
      <c r="D2149" s="51" t="s">
        <v>2864</v>
      </c>
      <c r="E2149" s="62" t="s">
        <v>45</v>
      </c>
      <c r="F2149" s="63" t="str">
        <f t="shared" si="464"/>
        <v>PAN (Polyacrylonitrile fibres) closed loop chemical upcycling credit</v>
      </c>
      <c r="G2149" s="64">
        <v>-0.710210048802854</v>
      </c>
      <c r="H2149" s="10">
        <f t="shared" si="465"/>
        <v>-0.7102100488</v>
      </c>
      <c r="I2149" s="65">
        <v>-0.011312755639</v>
      </c>
      <c r="J2149" s="65">
        <v>-0.6568831162759999</v>
      </c>
      <c r="K2149" s="65">
        <v>-0.00124954888785402</v>
      </c>
      <c r="L2149" s="65">
        <v>-0.040764628</v>
      </c>
      <c r="N2149" s="66">
        <v>-0.2717641866666667</v>
      </c>
      <c r="O2149" s="10">
        <f t="shared" si="466"/>
        <v>-0.2717641867</v>
      </c>
      <c r="Q2149" s="67">
        <v>-51.534948</v>
      </c>
      <c r="S2149" s="68">
        <v>-0.016585376</v>
      </c>
      <c r="T2149" s="68">
        <v>-0.012546375</v>
      </c>
      <c r="U2149" s="68">
        <v>-3.7477903E-4</v>
      </c>
      <c r="V2149" s="68">
        <v>-0.0036642221</v>
      </c>
      <c r="X2149" s="69">
        <v>-8.2020241E-5</v>
      </c>
    </row>
    <row r="2150" ht="12.75" customHeight="1">
      <c r="A2150" s="1" t="s">
        <v>2865</v>
      </c>
      <c r="B2150" s="2" t="s">
        <v>2543</v>
      </c>
      <c r="C2150" s="60" t="str">
        <f t="shared" si="463"/>
        <v>F.120.01.126</v>
      </c>
      <c r="D2150" s="51" t="s">
        <v>2866</v>
      </c>
      <c r="E2150" s="62" t="s">
        <v>45</v>
      </c>
      <c r="F2150" s="63" t="str">
        <f t="shared" si="464"/>
        <v>Bio-PP (Polypropylene) closed loop chemical upcycling credit</v>
      </c>
      <c r="G2150" s="64">
        <v>-0.7897881581039536</v>
      </c>
      <c r="H2150" s="10">
        <f t="shared" si="465"/>
        <v>-0.7897881581</v>
      </c>
      <c r="I2150" s="65">
        <v>-2.1734569450000002E-4</v>
      </c>
      <c r="J2150" s="65">
        <v>-0.7702622381502999</v>
      </c>
      <c r="K2150" s="65">
        <v>-0.0030468302591536178</v>
      </c>
      <c r="L2150" s="65">
        <v>-0.016261744</v>
      </c>
      <c r="N2150" s="66">
        <v>-0.10841162666666668</v>
      </c>
      <c r="O2150" s="10">
        <f t="shared" si="466"/>
        <v>-0.1084116267</v>
      </c>
      <c r="Q2150" s="67">
        <v>-42.755678</v>
      </c>
      <c r="S2150" s="68">
        <v>0.0012600089</v>
      </c>
      <c r="T2150" s="68">
        <v>-0.0021441768</v>
      </c>
      <c r="U2150" s="68">
        <v>-9.1104265E-5</v>
      </c>
      <c r="V2150" s="68">
        <v>0.00349529</v>
      </c>
      <c r="X2150" s="69">
        <v>5.5245697E-5</v>
      </c>
    </row>
    <row r="2151" ht="12.75" customHeight="1">
      <c r="A2151" s="1" t="s">
        <v>2867</v>
      </c>
      <c r="B2151" s="2" t="s">
        <v>2543</v>
      </c>
      <c r="C2151" s="60" t="str">
        <f t="shared" si="463"/>
        <v>F.120.01.127</v>
      </c>
      <c r="D2151" s="51" t="s">
        <v>2868</v>
      </c>
      <c r="E2151" s="62" t="s">
        <v>45</v>
      </c>
      <c r="F2151" s="63" t="str">
        <f t="shared" si="464"/>
        <v>Bio-PET (Polyethylene terephthalate) closed loop chemical upcycling credit</v>
      </c>
      <c r="G2151" s="64">
        <v>-0.7399808966880594</v>
      </c>
      <c r="H2151" s="10">
        <f t="shared" si="465"/>
        <v>-0.7399808967</v>
      </c>
      <c r="I2151" s="65">
        <v>-0.015715095560000003</v>
      </c>
      <c r="J2151" s="65">
        <v>-0.59156194681</v>
      </c>
      <c r="K2151" s="65">
        <v>0.006710005681940565</v>
      </c>
      <c r="L2151" s="65">
        <v>-0.13941386</v>
      </c>
      <c r="N2151" s="66">
        <v>-0.9294257333333333</v>
      </c>
      <c r="O2151" s="10">
        <f t="shared" si="466"/>
        <v>-0.9294257333</v>
      </c>
      <c r="Q2151" s="67">
        <v>-56.963022</v>
      </c>
      <c r="S2151" s="68">
        <v>-0.024471023</v>
      </c>
      <c r="T2151" s="68">
        <v>-0.02064907</v>
      </c>
      <c r="U2151" s="68">
        <v>-8.4569804E-4</v>
      </c>
      <c r="V2151" s="68">
        <v>-0.0029762556</v>
      </c>
      <c r="X2151" s="69">
        <v>-9.6427171E-5</v>
      </c>
    </row>
    <row r="2152" ht="12.75" customHeight="1">
      <c r="A2152" s="1" t="s">
        <v>2869</v>
      </c>
      <c r="B2152" s="2" t="s">
        <v>2543</v>
      </c>
      <c r="C2152" s="60" t="str">
        <f t="shared" si="463"/>
        <v>F.120.01.128</v>
      </c>
      <c r="D2152" s="51" t="s">
        <v>2870</v>
      </c>
      <c r="E2152" s="62" t="s">
        <v>45</v>
      </c>
      <c r="F2152" s="63" t="str">
        <f t="shared" si="464"/>
        <v>PEF (Polyethylene furan-2.5-dicarboxylate) closed loop chemical upcycling credit</v>
      </c>
      <c r="G2152" s="64">
        <v>0.0</v>
      </c>
      <c r="H2152" s="10">
        <f t="shared" si="465"/>
        <v>0</v>
      </c>
      <c r="I2152" s="65">
        <v>0.0</v>
      </c>
      <c r="J2152" s="65">
        <v>0.0</v>
      </c>
      <c r="K2152" s="65">
        <v>0.0</v>
      </c>
      <c r="L2152" s="65">
        <v>0.0</v>
      </c>
      <c r="N2152" s="66">
        <v>0.0</v>
      </c>
      <c r="O2152" s="10">
        <f t="shared" si="466"/>
        <v>0</v>
      </c>
      <c r="Q2152" s="67">
        <v>0.0</v>
      </c>
      <c r="S2152" s="68">
        <v>0.0</v>
      </c>
      <c r="T2152" s="68">
        <v>0.0</v>
      </c>
      <c r="U2152" s="68">
        <v>0.0</v>
      </c>
      <c r="V2152" s="68">
        <v>0.0</v>
      </c>
      <c r="X2152" s="69">
        <v>0.0</v>
      </c>
    </row>
    <row r="2153" ht="12.75" customHeight="1">
      <c r="B2153" s="2"/>
      <c r="C2153" s="60"/>
      <c r="D2153" s="51"/>
      <c r="E2153" s="62"/>
      <c r="G2153" s="10"/>
      <c r="H2153" s="10"/>
      <c r="I2153" s="10"/>
      <c r="J2153" s="10"/>
      <c r="K2153" s="10"/>
      <c r="L2153" s="10"/>
      <c r="N2153" s="10"/>
      <c r="O2153" s="10"/>
      <c r="Q2153" s="67"/>
    </row>
    <row r="2154" ht="12.75" customHeight="1">
      <c r="B2154" s="2"/>
      <c r="C2154" s="60"/>
      <c r="D2154" s="75" t="s">
        <v>2871</v>
      </c>
      <c r="E2154" s="62"/>
      <c r="G2154" s="10"/>
      <c r="H2154" s="10"/>
      <c r="I2154" s="10"/>
      <c r="J2154" s="10"/>
      <c r="K2154" s="10"/>
      <c r="L2154" s="10"/>
      <c r="N2154" s="10"/>
      <c r="O2154" s="10"/>
      <c r="Q2154" s="67"/>
    </row>
    <row r="2155" ht="12.75" customHeight="1">
      <c r="A2155" s="1" t="s">
        <v>2872</v>
      </c>
      <c r="B2155" s="2" t="s">
        <v>2543</v>
      </c>
      <c r="C2155" s="60" t="str">
        <f t="shared" ref="C2155:C2164" si="467">MID(A2155,1,12)</f>
        <v>F.130.01.101</v>
      </c>
      <c r="D2155" s="51" t="s">
        <v>2871</v>
      </c>
      <c r="E2155" s="62" t="s">
        <v>45</v>
      </c>
      <c r="F2155" s="63" t="str">
        <f t="shared" ref="F2155:F2164" si="468">MID(A2155, 21,85)</f>
        <v>anaerobic digestion (fermentation, methane production) cow dung</v>
      </c>
      <c r="G2155" s="64">
        <v>-0.011215300046741618</v>
      </c>
      <c r="H2155" s="10">
        <f t="shared" ref="H2155:H2164" si="469">G2155</f>
        <v>-0.01121530005</v>
      </c>
      <c r="I2155" s="65">
        <v>-3.063708276E-4</v>
      </c>
      <c r="J2155" s="65">
        <v>-4.677459915E-4</v>
      </c>
      <c r="K2155" s="65">
        <v>4.1729177235838046E-4</v>
      </c>
      <c r="L2155" s="65">
        <v>-0.010858475</v>
      </c>
      <c r="N2155" s="66">
        <v>-0.07238983333333333</v>
      </c>
      <c r="O2155" s="10">
        <f t="shared" ref="O2155:O2164" si="470">N2155</f>
        <v>-0.07238983333</v>
      </c>
      <c r="Q2155" s="67">
        <v>-1.0556783</v>
      </c>
      <c r="S2155" s="68">
        <v>-0.0013215302</v>
      </c>
      <c r="T2155" s="68">
        <v>-0.0011905475</v>
      </c>
      <c r="U2155" s="68">
        <v>-5.6239784E-5</v>
      </c>
      <c r="V2155" s="68">
        <v>-7.4742895E-5</v>
      </c>
      <c r="X2155" s="69">
        <v>-3.470377E-6</v>
      </c>
    </row>
    <row r="2156" ht="12.75" customHeight="1">
      <c r="A2156" s="1" t="s">
        <v>2873</v>
      </c>
      <c r="B2156" s="2" t="s">
        <v>2543</v>
      </c>
      <c r="C2156" s="60" t="str">
        <f t="shared" si="467"/>
        <v>F.130.01.102</v>
      </c>
      <c r="D2156" s="51" t="s">
        <v>2871</v>
      </c>
      <c r="E2156" s="62" t="s">
        <v>45</v>
      </c>
      <c r="F2156" s="63" t="str">
        <f t="shared" si="468"/>
        <v>anaerobic digestion (fermentation, methane production) food waste</v>
      </c>
      <c r="G2156" s="64">
        <v>-0.03886704580734162</v>
      </c>
      <c r="H2156" s="10">
        <f t="shared" si="469"/>
        <v>-0.03886704581</v>
      </c>
      <c r="I2156" s="65">
        <v>-0.0014203203513</v>
      </c>
      <c r="J2156" s="65">
        <v>-0.0020641546507</v>
      </c>
      <c r="K2156" s="65">
        <v>1.7450219465838036E-4</v>
      </c>
      <c r="L2156" s="65">
        <v>-0.035557073</v>
      </c>
      <c r="N2156" s="66">
        <v>-0.23704715333333334</v>
      </c>
      <c r="O2156" s="10">
        <f t="shared" si="470"/>
        <v>-0.2370471533</v>
      </c>
      <c r="Q2156" s="67">
        <v>-3.4953773</v>
      </c>
      <c r="S2156" s="68">
        <v>-0.0043779476</v>
      </c>
      <c r="T2156" s="68">
        <v>-0.0039459249</v>
      </c>
      <c r="U2156" s="68">
        <v>-1.857763E-4</v>
      </c>
      <c r="V2156" s="68">
        <v>-2.4624632E-4</v>
      </c>
      <c r="X2156" s="69">
        <v>-1.1519346E-5</v>
      </c>
    </row>
    <row r="2157" ht="12.75" customHeight="1">
      <c r="A2157" s="1" t="s">
        <v>2874</v>
      </c>
      <c r="B2157" s="2" t="s">
        <v>2543</v>
      </c>
      <c r="C2157" s="60" t="str">
        <f t="shared" si="467"/>
        <v>F.130.01.103</v>
      </c>
      <c r="D2157" s="51" t="s">
        <v>2871</v>
      </c>
      <c r="E2157" s="62" t="s">
        <v>45</v>
      </c>
      <c r="F2157" s="63" t="str">
        <f t="shared" si="468"/>
        <v>anaerobic digestion (fermentation, methane production) garden waste</v>
      </c>
      <c r="G2157" s="64">
        <v>-0.03339416249016662</v>
      </c>
      <c r="H2157" s="10">
        <f t="shared" si="469"/>
        <v>-0.03339416249</v>
      </c>
      <c r="I2157" s="65">
        <v>-0.001199845438125</v>
      </c>
      <c r="J2157" s="65">
        <v>-0.0017481906017</v>
      </c>
      <c r="K2157" s="65">
        <v>2.2255554965838035E-4</v>
      </c>
      <c r="L2157" s="65">
        <v>-0.030668682</v>
      </c>
      <c r="N2157" s="66">
        <v>-0.20445788</v>
      </c>
      <c r="O2157" s="10">
        <f t="shared" si="470"/>
        <v>-0.20445788</v>
      </c>
      <c r="Q2157" s="67">
        <v>-3.0125076</v>
      </c>
      <c r="S2157" s="68">
        <v>-0.0037730159</v>
      </c>
      <c r="T2157" s="68">
        <v>-0.0034005756</v>
      </c>
      <c r="U2157" s="68">
        <v>-1.601382E-4</v>
      </c>
      <c r="V2157" s="68">
        <v>-2.1230205E-4</v>
      </c>
      <c r="X2157" s="69">
        <v>-9.9262798E-6</v>
      </c>
    </row>
    <row r="2158" ht="12.75" customHeight="1">
      <c r="A2158" s="1" t="s">
        <v>2875</v>
      </c>
      <c r="B2158" s="2" t="s">
        <v>2543</v>
      </c>
      <c r="C2158" s="60" t="str">
        <f t="shared" si="467"/>
        <v>F.130.01.104</v>
      </c>
      <c r="D2158" s="51" t="s">
        <v>2871</v>
      </c>
      <c r="E2158" s="62" t="s">
        <v>45</v>
      </c>
      <c r="F2158" s="63" t="str">
        <f t="shared" si="468"/>
        <v>composting biodegradable plastics (aerobic, without transport)</v>
      </c>
      <c r="G2158" s="64">
        <v>0.0</v>
      </c>
      <c r="H2158" s="10">
        <f t="shared" si="469"/>
        <v>0</v>
      </c>
      <c r="I2158" s="65">
        <v>0.0</v>
      </c>
      <c r="J2158" s="65">
        <v>0.0</v>
      </c>
      <c r="K2158" s="65">
        <v>0.0</v>
      </c>
      <c r="L2158" s="65">
        <v>0.0</v>
      </c>
      <c r="N2158" s="66">
        <v>0.0</v>
      </c>
      <c r="O2158" s="10">
        <f t="shared" si="470"/>
        <v>0</v>
      </c>
      <c r="Q2158" s="67">
        <v>0.0</v>
      </c>
      <c r="S2158" s="68">
        <v>0.0</v>
      </c>
      <c r="T2158" s="68">
        <v>0.0</v>
      </c>
      <c r="U2158" s="68">
        <v>0.0</v>
      </c>
      <c r="V2158" s="68">
        <v>0.0</v>
      </c>
      <c r="X2158" s="69">
        <v>0.0</v>
      </c>
    </row>
    <row r="2159" ht="12.75" customHeight="1">
      <c r="A2159" s="1" t="s">
        <v>2876</v>
      </c>
      <c r="B2159" s="2" t="s">
        <v>2543</v>
      </c>
      <c r="C2159" s="60" t="str">
        <f t="shared" si="467"/>
        <v>F.130.01.105</v>
      </c>
      <c r="D2159" s="51" t="s">
        <v>2871</v>
      </c>
      <c r="E2159" s="62" t="s">
        <v>45</v>
      </c>
      <c r="F2159" s="63" t="str">
        <f t="shared" si="468"/>
        <v>composting organic waste (aerobic, without transport)</v>
      </c>
      <c r="G2159" s="64">
        <v>-0.002877361691032581</v>
      </c>
      <c r="H2159" s="10">
        <f t="shared" si="469"/>
        <v>-0.002877361691</v>
      </c>
      <c r="I2159" s="65">
        <v>-1.380180955E-4</v>
      </c>
      <c r="J2159" s="65">
        <v>-3.25816640052E-4</v>
      </c>
      <c r="K2159" s="65">
        <v>-8.561455548058106E-5</v>
      </c>
      <c r="L2159" s="65">
        <v>-0.0023279124</v>
      </c>
      <c r="N2159" s="66">
        <v>-0.015519416</v>
      </c>
      <c r="O2159" s="10">
        <f t="shared" si="470"/>
        <v>-0.015519416</v>
      </c>
      <c r="Q2159" s="67">
        <v>-0.22363167</v>
      </c>
      <c r="S2159" s="68">
        <v>-3.3409182E-4</v>
      </c>
      <c r="T2159" s="68">
        <v>-3.0650596E-4</v>
      </c>
      <c r="U2159" s="68">
        <v>-1.3141902E-5</v>
      </c>
      <c r="V2159" s="68">
        <v>-1.4443959E-5</v>
      </c>
      <c r="X2159" s="69">
        <v>-8.0523242E-7</v>
      </c>
    </row>
    <row r="2160" ht="12.75" customHeight="1">
      <c r="A2160" s="1" t="s">
        <v>2877</v>
      </c>
      <c r="B2160" s="2" t="s">
        <v>2543</v>
      </c>
      <c r="C2160" s="60" t="str">
        <f t="shared" si="467"/>
        <v>F.130.01.106</v>
      </c>
      <c r="D2160" s="51" t="s">
        <v>2871</v>
      </c>
      <c r="E2160" s="62" t="s">
        <v>45</v>
      </c>
      <c r="F2160" s="63" t="str">
        <f t="shared" si="468"/>
        <v>landfill (inert waste)</v>
      </c>
      <c r="G2160" s="64">
        <v>0.141</v>
      </c>
      <c r="H2160" s="10">
        <f t="shared" si="469"/>
        <v>0.141</v>
      </c>
      <c r="I2160" s="65">
        <v>0.0</v>
      </c>
      <c r="J2160" s="65">
        <v>0.0</v>
      </c>
      <c r="K2160" s="65">
        <v>0.141</v>
      </c>
      <c r="L2160" s="65">
        <v>0.0</v>
      </c>
      <c r="N2160" s="66">
        <v>0.0</v>
      </c>
      <c r="O2160" s="10">
        <f t="shared" si="470"/>
        <v>0</v>
      </c>
      <c r="Q2160" s="67">
        <v>0.0</v>
      </c>
      <c r="S2160" s="68">
        <v>0.0</v>
      </c>
      <c r="T2160" s="68">
        <v>0.0</v>
      </c>
      <c r="U2160" s="68">
        <v>0.0</v>
      </c>
      <c r="V2160" s="68">
        <v>0.0</v>
      </c>
      <c r="X2160" s="69">
        <v>0.0</v>
      </c>
    </row>
    <row r="2161" ht="12.75" customHeight="1">
      <c r="A2161" s="1" t="s">
        <v>2878</v>
      </c>
      <c r="B2161" s="2" t="s">
        <v>2543</v>
      </c>
      <c r="C2161" s="60" t="str">
        <f t="shared" si="467"/>
        <v>F.130.01.107</v>
      </c>
      <c r="D2161" s="51" t="s">
        <v>2871</v>
      </c>
      <c r="E2161" s="62" t="s">
        <v>45</v>
      </c>
      <c r="F2161" s="63" t="str">
        <f t="shared" si="468"/>
        <v>landfill organic waste without CH4 emission prevention</v>
      </c>
      <c r="G2161" s="64">
        <v>0.342227460574</v>
      </c>
      <c r="H2161" s="10">
        <f t="shared" si="469"/>
        <v>0.3422274606</v>
      </c>
      <c r="I2161" s="65">
        <v>0.00600076454</v>
      </c>
      <c r="J2161" s="65">
        <v>7.6696034E-5</v>
      </c>
      <c r="K2161" s="65">
        <v>0.0</v>
      </c>
      <c r="L2161" s="65">
        <v>0.33615</v>
      </c>
      <c r="N2161" s="66">
        <v>2.241</v>
      </c>
      <c r="O2161" s="10">
        <f t="shared" si="470"/>
        <v>2.241</v>
      </c>
      <c r="Q2161" s="67">
        <v>0.0</v>
      </c>
      <c r="S2161" s="68">
        <v>0.044868715</v>
      </c>
      <c r="T2161" s="68">
        <v>0.042779196</v>
      </c>
      <c r="U2161" s="68">
        <v>0.0020895189</v>
      </c>
      <c r="V2161" s="68">
        <v>0.0</v>
      </c>
      <c r="X2161" s="69">
        <v>6.4050641E-5</v>
      </c>
    </row>
    <row r="2162" ht="12.75" customHeight="1">
      <c r="A2162" s="1" t="s">
        <v>2879</v>
      </c>
      <c r="B2162" s="2" t="s">
        <v>2543</v>
      </c>
      <c r="C2162" s="60" t="str">
        <f t="shared" si="467"/>
        <v>F.130.01.108</v>
      </c>
      <c r="D2162" s="51" t="s">
        <v>2871</v>
      </c>
      <c r="E2162" s="62" t="s">
        <v>45</v>
      </c>
      <c r="F2162" s="63" t="str">
        <f t="shared" si="468"/>
        <v>Torrefied wood excl EoL credit</v>
      </c>
      <c r="G2162" s="64">
        <v>0.02376132749679</v>
      </c>
      <c r="H2162" s="10">
        <f t="shared" si="469"/>
        <v>0.0237613275</v>
      </c>
      <c r="I2162" s="65">
        <v>7.918732025000001E-4</v>
      </c>
      <c r="J2162" s="65">
        <v>0.00152391660229</v>
      </c>
      <c r="K2162" s="65">
        <v>0.003091270692</v>
      </c>
      <c r="L2162" s="65">
        <v>0.018354267</v>
      </c>
      <c r="N2162" s="66">
        <v>0.12236178</v>
      </c>
      <c r="O2162" s="10">
        <f t="shared" si="470"/>
        <v>0.12236178</v>
      </c>
      <c r="Q2162" s="67">
        <v>2.2202524</v>
      </c>
      <c r="S2162" s="68">
        <v>0.0023175527</v>
      </c>
      <c r="T2162" s="68">
        <v>0.0021578808</v>
      </c>
      <c r="U2162" s="68">
        <v>9.8248397E-5</v>
      </c>
      <c r="V2162" s="68">
        <v>6.1423528E-5</v>
      </c>
      <c r="X2162" s="69">
        <v>6.1506828E-6</v>
      </c>
    </row>
    <row r="2163" ht="12.75" customHeight="1">
      <c r="A2163" s="1" t="s">
        <v>2880</v>
      </c>
      <c r="B2163" s="2" t="s">
        <v>2543</v>
      </c>
      <c r="C2163" s="60" t="str">
        <f t="shared" si="467"/>
        <v>F.130.01.109</v>
      </c>
      <c r="D2163" s="51" t="s">
        <v>2871</v>
      </c>
      <c r="E2163" s="62" t="s">
        <v>45</v>
      </c>
      <c r="F2163" s="63" t="str">
        <f t="shared" si="468"/>
        <v>Torrefied wood incl EoL credit</v>
      </c>
      <c r="G2163" s="64">
        <v>-0.2585026641885</v>
      </c>
      <c r="H2163" s="10">
        <f t="shared" si="469"/>
        <v>-0.2585026642</v>
      </c>
      <c r="I2163" s="65">
        <v>-0.01057912042</v>
      </c>
      <c r="J2163" s="65">
        <v>-0.0147719327785</v>
      </c>
      <c r="K2163" s="65">
        <v>6.1291901E-4</v>
      </c>
      <c r="L2163" s="65">
        <v>-0.23376453</v>
      </c>
      <c r="N2163" s="66">
        <v>-1.5584302</v>
      </c>
      <c r="O2163" s="10">
        <f t="shared" si="470"/>
        <v>-1.5584302</v>
      </c>
      <c r="Q2163" s="67">
        <v>-22.683751</v>
      </c>
      <c r="S2163" s="68">
        <v>-0.028881799</v>
      </c>
      <c r="T2163" s="68">
        <v>-0.02596851</v>
      </c>
      <c r="U2163" s="68">
        <v>-0.0012240368</v>
      </c>
      <c r="V2163" s="68">
        <v>-0.0016892522</v>
      </c>
      <c r="X2163" s="69">
        <v>-7.6011732E-5</v>
      </c>
    </row>
    <row r="2164" ht="12.75" customHeight="1">
      <c r="A2164" s="1" t="s">
        <v>2881</v>
      </c>
      <c r="B2164" s="2" t="s">
        <v>2543</v>
      </c>
      <c r="C2164" s="60" t="str">
        <f t="shared" si="467"/>
        <v>F.130.01.110</v>
      </c>
      <c r="D2164" s="51" t="s">
        <v>2871</v>
      </c>
      <c r="E2164" s="62" t="s">
        <v>45</v>
      </c>
      <c r="F2164" s="63" t="str">
        <f t="shared" si="468"/>
        <v>Waste to recycling prosesses</v>
      </c>
      <c r="G2164" s="64">
        <v>0.0</v>
      </c>
      <c r="H2164" s="10">
        <f t="shared" si="469"/>
        <v>0</v>
      </c>
      <c r="I2164" s="65">
        <v>0.0</v>
      </c>
      <c r="J2164" s="65">
        <v>0.0</v>
      </c>
      <c r="K2164" s="65">
        <v>0.0</v>
      </c>
      <c r="L2164" s="65">
        <v>0.0</v>
      </c>
      <c r="N2164" s="66">
        <v>0.0</v>
      </c>
      <c r="O2164" s="10">
        <f t="shared" si="470"/>
        <v>0</v>
      </c>
      <c r="Q2164" s="67">
        <v>0.0</v>
      </c>
      <c r="S2164" s="68">
        <v>0.0</v>
      </c>
      <c r="T2164" s="68">
        <v>0.0</v>
      </c>
      <c r="U2164" s="68">
        <v>0.0</v>
      </c>
      <c r="V2164" s="68">
        <v>0.0</v>
      </c>
      <c r="X2164" s="69">
        <v>0.0</v>
      </c>
    </row>
    <row r="2165" ht="12.75" customHeight="1">
      <c r="B2165" s="2"/>
      <c r="C2165" s="60"/>
      <c r="D2165" s="75" t="s">
        <v>2882</v>
      </c>
      <c r="E2165" s="62"/>
      <c r="G2165" s="10"/>
      <c r="H2165" s="10"/>
      <c r="I2165" s="10"/>
      <c r="J2165" s="10"/>
      <c r="K2165" s="10"/>
      <c r="L2165" s="10"/>
      <c r="N2165" s="10"/>
      <c r="O2165" s="10"/>
      <c r="Q2165" s="67"/>
    </row>
    <row r="2166" ht="12.75" customHeight="1">
      <c r="A2166" s="1" t="s">
        <v>2883</v>
      </c>
      <c r="B2166" s="2" t="s">
        <v>2543</v>
      </c>
      <c r="C2166" s="60" t="str">
        <f t="shared" ref="C2166:C2173" si="471">MID(A2166,1,12)</f>
        <v>F.130.03.101</v>
      </c>
      <c r="D2166" s="51" t="s">
        <v>2884</v>
      </c>
      <c r="E2166" s="62" t="s">
        <v>45</v>
      </c>
      <c r="F2166" s="63" t="str">
        <f t="shared" ref="F2166:F2173" si="472">MID(A2166, 21,85)</f>
        <v>plastic waste collection&amp;sorting</v>
      </c>
      <c r="G2166" s="64">
        <v>0.026154997950440566</v>
      </c>
      <c r="H2166" s="10">
        <f t="shared" ref="H2166:H2173" si="473">G2166</f>
        <v>0.02615499795</v>
      </c>
      <c r="I2166" s="65">
        <v>0.0027988983505</v>
      </c>
      <c r="J2166" s="65">
        <v>0.003666914428</v>
      </c>
      <c r="K2166" s="65">
        <v>0.006418828171940565</v>
      </c>
      <c r="L2166" s="65">
        <v>0.013270357</v>
      </c>
      <c r="N2166" s="66">
        <v>0.08846904666666668</v>
      </c>
      <c r="O2166" s="10">
        <f t="shared" ref="O2166:O2173" si="474">N2166</f>
        <v>0.08846904667</v>
      </c>
      <c r="Q2166" s="67">
        <v>1.5137422</v>
      </c>
      <c r="S2166" s="68">
        <v>0.0019084813</v>
      </c>
      <c r="T2166" s="68">
        <v>0.0017303392</v>
      </c>
      <c r="U2166" s="68">
        <v>7.8113694E-5</v>
      </c>
      <c r="V2166" s="68">
        <v>1.0002845E-4</v>
      </c>
      <c r="X2166" s="69">
        <v>5.1438451E-6</v>
      </c>
    </row>
    <row r="2167" ht="12.75" customHeight="1">
      <c r="A2167" s="1" t="s">
        <v>2885</v>
      </c>
      <c r="B2167" s="2" t="s">
        <v>2543</v>
      </c>
      <c r="C2167" s="60" t="str">
        <f t="shared" si="471"/>
        <v>F.130.03.102</v>
      </c>
      <c r="D2167" s="51" t="s">
        <v>2884</v>
      </c>
      <c r="E2167" s="62" t="s">
        <v>45</v>
      </c>
      <c r="F2167" s="63" t="str">
        <f t="shared" si="472"/>
        <v>Scrap separation Mn  Fe  Cu  Ni and Zn</v>
      </c>
      <c r="G2167" s="64">
        <v>0.0306525463102</v>
      </c>
      <c r="H2167" s="10">
        <f t="shared" si="473"/>
        <v>0.03065254631</v>
      </c>
      <c r="I2167" s="65">
        <v>7.7712042E-5</v>
      </c>
      <c r="J2167" s="65">
        <v>1.60992226E-4</v>
      </c>
      <c r="K2167" s="65">
        <v>0.0285891829422</v>
      </c>
      <c r="L2167" s="65">
        <v>0.0018246591</v>
      </c>
      <c r="N2167" s="66">
        <v>0.012164394</v>
      </c>
      <c r="O2167" s="10">
        <f t="shared" si="474"/>
        <v>0.012164394</v>
      </c>
      <c r="Q2167" s="67">
        <v>0.23217657</v>
      </c>
      <c r="S2167" s="68">
        <v>2.3169613E-4</v>
      </c>
      <c r="T2167" s="68">
        <v>2.1762377E-4</v>
      </c>
      <c r="U2167" s="68">
        <v>9.8230575E-6</v>
      </c>
      <c r="V2167" s="68">
        <v>4.2493017E-6</v>
      </c>
      <c r="X2167" s="69">
        <v>6.162203E-7</v>
      </c>
    </row>
    <row r="2168" ht="12.75" customHeight="1">
      <c r="A2168" s="1" t="s">
        <v>2886</v>
      </c>
      <c r="B2168" s="2" t="s">
        <v>2543</v>
      </c>
      <c r="C2168" s="60" t="str">
        <f t="shared" si="471"/>
        <v>F.130.03.103</v>
      </c>
      <c r="D2168" s="51" t="s">
        <v>2884</v>
      </c>
      <c r="E2168" s="62" t="s">
        <v>45</v>
      </c>
      <c r="F2168" s="63" t="str">
        <f t="shared" si="472"/>
        <v>Scrap collection&amp;sorting (alum.)</v>
      </c>
      <c r="G2168" s="64">
        <v>0.013077498992170282</v>
      </c>
      <c r="H2168" s="10">
        <f t="shared" si="473"/>
        <v>0.01307749899</v>
      </c>
      <c r="I2168" s="65">
        <v>0.0013994491732</v>
      </c>
      <c r="J2168" s="65">
        <v>0.001833457181</v>
      </c>
      <c r="K2168" s="65">
        <v>0.003209414137970282</v>
      </c>
      <c r="L2168" s="65">
        <v>0.0066351785</v>
      </c>
      <c r="N2168" s="66">
        <v>0.04423452333333334</v>
      </c>
      <c r="O2168" s="10">
        <f t="shared" si="474"/>
        <v>0.04423452333</v>
      </c>
      <c r="Q2168" s="67">
        <v>0.75687108</v>
      </c>
      <c r="S2168" s="68">
        <v>9.5424067E-4</v>
      </c>
      <c r="T2168" s="68">
        <v>8.6516959E-4</v>
      </c>
      <c r="U2168" s="68">
        <v>3.9056847E-5</v>
      </c>
      <c r="V2168" s="68">
        <v>5.0014226E-5</v>
      </c>
      <c r="X2168" s="69">
        <v>2.5719225E-6</v>
      </c>
    </row>
    <row r="2169" ht="12.75" customHeight="1">
      <c r="A2169" s="1" t="s">
        <v>2887</v>
      </c>
      <c r="B2169" s="2" t="s">
        <v>2543</v>
      </c>
      <c r="C2169" s="60" t="str">
        <f t="shared" si="471"/>
        <v>F.130.03.104</v>
      </c>
      <c r="D2169" s="51" t="s">
        <v>2884</v>
      </c>
      <c r="E2169" s="62" t="s">
        <v>45</v>
      </c>
      <c r="F2169" s="63" t="str">
        <f t="shared" si="472"/>
        <v>Scrap collection&amp;sorting (copper)</v>
      </c>
      <c r="G2169" s="64">
        <v>0.013077498992170282</v>
      </c>
      <c r="H2169" s="10">
        <f t="shared" si="473"/>
        <v>0.01307749899</v>
      </c>
      <c r="I2169" s="65">
        <v>0.0013994491732</v>
      </c>
      <c r="J2169" s="65">
        <v>0.001833457181</v>
      </c>
      <c r="K2169" s="65">
        <v>0.003209414137970282</v>
      </c>
      <c r="L2169" s="65">
        <v>0.0066351785</v>
      </c>
      <c r="N2169" s="66">
        <v>0.04423452333333334</v>
      </c>
      <c r="O2169" s="10">
        <f t="shared" si="474"/>
        <v>0.04423452333</v>
      </c>
      <c r="Q2169" s="67">
        <v>0.75687108</v>
      </c>
      <c r="S2169" s="68">
        <v>9.5424067E-4</v>
      </c>
      <c r="T2169" s="68">
        <v>8.6516959E-4</v>
      </c>
      <c r="U2169" s="68">
        <v>3.9056847E-5</v>
      </c>
      <c r="V2169" s="68">
        <v>5.0014226E-5</v>
      </c>
      <c r="X2169" s="69">
        <v>2.5719225E-6</v>
      </c>
    </row>
    <row r="2170" ht="12.75" customHeight="1">
      <c r="A2170" s="1" t="s">
        <v>2888</v>
      </c>
      <c r="B2170" s="2" t="s">
        <v>2543</v>
      </c>
      <c r="C2170" s="60" t="str">
        <f t="shared" si="471"/>
        <v>F.130.03.105</v>
      </c>
      <c r="D2170" s="51" t="s">
        <v>2884</v>
      </c>
      <c r="E2170" s="62" t="s">
        <v>45</v>
      </c>
      <c r="F2170" s="63" t="str">
        <f t="shared" si="472"/>
        <v>Scrap collection&amp;sorting (iron and glass)</v>
      </c>
      <c r="G2170" s="64">
        <v>0.008718332721833522</v>
      </c>
      <c r="H2170" s="10">
        <f t="shared" si="473"/>
        <v>0.008718332722</v>
      </c>
      <c r="I2170" s="65">
        <v>9.329661092000001E-4</v>
      </c>
      <c r="J2170" s="65">
        <v>0.0012223047870000001</v>
      </c>
      <c r="K2170" s="65">
        <v>0.0021396094256335217</v>
      </c>
      <c r="L2170" s="65">
        <v>0.0044234524</v>
      </c>
      <c r="N2170" s="66">
        <v>0.029489682666666666</v>
      </c>
      <c r="O2170" s="10">
        <f t="shared" si="474"/>
        <v>0.02948968267</v>
      </c>
      <c r="Q2170" s="67">
        <v>0.50458072</v>
      </c>
      <c r="S2170" s="68">
        <v>6.3616044E-4</v>
      </c>
      <c r="T2170" s="68">
        <v>5.7677973E-4</v>
      </c>
      <c r="U2170" s="68">
        <v>2.6037898E-5</v>
      </c>
      <c r="V2170" s="68">
        <v>3.3342817E-5</v>
      </c>
      <c r="X2170" s="69">
        <v>1.714615E-6</v>
      </c>
    </row>
    <row r="2171" ht="12.75" customHeight="1">
      <c r="A2171" s="1" t="s">
        <v>2889</v>
      </c>
      <c r="B2171" s="2" t="s">
        <v>2543</v>
      </c>
      <c r="C2171" s="60" t="str">
        <f t="shared" si="471"/>
        <v>F.130.03.106</v>
      </c>
      <c r="D2171" s="51" t="s">
        <v>2884</v>
      </c>
      <c r="E2171" s="62" t="s">
        <v>45</v>
      </c>
      <c r="F2171" s="63" t="str">
        <f t="shared" si="472"/>
        <v>Scrap collection&amp;sorting (other non-ferro metals)</v>
      </c>
      <c r="G2171" s="64">
        <v>0.026154997950440566</v>
      </c>
      <c r="H2171" s="10">
        <f t="shared" si="473"/>
        <v>0.02615499795</v>
      </c>
      <c r="I2171" s="65">
        <v>0.0027988983505</v>
      </c>
      <c r="J2171" s="65">
        <v>0.003666914428</v>
      </c>
      <c r="K2171" s="65">
        <v>0.006418828171940565</v>
      </c>
      <c r="L2171" s="65">
        <v>0.013270357</v>
      </c>
      <c r="N2171" s="66">
        <v>0.08846904666666668</v>
      </c>
      <c r="O2171" s="10">
        <f t="shared" si="474"/>
        <v>0.08846904667</v>
      </c>
      <c r="Q2171" s="67">
        <v>1.5137422</v>
      </c>
      <c r="S2171" s="68">
        <v>0.0019084813</v>
      </c>
      <c r="T2171" s="68">
        <v>0.0017303392</v>
      </c>
      <c r="U2171" s="68">
        <v>7.8113694E-5</v>
      </c>
      <c r="V2171" s="68">
        <v>1.0002845E-4</v>
      </c>
      <c r="X2171" s="69">
        <v>5.1438451E-6</v>
      </c>
    </row>
    <row r="2172" ht="12.75" customHeight="1">
      <c r="A2172" s="1" t="s">
        <v>2890</v>
      </c>
      <c r="B2172" s="2" t="s">
        <v>2543</v>
      </c>
      <c r="C2172" s="60" t="str">
        <f t="shared" si="471"/>
        <v>F.130.03.107</v>
      </c>
      <c r="D2172" s="51" t="s">
        <v>2884</v>
      </c>
      <c r="E2172" s="62" t="s">
        <v>45</v>
      </c>
      <c r="F2172" s="63" t="str">
        <f t="shared" si="472"/>
        <v>Scrap collection&amp;sorting (Pb)</v>
      </c>
      <c r="G2172" s="64">
        <v>0.021795831708983804</v>
      </c>
      <c r="H2172" s="10">
        <f t="shared" si="473"/>
        <v>0.02179583171</v>
      </c>
      <c r="I2172" s="65">
        <v>0.0023324152603999997</v>
      </c>
      <c r="J2172" s="65">
        <v>0.003055761885</v>
      </c>
      <c r="K2172" s="65">
        <v>0.005349023563583803</v>
      </c>
      <c r="L2172" s="65">
        <v>0.011058631</v>
      </c>
      <c r="N2172" s="66">
        <v>0.07372420666666667</v>
      </c>
      <c r="O2172" s="10">
        <f t="shared" si="474"/>
        <v>0.07372420667</v>
      </c>
      <c r="Q2172" s="67">
        <v>1.2614518</v>
      </c>
      <c r="S2172" s="68">
        <v>0.0015904011</v>
      </c>
      <c r="T2172" s="68">
        <v>0.0014419493</v>
      </c>
      <c r="U2172" s="68">
        <v>6.5094745E-5</v>
      </c>
      <c r="V2172" s="68">
        <v>8.3357043E-5</v>
      </c>
      <c r="X2172" s="69">
        <v>4.2865376E-6</v>
      </c>
    </row>
    <row r="2173" ht="12.75" customHeight="1">
      <c r="A2173" s="1" t="s">
        <v>2891</v>
      </c>
      <c r="B2173" s="2" t="s">
        <v>2543</v>
      </c>
      <c r="C2173" s="60" t="str">
        <f t="shared" si="471"/>
        <v>F.130.03.108</v>
      </c>
      <c r="D2173" s="51" t="s">
        <v>2884</v>
      </c>
      <c r="E2173" s="62" t="s">
        <v>45</v>
      </c>
      <c r="F2173" s="63" t="str">
        <f t="shared" si="472"/>
        <v>Scrap collection&amp;sorting (Stainless st)</v>
      </c>
      <c r="G2173" s="64">
        <v>0.026154997950440566</v>
      </c>
      <c r="H2173" s="10">
        <f t="shared" si="473"/>
        <v>0.02615499795</v>
      </c>
      <c r="I2173" s="65">
        <v>0.0027988983505</v>
      </c>
      <c r="J2173" s="65">
        <v>0.003666914428</v>
      </c>
      <c r="K2173" s="65">
        <v>0.006418828171940565</v>
      </c>
      <c r="L2173" s="65">
        <v>0.013270357</v>
      </c>
      <c r="N2173" s="66">
        <v>0.08846904666666668</v>
      </c>
      <c r="O2173" s="10">
        <f t="shared" si="474"/>
        <v>0.08846904667</v>
      </c>
      <c r="Q2173" s="67">
        <v>1.5137422</v>
      </c>
      <c r="S2173" s="68">
        <v>0.0019084813</v>
      </c>
      <c r="T2173" s="68">
        <v>0.0017303392</v>
      </c>
      <c r="U2173" s="68">
        <v>7.8113694E-5</v>
      </c>
      <c r="V2173" s="68">
        <v>1.0002845E-4</v>
      </c>
      <c r="X2173" s="69">
        <v>5.1438451E-6</v>
      </c>
    </row>
    <row r="2174" ht="12.75" customHeight="1">
      <c r="B2174" s="2"/>
      <c r="C2174" s="60"/>
      <c r="D2174" s="75" t="s">
        <v>2892</v>
      </c>
      <c r="E2174" s="62"/>
      <c r="G2174" s="10"/>
      <c r="H2174" s="10"/>
      <c r="I2174" s="10"/>
      <c r="J2174" s="10"/>
      <c r="K2174" s="10"/>
      <c r="L2174" s="10"/>
      <c r="N2174" s="10"/>
      <c r="O2174" s="10"/>
      <c r="Q2174" s="67"/>
    </row>
    <row r="2175" ht="12.75" customHeight="1">
      <c r="A2175" s="1" t="s">
        <v>2893</v>
      </c>
      <c r="B2175" s="2" t="s">
        <v>2543</v>
      </c>
      <c r="C2175" s="60" t="str">
        <f t="shared" ref="C2175:C2183" si="475">MID(A2175,1,12)</f>
        <v>F.130.05.101</v>
      </c>
      <c r="D2175" s="51" t="s">
        <v>2892</v>
      </c>
      <c r="E2175" s="62" t="s">
        <v>45</v>
      </c>
      <c r="F2175" s="63" t="str">
        <f t="shared" ref="F2175:F2183" si="476">MID(A2175, 21,85)</f>
        <v>Carbon storage in wood &gt;100 years (per kg wood 12%MC)</v>
      </c>
      <c r="G2175" s="64">
        <v>0.2265</v>
      </c>
      <c r="H2175" s="10">
        <f t="shared" ref="H2175:H2183" si="477">G2175</f>
        <v>0.2265</v>
      </c>
      <c r="I2175" s="65">
        <v>0.0</v>
      </c>
      <c r="J2175" s="65">
        <v>0.0</v>
      </c>
      <c r="K2175" s="65">
        <v>0.0</v>
      </c>
      <c r="L2175" s="65">
        <v>0.2265</v>
      </c>
      <c r="N2175" s="66">
        <v>1.51</v>
      </c>
      <c r="O2175" s="10">
        <f t="shared" ref="O2175:O2183" si="478">N2175</f>
        <v>1.51</v>
      </c>
      <c r="Q2175" s="67">
        <v>0.0</v>
      </c>
      <c r="S2175" s="68">
        <v>0.024516633</v>
      </c>
      <c r="T2175" s="68">
        <v>0.02337335</v>
      </c>
      <c r="U2175" s="68">
        <v>0.0011432824</v>
      </c>
      <c r="V2175" s="68">
        <v>0.0</v>
      </c>
      <c r="X2175" s="69">
        <v>4.2102807E-5</v>
      </c>
    </row>
    <row r="2176" ht="12.75" customHeight="1">
      <c r="A2176" s="1" t="s">
        <v>2894</v>
      </c>
      <c r="B2176" s="2" t="s">
        <v>2543</v>
      </c>
      <c r="C2176" s="60" t="str">
        <f t="shared" si="475"/>
        <v>F.130.05.102</v>
      </c>
      <c r="D2176" s="51" t="s">
        <v>2892</v>
      </c>
      <c r="E2176" s="62" t="s">
        <v>45</v>
      </c>
      <c r="F2176" s="63" t="str">
        <f t="shared" si="476"/>
        <v>landfill of bio-PE (incl carbon sequestration)</v>
      </c>
      <c r="G2176" s="64">
        <v>-0.32999999999999996</v>
      </c>
      <c r="H2176" s="10">
        <f t="shared" si="477"/>
        <v>-0.33</v>
      </c>
      <c r="I2176" s="65">
        <v>0.0</v>
      </c>
      <c r="J2176" s="65">
        <v>0.0</v>
      </c>
      <c r="K2176" s="65">
        <v>0.141</v>
      </c>
      <c r="L2176" s="65">
        <v>-0.471</v>
      </c>
      <c r="N2176" s="66">
        <v>-3.14</v>
      </c>
      <c r="O2176" s="10">
        <f t="shared" si="478"/>
        <v>-3.14</v>
      </c>
      <c r="Q2176" s="67">
        <v>0.0</v>
      </c>
      <c r="S2176" s="68">
        <v>-0.050981607</v>
      </c>
      <c r="T2176" s="68">
        <v>-0.048604186</v>
      </c>
      <c r="U2176" s="68">
        <v>-0.0023774218</v>
      </c>
      <c r="V2176" s="68">
        <v>0.0</v>
      </c>
      <c r="X2176" s="69">
        <v>-8.7551532E-5</v>
      </c>
    </row>
    <row r="2177" ht="12.75" customHeight="1">
      <c r="A2177" s="1" t="s">
        <v>2895</v>
      </c>
      <c r="B2177" s="2" t="s">
        <v>2543</v>
      </c>
      <c r="C2177" s="60" t="str">
        <f t="shared" si="475"/>
        <v>F.130.05.103</v>
      </c>
      <c r="D2177" s="51" t="s">
        <v>2892</v>
      </c>
      <c r="E2177" s="62" t="s">
        <v>45</v>
      </c>
      <c r="F2177" s="63" t="str">
        <f t="shared" si="476"/>
        <v>landfill of bio-PP (incl carbon sequestration)</v>
      </c>
      <c r="G2177" s="64">
        <v>-0.32999999999999996</v>
      </c>
      <c r="H2177" s="10">
        <f t="shared" si="477"/>
        <v>-0.33</v>
      </c>
      <c r="I2177" s="65">
        <v>0.0</v>
      </c>
      <c r="J2177" s="65">
        <v>0.0</v>
      </c>
      <c r="K2177" s="65">
        <v>0.141</v>
      </c>
      <c r="L2177" s="65">
        <v>-0.471</v>
      </c>
      <c r="N2177" s="66">
        <v>-3.14</v>
      </c>
      <c r="O2177" s="10">
        <f t="shared" si="478"/>
        <v>-3.14</v>
      </c>
      <c r="Q2177" s="67">
        <v>0.0</v>
      </c>
      <c r="S2177" s="68">
        <v>-0.050981607</v>
      </c>
      <c r="T2177" s="68">
        <v>-0.048604186</v>
      </c>
      <c r="U2177" s="68">
        <v>-0.0023774218</v>
      </c>
      <c r="V2177" s="68">
        <v>0.0</v>
      </c>
      <c r="X2177" s="69">
        <v>-8.7551532E-5</v>
      </c>
    </row>
    <row r="2178" ht="12.75" customHeight="1">
      <c r="A2178" s="1" t="s">
        <v>2896</v>
      </c>
      <c r="B2178" s="2" t="s">
        <v>2543</v>
      </c>
      <c r="C2178" s="60" t="str">
        <f t="shared" si="475"/>
        <v>F.130.05.104</v>
      </c>
      <c r="D2178" s="51" t="s">
        <v>2892</v>
      </c>
      <c r="E2178" s="62" t="s">
        <v>45</v>
      </c>
      <c r="F2178" s="63" t="str">
        <f t="shared" si="476"/>
        <v>landfill of bio-PET (incl carbon sequestration)</v>
      </c>
      <c r="G2178" s="64">
        <v>0.07529999999999999</v>
      </c>
      <c r="H2178" s="10">
        <f t="shared" si="477"/>
        <v>0.0753</v>
      </c>
      <c r="I2178" s="65">
        <v>0.0</v>
      </c>
      <c r="J2178" s="65">
        <v>0.0</v>
      </c>
      <c r="K2178" s="65">
        <v>0.141</v>
      </c>
      <c r="L2178" s="65">
        <v>-0.0657</v>
      </c>
      <c r="N2178" s="66">
        <v>-0.438</v>
      </c>
      <c r="O2178" s="10">
        <f t="shared" si="478"/>
        <v>-0.438</v>
      </c>
      <c r="Q2178" s="67">
        <v>0.0</v>
      </c>
      <c r="S2178" s="68">
        <v>-0.0071114471</v>
      </c>
      <c r="T2178" s="68">
        <v>-0.0067798195</v>
      </c>
      <c r="U2178" s="68">
        <v>-3.3162762E-4</v>
      </c>
      <c r="V2178" s="68">
        <v>0.0</v>
      </c>
      <c r="X2178" s="69">
        <v>-1.2212602E-5</v>
      </c>
    </row>
    <row r="2179" ht="12.75" customHeight="1">
      <c r="A2179" s="1" t="s">
        <v>2897</v>
      </c>
      <c r="B2179" s="2" t="s">
        <v>2543</v>
      </c>
      <c r="C2179" s="60" t="str">
        <f t="shared" si="475"/>
        <v>F.130.05.105</v>
      </c>
      <c r="D2179" s="51" t="s">
        <v>2892</v>
      </c>
      <c r="E2179" s="62" t="s">
        <v>45</v>
      </c>
      <c r="F2179" s="63" t="str">
        <f t="shared" si="476"/>
        <v>landfill of PEF (incl carbon sequestration)</v>
      </c>
      <c r="G2179" s="64">
        <v>-0.1485</v>
      </c>
      <c r="H2179" s="10">
        <f t="shared" si="477"/>
        <v>-0.1485</v>
      </c>
      <c r="I2179" s="65">
        <v>0.0</v>
      </c>
      <c r="J2179" s="65">
        <v>0.0</v>
      </c>
      <c r="K2179" s="65">
        <v>0.141</v>
      </c>
      <c r="L2179" s="65">
        <v>-0.2895</v>
      </c>
      <c r="N2179" s="66">
        <v>-1.93</v>
      </c>
      <c r="O2179" s="10">
        <f t="shared" si="478"/>
        <v>-1.93</v>
      </c>
      <c r="Q2179" s="67">
        <v>0.0</v>
      </c>
      <c r="S2179" s="68">
        <v>-0.031335829</v>
      </c>
      <c r="T2179" s="68">
        <v>-0.029874547</v>
      </c>
      <c r="U2179" s="68">
        <v>-0.0014612815</v>
      </c>
      <c r="V2179" s="68">
        <v>0.0</v>
      </c>
      <c r="X2179" s="69">
        <v>-5.3813521E-5</v>
      </c>
    </row>
    <row r="2180" ht="12.75" customHeight="1">
      <c r="A2180" s="1" t="s">
        <v>2898</v>
      </c>
      <c r="B2180" s="2" t="s">
        <v>2543</v>
      </c>
      <c r="C2180" s="60" t="str">
        <f t="shared" si="475"/>
        <v>F.130.05.106</v>
      </c>
      <c r="D2180" s="51" t="s">
        <v>2892</v>
      </c>
      <c r="E2180" s="62" t="s">
        <v>45</v>
      </c>
      <c r="F2180" s="63" t="str">
        <f t="shared" si="476"/>
        <v>landfill of PA-11 (Nylon-11) (incl carbon sequestration)</v>
      </c>
      <c r="G2180" s="64">
        <v>-0.228</v>
      </c>
      <c r="H2180" s="10">
        <f t="shared" si="477"/>
        <v>-0.228</v>
      </c>
      <c r="I2180" s="65">
        <v>0.0</v>
      </c>
      <c r="J2180" s="65">
        <v>0.0</v>
      </c>
      <c r="K2180" s="65">
        <v>0.141</v>
      </c>
      <c r="L2180" s="65">
        <v>-0.369</v>
      </c>
      <c r="N2180" s="66">
        <v>-2.46</v>
      </c>
      <c r="O2180" s="10">
        <f t="shared" si="478"/>
        <v>-2.46</v>
      </c>
      <c r="Q2180" s="67">
        <v>0.0</v>
      </c>
      <c r="S2180" s="68">
        <v>-0.039941004</v>
      </c>
      <c r="T2180" s="68">
        <v>-0.038078438</v>
      </c>
      <c r="U2180" s="68">
        <v>-0.0018625661</v>
      </c>
      <c r="V2180" s="68">
        <v>0.0</v>
      </c>
      <c r="X2180" s="69">
        <v>-6.8591327E-5</v>
      </c>
    </row>
    <row r="2181" ht="12.75" customHeight="1">
      <c r="A2181" s="1" t="s">
        <v>2899</v>
      </c>
      <c r="B2181" s="2" t="s">
        <v>2543</v>
      </c>
      <c r="C2181" s="60" t="str">
        <f t="shared" si="475"/>
        <v>F.130.05.110</v>
      </c>
      <c r="D2181" s="51" t="s">
        <v>2892</v>
      </c>
      <c r="E2181" s="62" t="s">
        <v>45</v>
      </c>
      <c r="F2181" s="63" t="str">
        <f t="shared" si="476"/>
        <v>landfill of biodegradable bioplastics with CH4 emission prevention</v>
      </c>
      <c r="G2181" s="64">
        <v>0.0</v>
      </c>
      <c r="H2181" s="10">
        <f t="shared" si="477"/>
        <v>0</v>
      </c>
      <c r="I2181" s="65">
        <v>0.0</v>
      </c>
      <c r="J2181" s="65">
        <v>0.0</v>
      </c>
      <c r="K2181" s="65">
        <v>0.0</v>
      </c>
      <c r="L2181" s="65">
        <v>0.0</v>
      </c>
      <c r="N2181" s="66">
        <v>0.0</v>
      </c>
      <c r="O2181" s="10">
        <f t="shared" si="478"/>
        <v>0</v>
      </c>
      <c r="Q2181" s="67">
        <v>0.0</v>
      </c>
      <c r="S2181" s="68">
        <v>0.0</v>
      </c>
      <c r="T2181" s="68">
        <v>0.0</v>
      </c>
      <c r="U2181" s="68">
        <v>0.0</v>
      </c>
      <c r="V2181" s="68">
        <v>0.0</v>
      </c>
      <c r="X2181" s="69">
        <v>0.0</v>
      </c>
    </row>
    <row r="2182" ht="12.75" customHeight="1">
      <c r="A2182" s="1" t="s">
        <v>2900</v>
      </c>
      <c r="B2182" s="2" t="s">
        <v>2543</v>
      </c>
      <c r="C2182" s="60" t="str">
        <f t="shared" si="475"/>
        <v>F.130.05.111</v>
      </c>
      <c r="D2182" s="51" t="s">
        <v>2892</v>
      </c>
      <c r="E2182" s="62" t="s">
        <v>45</v>
      </c>
      <c r="F2182" s="63" t="str">
        <f t="shared" si="476"/>
        <v>Carbon uptake per kg Cement &lt; 100 years</v>
      </c>
      <c r="G2182" s="64">
        <v>0.13349999999999998</v>
      </c>
      <c r="H2182" s="10">
        <f t="shared" si="477"/>
        <v>0.1335</v>
      </c>
      <c r="I2182" s="65">
        <v>0.0</v>
      </c>
      <c r="J2182" s="65">
        <v>0.0</v>
      </c>
      <c r="K2182" s="65">
        <v>0.141</v>
      </c>
      <c r="L2182" s="65">
        <v>-0.0075</v>
      </c>
      <c r="N2182" s="66">
        <v>-0.05</v>
      </c>
      <c r="O2182" s="10">
        <f t="shared" si="478"/>
        <v>-0.05</v>
      </c>
      <c r="Q2182" s="67">
        <v>0.0</v>
      </c>
      <c r="S2182" s="68">
        <v>-8.1180903E-4</v>
      </c>
      <c r="T2182" s="68">
        <v>-7.73952E-4</v>
      </c>
      <c r="U2182" s="68">
        <v>-3.7857034E-5</v>
      </c>
      <c r="V2182" s="68">
        <v>0.0</v>
      </c>
      <c r="X2182" s="69">
        <v>-1.3941327E-6</v>
      </c>
    </row>
    <row r="2183" ht="12.75" customHeight="1">
      <c r="A2183" s="1" t="s">
        <v>2901</v>
      </c>
      <c r="B2183" s="2" t="s">
        <v>2543</v>
      </c>
      <c r="C2183" s="60" t="str">
        <f t="shared" si="475"/>
        <v>F.130.05.112</v>
      </c>
      <c r="D2183" s="51" t="s">
        <v>2892</v>
      </c>
      <c r="E2183" s="62" t="s">
        <v>45</v>
      </c>
      <c r="F2183" s="63" t="str">
        <f t="shared" si="476"/>
        <v>Carbon uptake per kg Cement &gt; 100 years</v>
      </c>
      <c r="G2183" s="64">
        <v>0.12299999999999998</v>
      </c>
      <c r="H2183" s="10">
        <f t="shared" si="477"/>
        <v>0.123</v>
      </c>
      <c r="I2183" s="65">
        <v>0.0</v>
      </c>
      <c r="J2183" s="65">
        <v>0.0</v>
      </c>
      <c r="K2183" s="65">
        <v>0.141</v>
      </c>
      <c r="L2183" s="65">
        <v>-0.018</v>
      </c>
      <c r="N2183" s="66">
        <v>-0.12</v>
      </c>
      <c r="O2183" s="10">
        <f t="shared" si="478"/>
        <v>-0.12</v>
      </c>
      <c r="Q2183" s="67">
        <v>0.0</v>
      </c>
      <c r="S2183" s="68">
        <v>-0.0019483417</v>
      </c>
      <c r="T2183" s="68">
        <v>-0.0018574848</v>
      </c>
      <c r="U2183" s="68">
        <v>-9.0856882E-5</v>
      </c>
      <c r="V2183" s="68">
        <v>0.0</v>
      </c>
      <c r="X2183" s="69">
        <v>-3.3459184E-6</v>
      </c>
    </row>
    <row r="2184" ht="12.75" customHeight="1">
      <c r="B2184" s="2"/>
      <c r="C2184" s="60"/>
      <c r="D2184" s="75" t="s">
        <v>2902</v>
      </c>
      <c r="E2184" s="62"/>
      <c r="G2184" s="10"/>
      <c r="H2184" s="10"/>
      <c r="I2184" s="10"/>
      <c r="J2184" s="10"/>
      <c r="K2184" s="10"/>
      <c r="L2184" s="10"/>
      <c r="N2184" s="10"/>
      <c r="O2184" s="10"/>
      <c r="Q2184" s="67"/>
    </row>
    <row r="2185" ht="12.75" customHeight="1">
      <c r="B2185" s="2"/>
      <c r="C2185" s="60"/>
      <c r="D2185" s="75" t="s">
        <v>2903</v>
      </c>
      <c r="E2185" s="62"/>
      <c r="G2185" s="10"/>
      <c r="H2185" s="10"/>
      <c r="I2185" s="10"/>
      <c r="J2185" s="10"/>
      <c r="K2185" s="10"/>
      <c r="L2185" s="10"/>
      <c r="N2185" s="10"/>
      <c r="O2185" s="10"/>
      <c r="Q2185" s="67"/>
    </row>
    <row r="2186" ht="12.75" customHeight="1">
      <c r="A2186" s="1" t="s">
        <v>2904</v>
      </c>
      <c r="B2186" s="62" t="s">
        <v>2905</v>
      </c>
      <c r="C2186" s="60" t="str">
        <f t="shared" ref="C2186:C2187" si="479">MID(A2186,1,12)</f>
        <v>M.020.01.101</v>
      </c>
      <c r="D2186" s="51" t="s">
        <v>2903</v>
      </c>
      <c r="E2186" s="62" t="s">
        <v>45</v>
      </c>
      <c r="F2186" s="63" t="str">
        <f t="shared" ref="F2186:F2187" si="480">MID(A2186, 21,85)</f>
        <v>Chips, frozen preperfried in plastic foil (LDPE) per 500 gram NL</v>
      </c>
      <c r="G2186" s="64">
        <v>0.36840289129870996</v>
      </c>
      <c r="H2186" s="10">
        <f t="shared" ref="H2186:H2433" si="481">G2186</f>
        <v>0.3684028913</v>
      </c>
      <c r="I2186" s="65">
        <v>2.7843091E-7</v>
      </c>
      <c r="J2186" s="65">
        <v>0.0906498608678</v>
      </c>
      <c r="K2186" s="65">
        <v>0.016091372</v>
      </c>
      <c r="L2186" s="65">
        <v>0.26166138</v>
      </c>
      <c r="N2186" s="66">
        <v>1.7444092</v>
      </c>
      <c r="O2186" s="10">
        <f t="shared" ref="O2186:O2187" si="482">N2186</f>
        <v>1.7444092</v>
      </c>
      <c r="Q2186" s="67">
        <v>0.0</v>
      </c>
      <c r="S2186" s="68">
        <v>0.048182496</v>
      </c>
      <c r="T2186" s="68">
        <v>0.0446696</v>
      </c>
      <c r="U2186" s="68">
        <v>0.0035128963</v>
      </c>
      <c r="V2186" s="68">
        <v>0.0</v>
      </c>
      <c r="X2186" s="69">
        <v>8.9256105E-5</v>
      </c>
    </row>
    <row r="2187" ht="12.75" customHeight="1">
      <c r="A2187" s="1" t="s">
        <v>2906</v>
      </c>
      <c r="B2187" s="62" t="s">
        <v>2905</v>
      </c>
      <c r="C2187" s="60" t="str">
        <f t="shared" si="479"/>
        <v>M.020.01.102</v>
      </c>
      <c r="D2187" s="51" t="s">
        <v>2903</v>
      </c>
      <c r="E2187" s="62" t="s">
        <v>45</v>
      </c>
      <c r="F2187" s="63" t="str">
        <f t="shared" si="480"/>
        <v>Potatoes wo skins in plastic foil (LDPE) per 500 gram NL</v>
      </c>
      <c r="G2187" s="64">
        <v>0.067652783767403</v>
      </c>
      <c r="H2187" s="10">
        <f t="shared" si="481"/>
        <v>0.06765278377</v>
      </c>
      <c r="I2187" s="65">
        <v>5.4737103E-8</v>
      </c>
      <c r="J2187" s="65">
        <v>0.0238843024303</v>
      </c>
      <c r="K2187" s="65">
        <v>0.0035208916</v>
      </c>
      <c r="L2187" s="65">
        <v>0.040247535</v>
      </c>
      <c r="N2187" s="66">
        <v>0.2683169</v>
      </c>
      <c r="O2187" s="10">
        <f t="shared" si="482"/>
        <v>0.2683169</v>
      </c>
      <c r="Q2187" s="67">
        <v>0.0</v>
      </c>
      <c r="S2187" s="68">
        <v>0.010114474</v>
      </c>
      <c r="T2187" s="68">
        <v>0.0094344224</v>
      </c>
      <c r="U2187" s="68">
        <v>6.8005165E-4</v>
      </c>
      <c r="V2187" s="68">
        <v>0.0</v>
      </c>
      <c r="X2187" s="69">
        <v>1.7141022E-5</v>
      </c>
    </row>
    <row r="2188" ht="12.75" customHeight="1">
      <c r="B2188" s="62"/>
      <c r="C2188" s="60"/>
      <c r="D2188" s="75" t="s">
        <v>2907</v>
      </c>
      <c r="E2188" s="62"/>
      <c r="G2188" s="10"/>
      <c r="H2188" s="10" t="str">
        <f t="shared" si="481"/>
        <v/>
      </c>
      <c r="I2188" s="10"/>
      <c r="J2188" s="10"/>
      <c r="K2188" s="10"/>
      <c r="L2188" s="10"/>
      <c r="N2188" s="10"/>
      <c r="O2188" s="10"/>
      <c r="Q2188" s="67"/>
    </row>
    <row r="2189" ht="12.75" customHeight="1">
      <c r="A2189" s="1" t="s">
        <v>2908</v>
      </c>
      <c r="B2189" s="62" t="s">
        <v>2905</v>
      </c>
      <c r="C2189" s="60" t="str">
        <f t="shared" ref="C2189:C2193" si="483">MID(A2189,1,12)</f>
        <v>M.020.02.101</v>
      </c>
      <c r="D2189" s="51" t="s">
        <v>2907</v>
      </c>
      <c r="E2189" s="62" t="s">
        <v>45</v>
      </c>
      <c r="F2189" s="63" t="str">
        <f t="shared" ref="F2189:F2193" si="484">MID(A2189, 21,85)</f>
        <v>Beer, pilsner in glass bottle, non returnable NL</v>
      </c>
      <c r="G2189" s="64">
        <v>0.167539359038138</v>
      </c>
      <c r="H2189" s="10">
        <f t="shared" si="481"/>
        <v>0.167539359</v>
      </c>
      <c r="I2189" s="65">
        <v>5.9004238E-8</v>
      </c>
      <c r="J2189" s="65">
        <v>0.0496817964339</v>
      </c>
      <c r="K2189" s="65">
        <v>0.0045687236</v>
      </c>
      <c r="L2189" s="65">
        <v>0.11328878</v>
      </c>
      <c r="N2189" s="66">
        <v>0.7552585333333334</v>
      </c>
      <c r="O2189" s="10">
        <f t="shared" ref="O2189:O2193" si="485">N2189</f>
        <v>0.7552585333</v>
      </c>
      <c r="Q2189" s="67">
        <v>0.0</v>
      </c>
      <c r="S2189" s="68">
        <v>0.025863881</v>
      </c>
      <c r="T2189" s="68">
        <v>0.024645506</v>
      </c>
      <c r="U2189" s="68">
        <v>0.0012183753</v>
      </c>
      <c r="V2189" s="68">
        <v>0.0</v>
      </c>
      <c r="X2189" s="69">
        <v>3.8062604E-5</v>
      </c>
    </row>
    <row r="2190" ht="12.75" customHeight="1">
      <c r="A2190" s="1" t="s">
        <v>2909</v>
      </c>
      <c r="B2190" s="62" t="s">
        <v>2905</v>
      </c>
      <c r="C2190" s="60" t="str">
        <f t="shared" si="483"/>
        <v>M.020.02.102</v>
      </c>
      <c r="D2190" s="51" t="s">
        <v>2907</v>
      </c>
      <c r="E2190" s="62" t="s">
        <v>45</v>
      </c>
      <c r="F2190" s="63" t="str">
        <f t="shared" si="484"/>
        <v>Gin, young Dutch still wine bottle per 750 ml NL</v>
      </c>
      <c r="G2190" s="64">
        <v>0.36508986525528997</v>
      </c>
      <c r="H2190" s="10">
        <f t="shared" si="481"/>
        <v>0.3650898653</v>
      </c>
      <c r="I2190" s="65">
        <v>1.5794749E-7</v>
      </c>
      <c r="J2190" s="65">
        <v>0.07411565860779999</v>
      </c>
      <c r="K2190" s="65">
        <v>0.0059747987</v>
      </c>
      <c r="L2190" s="65">
        <v>0.28499925</v>
      </c>
      <c r="N2190" s="66">
        <v>1.8999949999999999</v>
      </c>
      <c r="O2190" s="10">
        <f t="shared" si="485"/>
        <v>1.899995</v>
      </c>
      <c r="Q2190" s="67">
        <v>0.0</v>
      </c>
      <c r="S2190" s="68">
        <v>0.05040527</v>
      </c>
      <c r="T2190" s="68">
        <v>0.048407899</v>
      </c>
      <c r="U2190" s="68">
        <v>0.001997371</v>
      </c>
      <c r="V2190" s="68">
        <v>0.0</v>
      </c>
      <c r="X2190" s="69">
        <v>8.194439E-5</v>
      </c>
    </row>
    <row r="2191" ht="12.75" customHeight="1">
      <c r="A2191" s="1" t="s">
        <v>2910</v>
      </c>
      <c r="B2191" s="62" t="s">
        <v>2905</v>
      </c>
      <c r="C2191" s="60" t="str">
        <f t="shared" si="483"/>
        <v>M.020.02.103</v>
      </c>
      <c r="D2191" s="51" t="s">
        <v>2907</v>
      </c>
      <c r="E2191" s="62" t="s">
        <v>45</v>
      </c>
      <c r="F2191" s="63" t="str">
        <f t="shared" si="484"/>
        <v>Red wine still wine bottle per 750 ml NL</v>
      </c>
      <c r="G2191" s="64">
        <v>0.29477301498340003</v>
      </c>
      <c r="H2191" s="10">
        <f t="shared" si="481"/>
        <v>0.294773015</v>
      </c>
      <c r="I2191" s="65">
        <v>1.43642E-7</v>
      </c>
      <c r="J2191" s="65">
        <v>0.0812487403414</v>
      </c>
      <c r="K2191" s="65">
        <v>0.030519461</v>
      </c>
      <c r="L2191" s="65">
        <v>0.18300467</v>
      </c>
      <c r="N2191" s="66">
        <v>1.2200311333333334</v>
      </c>
      <c r="O2191" s="10">
        <f t="shared" si="485"/>
        <v>1.220031133</v>
      </c>
      <c r="Q2191" s="67">
        <v>0.0</v>
      </c>
      <c r="S2191" s="68">
        <v>0.039413453</v>
      </c>
      <c r="T2191" s="68">
        <v>0.036349256</v>
      </c>
      <c r="U2191" s="68">
        <v>0.0030641965</v>
      </c>
      <c r="V2191" s="68">
        <v>0.0</v>
      </c>
      <c r="X2191" s="69">
        <v>6.479396E-5</v>
      </c>
    </row>
    <row r="2192" ht="12.75" customHeight="1">
      <c r="A2192" s="1" t="s">
        <v>2911</v>
      </c>
      <c r="B2192" s="62" t="s">
        <v>2905</v>
      </c>
      <c r="C2192" s="60" t="str">
        <f t="shared" si="483"/>
        <v>M.020.02.104</v>
      </c>
      <c r="D2192" s="51" t="s">
        <v>2907</v>
      </c>
      <c r="E2192" s="62" t="s">
        <v>45</v>
      </c>
      <c r="F2192" s="63" t="str">
        <f t="shared" si="484"/>
        <v>Rose wine still wine bottle per 750 ml NL</v>
      </c>
      <c r="G2192" s="64">
        <v>0.29798136426591</v>
      </c>
      <c r="H2192" s="10">
        <f t="shared" si="481"/>
        <v>0.2979813643</v>
      </c>
      <c r="I2192" s="65">
        <v>1.4716421E-7</v>
      </c>
      <c r="J2192" s="65">
        <v>0.0806102381017</v>
      </c>
      <c r="K2192" s="65">
        <v>0.031514599</v>
      </c>
      <c r="L2192" s="65">
        <v>0.18585638</v>
      </c>
      <c r="N2192" s="66">
        <v>1.2390425333333333</v>
      </c>
      <c r="O2192" s="10">
        <f t="shared" si="485"/>
        <v>1.239042533</v>
      </c>
      <c r="Q2192" s="67">
        <v>0.0</v>
      </c>
      <c r="S2192" s="68">
        <v>0.039555809</v>
      </c>
      <c r="T2192" s="68">
        <v>0.036544162</v>
      </c>
      <c r="U2192" s="68">
        <v>0.0030116475</v>
      </c>
      <c r="V2192" s="68">
        <v>0.0</v>
      </c>
      <c r="X2192" s="69">
        <v>6.5312481E-5</v>
      </c>
    </row>
    <row r="2193" ht="12.75" customHeight="1">
      <c r="A2193" s="1" t="s">
        <v>2912</v>
      </c>
      <c r="B2193" s="62" t="s">
        <v>2905</v>
      </c>
      <c r="C2193" s="60" t="str">
        <f t="shared" si="483"/>
        <v>M.020.02.105</v>
      </c>
      <c r="D2193" s="51" t="s">
        <v>2907</v>
      </c>
      <c r="E2193" s="62" t="s">
        <v>45</v>
      </c>
      <c r="F2193" s="63" t="str">
        <f t="shared" si="484"/>
        <v>White wine, dry still wine bottle per 750 ml NL</v>
      </c>
      <c r="G2193" s="64">
        <v>0.30118971304833</v>
      </c>
      <c r="H2193" s="10">
        <f t="shared" si="481"/>
        <v>0.301189713</v>
      </c>
      <c r="I2193" s="65">
        <v>1.5068643E-7</v>
      </c>
      <c r="J2193" s="65">
        <v>0.0799717363619</v>
      </c>
      <c r="K2193" s="65">
        <v>0.032509736</v>
      </c>
      <c r="L2193" s="65">
        <v>0.18870809</v>
      </c>
      <c r="N2193" s="66">
        <v>1.2580539333333334</v>
      </c>
      <c r="O2193" s="10">
        <f t="shared" si="485"/>
        <v>1.258053933</v>
      </c>
      <c r="Q2193" s="67">
        <v>0.0</v>
      </c>
      <c r="S2193" s="68">
        <v>0.039698166</v>
      </c>
      <c r="T2193" s="68">
        <v>0.036739067</v>
      </c>
      <c r="U2193" s="68">
        <v>0.0029590985</v>
      </c>
      <c r="V2193" s="68">
        <v>0.0</v>
      </c>
      <c r="X2193" s="69">
        <v>6.5831002E-5</v>
      </c>
    </row>
    <row r="2194" ht="12.75" customHeight="1">
      <c r="B2194" s="62"/>
      <c r="C2194" s="60"/>
      <c r="D2194" s="75" t="s">
        <v>2913</v>
      </c>
      <c r="E2194" s="62"/>
      <c r="G2194" s="10"/>
      <c r="H2194" s="10" t="str">
        <f t="shared" si="481"/>
        <v/>
      </c>
      <c r="I2194" s="10"/>
      <c r="J2194" s="10"/>
      <c r="K2194" s="10"/>
      <c r="L2194" s="10"/>
      <c r="N2194" s="10"/>
      <c r="O2194" s="10"/>
      <c r="Q2194" s="67"/>
    </row>
    <row r="2195" ht="12.75" customHeight="1">
      <c r="A2195" s="1" t="s">
        <v>2914</v>
      </c>
      <c r="B2195" s="62" t="s">
        <v>2905</v>
      </c>
      <c r="C2195" s="60" t="str">
        <f t="shared" ref="C2195:C2204" si="486">MID(A2195,1,12)</f>
        <v>M.020.03.101</v>
      </c>
      <c r="D2195" s="51" t="s">
        <v>2913</v>
      </c>
      <c r="E2195" s="62" t="s">
        <v>45</v>
      </c>
      <c r="F2195" s="63" t="str">
        <f t="shared" ref="F2195:F2204" si="487">MID(A2195, 21,85)</f>
        <v>Baguette, white in plastic foil per 500 gram NL</v>
      </c>
      <c r="G2195" s="64">
        <v>0.17209770755925502</v>
      </c>
      <c r="H2195" s="10">
        <f t="shared" si="481"/>
        <v>0.1720977076</v>
      </c>
      <c r="I2195" s="65">
        <v>9.5179555E-8</v>
      </c>
      <c r="J2195" s="65">
        <v>0.05572112897970001</v>
      </c>
      <c r="K2195" s="65">
        <v>0.0029344134</v>
      </c>
      <c r="L2195" s="65">
        <v>0.11344207</v>
      </c>
      <c r="N2195" s="66">
        <v>0.7562804666666667</v>
      </c>
      <c r="O2195" s="10">
        <f t="shared" ref="O2195:O2204" si="488">N2195</f>
        <v>0.7562804667</v>
      </c>
      <c r="Q2195" s="67">
        <v>0.0</v>
      </c>
      <c r="S2195" s="68">
        <v>0.025517195</v>
      </c>
      <c r="T2195" s="68">
        <v>0.023303851</v>
      </c>
      <c r="U2195" s="68">
        <v>0.0022133434</v>
      </c>
      <c r="V2195" s="68">
        <v>0.0</v>
      </c>
      <c r="X2195" s="69">
        <v>4.2083238E-5</v>
      </c>
    </row>
    <row r="2196" ht="12.75" customHeight="1">
      <c r="A2196" s="1" t="s">
        <v>2915</v>
      </c>
      <c r="B2196" s="62" t="s">
        <v>2905</v>
      </c>
      <c r="C2196" s="60" t="str">
        <f t="shared" si="486"/>
        <v>M.020.03.102</v>
      </c>
      <c r="D2196" s="51" t="s">
        <v>2913</v>
      </c>
      <c r="E2196" s="62" t="s">
        <v>45</v>
      </c>
      <c r="F2196" s="63" t="str">
        <f t="shared" si="487"/>
        <v>Bread, multigrain w seeds plastic foil (LDPE) per 500 gram NL</v>
      </c>
      <c r="G2196" s="64">
        <v>0.18409450915849002</v>
      </c>
      <c r="H2196" s="10">
        <f t="shared" si="481"/>
        <v>0.1840945092</v>
      </c>
      <c r="I2196" s="65">
        <v>1.0204879E-7</v>
      </c>
      <c r="J2196" s="65">
        <v>0.05916224140970001</v>
      </c>
      <c r="K2196" s="65">
        <v>0.0033393057</v>
      </c>
      <c r="L2196" s="65">
        <v>0.12159286</v>
      </c>
      <c r="N2196" s="66">
        <v>0.8106190666666667</v>
      </c>
      <c r="O2196" s="10">
        <f t="shared" si="488"/>
        <v>0.8106190667</v>
      </c>
      <c r="Q2196" s="67">
        <v>0.0</v>
      </c>
      <c r="S2196" s="68">
        <v>0.027072809</v>
      </c>
      <c r="T2196" s="68">
        <v>0.024638117</v>
      </c>
      <c r="U2196" s="68">
        <v>0.0024346919</v>
      </c>
      <c r="V2196" s="68">
        <v>0.0</v>
      </c>
      <c r="X2196" s="69">
        <v>4.4979741E-5</v>
      </c>
    </row>
    <row r="2197" ht="12.75" customHeight="1">
      <c r="A2197" s="1" t="s">
        <v>2916</v>
      </c>
      <c r="B2197" s="62" t="s">
        <v>2905</v>
      </c>
      <c r="C2197" s="60" t="str">
        <f t="shared" si="486"/>
        <v>M.020.03.103</v>
      </c>
      <c r="D2197" s="51" t="s">
        <v>2913</v>
      </c>
      <c r="E2197" s="62" t="s">
        <v>45</v>
      </c>
      <c r="F2197" s="63" t="str">
        <f t="shared" si="487"/>
        <v>Bread rye in plastic foil per 500 gram NL</v>
      </c>
      <c r="G2197" s="64">
        <v>0.22689939946317</v>
      </c>
      <c r="H2197" s="10">
        <f t="shared" si="481"/>
        <v>0.2268993995</v>
      </c>
      <c r="I2197" s="65">
        <v>1.1795697E-7</v>
      </c>
      <c r="J2197" s="65">
        <v>0.0651674205062</v>
      </c>
      <c r="K2197" s="65">
        <v>0.002899851</v>
      </c>
      <c r="L2197" s="65">
        <v>0.15883201</v>
      </c>
      <c r="N2197" s="66">
        <v>1.0588800666666667</v>
      </c>
      <c r="O2197" s="10">
        <f t="shared" si="488"/>
        <v>1.058880067</v>
      </c>
      <c r="Q2197" s="67">
        <v>0.0</v>
      </c>
      <c r="S2197" s="68">
        <v>0.032092194</v>
      </c>
      <c r="T2197" s="68">
        <v>0.029085853</v>
      </c>
      <c r="U2197" s="68">
        <v>0.0030063412</v>
      </c>
      <c r="V2197" s="68">
        <v>0.0</v>
      </c>
      <c r="X2197" s="69">
        <v>5.4551153E-5</v>
      </c>
    </row>
    <row r="2198" ht="12.75" customHeight="1">
      <c r="A2198" s="1" t="s">
        <v>2917</v>
      </c>
      <c r="B2198" s="62" t="s">
        <v>2905</v>
      </c>
      <c r="C2198" s="60" t="str">
        <f t="shared" si="486"/>
        <v>M.020.03.104</v>
      </c>
      <c r="D2198" s="51" t="s">
        <v>2913</v>
      </c>
      <c r="E2198" s="62" t="s">
        <v>45</v>
      </c>
      <c r="F2198" s="63" t="str">
        <f t="shared" si="487"/>
        <v>Bread, white water based in plastic foil per 500 gram NL</v>
      </c>
      <c r="G2198" s="64">
        <v>0.17857650807377</v>
      </c>
      <c r="H2198" s="10">
        <f t="shared" si="481"/>
        <v>0.1785765081</v>
      </c>
      <c r="I2198" s="65">
        <v>1.0027617E-7</v>
      </c>
      <c r="J2198" s="65">
        <v>0.0572440136976</v>
      </c>
      <c r="K2198" s="65">
        <v>0.0040268041</v>
      </c>
      <c r="L2198" s="65">
        <v>0.11730559</v>
      </c>
      <c r="N2198" s="66">
        <v>0.7820372666666667</v>
      </c>
      <c r="O2198" s="10">
        <f t="shared" si="488"/>
        <v>0.7820372667</v>
      </c>
      <c r="Q2198" s="67">
        <v>0.0</v>
      </c>
      <c r="S2198" s="68">
        <v>0.026279023</v>
      </c>
      <c r="T2198" s="68">
        <v>0.024020893</v>
      </c>
      <c r="U2198" s="68">
        <v>0.00225813</v>
      </c>
      <c r="V2198" s="68">
        <v>0.0</v>
      </c>
      <c r="X2198" s="69">
        <v>4.3501715E-5</v>
      </c>
    </row>
    <row r="2199" ht="12.75" customHeight="1">
      <c r="A2199" s="1" t="s">
        <v>2918</v>
      </c>
      <c r="B2199" s="62" t="s">
        <v>2905</v>
      </c>
      <c r="C2199" s="60" t="str">
        <f t="shared" si="486"/>
        <v>M.020.03.105</v>
      </c>
      <c r="D2199" s="51" t="s">
        <v>2913</v>
      </c>
      <c r="E2199" s="62" t="s">
        <v>45</v>
      </c>
      <c r="F2199" s="63" t="str">
        <f t="shared" si="487"/>
        <v>Bread, wholemeal in plastic foil per 500 gram NL</v>
      </c>
      <c r="G2199" s="64">
        <v>0.151201274699817</v>
      </c>
      <c r="H2199" s="10">
        <f t="shared" si="481"/>
        <v>0.1512012747</v>
      </c>
      <c r="I2199" s="65">
        <v>8.5714817E-8</v>
      </c>
      <c r="J2199" s="65">
        <v>0.047953881985</v>
      </c>
      <c r="K2199" s="65">
        <v>0.003313721</v>
      </c>
      <c r="L2199" s="65">
        <v>0.099933586</v>
      </c>
      <c r="N2199" s="66">
        <v>0.6662239066666668</v>
      </c>
      <c r="O2199" s="10">
        <f t="shared" si="488"/>
        <v>0.6662239067</v>
      </c>
      <c r="Q2199" s="67">
        <v>0.0</v>
      </c>
      <c r="S2199" s="68">
        <v>0.022183553</v>
      </c>
      <c r="T2199" s="68">
        <v>0.020297889</v>
      </c>
      <c r="U2199" s="68">
        <v>0.0018856643</v>
      </c>
      <c r="V2199" s="68">
        <v>0.0</v>
      </c>
      <c r="X2199" s="69">
        <v>3.6837823E-5</v>
      </c>
    </row>
    <row r="2200" ht="12.75" customHeight="1">
      <c r="A2200" s="1" t="s">
        <v>2919</v>
      </c>
      <c r="B2200" s="62" t="s">
        <v>2905</v>
      </c>
      <c r="C2200" s="60" t="str">
        <f t="shared" si="486"/>
        <v>M.020.03.106</v>
      </c>
      <c r="D2200" s="51" t="s">
        <v>2913</v>
      </c>
      <c r="E2200" s="62" t="s">
        <v>45</v>
      </c>
      <c r="F2200" s="63" t="str">
        <f t="shared" si="487"/>
        <v>Bun, currant/raisin plastic foil (LDPE) per 500 gram</v>
      </c>
      <c r="G2200" s="64">
        <v>0.28292096195634</v>
      </c>
      <c r="H2200" s="10">
        <f t="shared" si="481"/>
        <v>0.282920962</v>
      </c>
      <c r="I2200" s="65">
        <v>1.5750894E-7</v>
      </c>
      <c r="J2200" s="65">
        <v>0.08865662544740001</v>
      </c>
      <c r="K2200" s="65">
        <v>0.010292689</v>
      </c>
      <c r="L2200" s="65">
        <v>0.18397149</v>
      </c>
      <c r="N2200" s="66">
        <v>1.2264766</v>
      </c>
      <c r="O2200" s="10">
        <f t="shared" si="488"/>
        <v>1.2264766</v>
      </c>
      <c r="Q2200" s="67">
        <v>0.0</v>
      </c>
      <c r="S2200" s="68">
        <v>0.040100385</v>
      </c>
      <c r="T2200" s="68">
        <v>0.036082811</v>
      </c>
      <c r="U2200" s="68">
        <v>0.0040175747</v>
      </c>
      <c r="V2200" s="68">
        <v>0.0</v>
      </c>
      <c r="X2200" s="69">
        <v>6.8121151E-5</v>
      </c>
    </row>
    <row r="2201" ht="12.75" customHeight="1">
      <c r="A2201" s="1" t="s">
        <v>2920</v>
      </c>
      <c r="B2201" s="62" t="s">
        <v>2905</v>
      </c>
      <c r="C2201" s="60" t="str">
        <f t="shared" si="486"/>
        <v>M.020.03.107</v>
      </c>
      <c r="D2201" s="51" t="s">
        <v>2913</v>
      </c>
      <c r="E2201" s="62" t="s">
        <v>45</v>
      </c>
      <c r="F2201" s="63" t="str">
        <f t="shared" si="487"/>
        <v>Crispbread, in paper foil per 250 gram NL</v>
      </c>
      <c r="G2201" s="64">
        <v>0.31844599395668</v>
      </c>
      <c r="H2201" s="10">
        <f t="shared" si="481"/>
        <v>0.318445994</v>
      </c>
      <c r="I2201" s="65">
        <v>1.4686178E-7</v>
      </c>
      <c r="J2201" s="65">
        <v>0.1037220578949</v>
      </c>
      <c r="K2201" s="65">
        <v>0.0079324592</v>
      </c>
      <c r="L2201" s="65">
        <v>0.20679133</v>
      </c>
      <c r="N2201" s="66">
        <v>1.3786088666666667</v>
      </c>
      <c r="O2201" s="10">
        <f t="shared" si="488"/>
        <v>1.378608867</v>
      </c>
      <c r="Q2201" s="67">
        <v>0.0</v>
      </c>
      <c r="S2201" s="68">
        <v>0.046125688</v>
      </c>
      <c r="T2201" s="68">
        <v>0.041081505</v>
      </c>
      <c r="U2201" s="68">
        <v>0.0050441833</v>
      </c>
      <c r="V2201" s="68">
        <v>0.0</v>
      </c>
      <c r="X2201" s="69">
        <v>7.6268579E-5</v>
      </c>
    </row>
    <row r="2202" ht="12.75" customHeight="1">
      <c r="A2202" s="1" t="s">
        <v>2921</v>
      </c>
      <c r="B2202" s="62" t="s">
        <v>2905</v>
      </c>
      <c r="C2202" s="60" t="str">
        <f t="shared" si="486"/>
        <v>M.020.03.108</v>
      </c>
      <c r="D2202" s="51" t="s">
        <v>2913</v>
      </c>
      <c r="E2202" s="62" t="s">
        <v>45</v>
      </c>
      <c r="F2202" s="63" t="str">
        <f t="shared" si="487"/>
        <v>Croissant, w margarine in plastic foil per 500 gram NL</v>
      </c>
      <c r="G2202" s="64">
        <v>0.32375359996301</v>
      </c>
      <c r="H2202" s="10">
        <f t="shared" si="481"/>
        <v>0.3237536</v>
      </c>
      <c r="I2202" s="65">
        <v>1.6857221E-7</v>
      </c>
      <c r="J2202" s="65">
        <v>0.1007499393908</v>
      </c>
      <c r="K2202" s="65">
        <v>0.010125502</v>
      </c>
      <c r="L2202" s="65">
        <v>0.21287799</v>
      </c>
      <c r="N2202" s="66">
        <v>1.4191866</v>
      </c>
      <c r="O2202" s="10">
        <f t="shared" si="488"/>
        <v>1.4191866</v>
      </c>
      <c r="Q2202" s="67">
        <v>0.0</v>
      </c>
      <c r="S2202" s="68">
        <v>0.04482243</v>
      </c>
      <c r="T2202" s="68">
        <v>0.039373473</v>
      </c>
      <c r="U2202" s="68">
        <v>0.0054489562</v>
      </c>
      <c r="V2202" s="68">
        <v>0.0</v>
      </c>
      <c r="X2202" s="69">
        <v>7.7905216E-5</v>
      </c>
    </row>
    <row r="2203" ht="12.75" customHeight="1">
      <c r="A2203" s="1" t="s">
        <v>2922</v>
      </c>
      <c r="B2203" s="62" t="s">
        <v>2905</v>
      </c>
      <c r="C2203" s="60" t="str">
        <f t="shared" si="486"/>
        <v>M.020.03.109</v>
      </c>
      <c r="D2203" s="51" t="s">
        <v>2913</v>
      </c>
      <c r="E2203" s="62" t="s">
        <v>45</v>
      </c>
      <c r="F2203" s="63" t="str">
        <f t="shared" si="487"/>
        <v>Roll, white hard in plastic foil per 500 gram NL</v>
      </c>
      <c r="G2203" s="64">
        <v>0.17857650807377</v>
      </c>
      <c r="H2203" s="10">
        <f t="shared" si="481"/>
        <v>0.1785765081</v>
      </c>
      <c r="I2203" s="65">
        <v>1.0027617E-7</v>
      </c>
      <c r="J2203" s="65">
        <v>0.0572440136976</v>
      </c>
      <c r="K2203" s="65">
        <v>0.0040268041</v>
      </c>
      <c r="L2203" s="65">
        <v>0.11730559</v>
      </c>
      <c r="N2203" s="66">
        <v>0.7820372666666667</v>
      </c>
      <c r="O2203" s="10">
        <f t="shared" si="488"/>
        <v>0.7820372667</v>
      </c>
      <c r="Q2203" s="67">
        <v>0.0</v>
      </c>
      <c r="S2203" s="68">
        <v>0.026279023</v>
      </c>
      <c r="T2203" s="68">
        <v>0.024020893</v>
      </c>
      <c r="U2203" s="68">
        <v>0.00225813</v>
      </c>
      <c r="V2203" s="68">
        <v>0.0</v>
      </c>
      <c r="X2203" s="69">
        <v>4.3501715E-5</v>
      </c>
    </row>
    <row r="2204" ht="12.75" customHeight="1">
      <c r="A2204" s="1" t="s">
        <v>2923</v>
      </c>
      <c r="B2204" s="62" t="s">
        <v>2905</v>
      </c>
      <c r="C2204" s="60" t="str">
        <f t="shared" si="486"/>
        <v>M.020.03.110</v>
      </c>
      <c r="D2204" s="51" t="s">
        <v>2913</v>
      </c>
      <c r="E2204" s="62" t="s">
        <v>45</v>
      </c>
      <c r="F2204" s="63" t="str">
        <f t="shared" si="487"/>
        <v>Roll, white soft in plastic foil per 500 gram NL</v>
      </c>
      <c r="G2204" s="64">
        <v>0.17857650807377</v>
      </c>
      <c r="H2204" s="10">
        <f t="shared" si="481"/>
        <v>0.1785765081</v>
      </c>
      <c r="I2204" s="65">
        <v>1.0027617E-7</v>
      </c>
      <c r="J2204" s="65">
        <v>0.0572440136976</v>
      </c>
      <c r="K2204" s="65">
        <v>0.0040268041</v>
      </c>
      <c r="L2204" s="65">
        <v>0.11730559</v>
      </c>
      <c r="N2204" s="66">
        <v>0.7820372666666667</v>
      </c>
      <c r="O2204" s="10">
        <f t="shared" si="488"/>
        <v>0.7820372667</v>
      </c>
      <c r="Q2204" s="67">
        <v>0.0</v>
      </c>
      <c r="S2204" s="68">
        <v>0.026279023</v>
      </c>
      <c r="T2204" s="68">
        <v>0.024020893</v>
      </c>
      <c r="U2204" s="68">
        <v>0.00225813</v>
      </c>
      <c r="V2204" s="68">
        <v>0.0</v>
      </c>
      <c r="X2204" s="69">
        <v>4.3501715E-5</v>
      </c>
    </row>
    <row r="2205" ht="12.75" customHeight="1">
      <c r="B2205" s="62"/>
      <c r="C2205" s="60"/>
      <c r="D2205" s="75" t="s">
        <v>2924</v>
      </c>
      <c r="E2205" s="62"/>
      <c r="G2205" s="10"/>
      <c r="H2205" s="10" t="str">
        <f t="shared" si="481"/>
        <v/>
      </c>
      <c r="I2205" s="10"/>
      <c r="J2205" s="10"/>
      <c r="K2205" s="10"/>
      <c r="L2205" s="10"/>
      <c r="N2205" s="10"/>
      <c r="O2205" s="10"/>
      <c r="Q2205" s="67"/>
    </row>
    <row r="2206" ht="12.75" customHeight="1">
      <c r="A2206" s="1" t="s">
        <v>2925</v>
      </c>
      <c r="B2206" s="62" t="s">
        <v>2905</v>
      </c>
      <c r="C2206" s="60" t="str">
        <f t="shared" ref="C2206:C2207" si="489">MID(A2206,1,12)</f>
        <v>M.020.04.101</v>
      </c>
      <c r="D2206" s="51" t="s">
        <v>2924</v>
      </c>
      <c r="E2206" s="62" t="s">
        <v>45</v>
      </c>
      <c r="F2206" s="63" t="str">
        <f t="shared" ref="F2206:F2207" si="490">MID(A2206, 21,85)</f>
        <v>Insects, meat packaging per 1 kg NL</v>
      </c>
      <c r="G2206" s="64">
        <v>0.65760528066597</v>
      </c>
      <c r="H2206" s="10">
        <f t="shared" si="481"/>
        <v>0.6576052807</v>
      </c>
      <c r="I2206" s="65">
        <v>3.0920207E-7</v>
      </c>
      <c r="J2206" s="65">
        <v>0.1958423344639</v>
      </c>
      <c r="K2206" s="65">
        <v>0.028627387</v>
      </c>
      <c r="L2206" s="65">
        <v>0.43313525</v>
      </c>
      <c r="N2206" s="66">
        <v>2.8875683333333337</v>
      </c>
      <c r="O2206" s="10">
        <f t="shared" ref="O2206:O2207" si="491">N2206</f>
        <v>2.887568333</v>
      </c>
      <c r="Q2206" s="67">
        <v>0.0</v>
      </c>
      <c r="S2206" s="68">
        <v>0.092366071</v>
      </c>
      <c r="T2206" s="68">
        <v>0.08343696</v>
      </c>
      <c r="U2206" s="68">
        <v>0.0089291112</v>
      </c>
      <c r="V2206" s="68">
        <v>0.0</v>
      </c>
      <c r="X2206" s="69">
        <v>1.5333412E-4</v>
      </c>
    </row>
    <row r="2207" ht="12.75" customHeight="1">
      <c r="A2207" s="1" t="s">
        <v>2926</v>
      </c>
      <c r="B2207" s="62" t="s">
        <v>2905</v>
      </c>
      <c r="C2207" s="60" t="str">
        <f t="shared" si="489"/>
        <v>M.020.04.102</v>
      </c>
      <c r="D2207" s="51" t="s">
        <v>2924</v>
      </c>
      <c r="E2207" s="62" t="s">
        <v>45</v>
      </c>
      <c r="F2207" s="63" t="str">
        <f t="shared" si="490"/>
        <v>Kelp, seaweed in fruit bucket per 1 kg NL</v>
      </c>
      <c r="G2207" s="64">
        <v>0.033646508480123</v>
      </c>
      <c r="H2207" s="10">
        <f t="shared" si="481"/>
        <v>0.03364650848</v>
      </c>
      <c r="I2207" s="65">
        <v>1.7087733E-8</v>
      </c>
      <c r="J2207" s="65">
        <v>0.0053879740923899995</v>
      </c>
      <c r="K2207" s="65">
        <v>0.0015431583</v>
      </c>
      <c r="L2207" s="65">
        <v>0.026715359</v>
      </c>
      <c r="N2207" s="66">
        <v>0.17810239333333336</v>
      </c>
      <c r="O2207" s="10">
        <f t="shared" si="491"/>
        <v>0.1781023933</v>
      </c>
      <c r="Q2207" s="67">
        <v>0.0</v>
      </c>
      <c r="S2207" s="68">
        <v>0.0042002586</v>
      </c>
      <c r="T2207" s="68">
        <v>0.0040229329</v>
      </c>
      <c r="U2207" s="68">
        <v>1.7732563E-4</v>
      </c>
      <c r="V2207" s="68">
        <v>0.0</v>
      </c>
      <c r="X2207" s="69">
        <v>7.3741576E-6</v>
      </c>
    </row>
    <row r="2208" ht="12.75" customHeight="1">
      <c r="B2208" s="62"/>
      <c r="C2208" s="60"/>
      <c r="D2208" s="75" t="s">
        <v>2927</v>
      </c>
      <c r="E2208" s="62"/>
      <c r="G2208" s="10"/>
      <c r="H2208" s="10" t="str">
        <f t="shared" si="481"/>
        <v/>
      </c>
      <c r="I2208" s="10"/>
      <c r="J2208" s="10"/>
      <c r="K2208" s="10"/>
      <c r="L2208" s="10"/>
      <c r="N2208" s="10"/>
      <c r="O2208" s="10"/>
      <c r="Q2208" s="67"/>
    </row>
    <row r="2209" ht="12.75" customHeight="1">
      <c r="A2209" s="1" t="s">
        <v>2928</v>
      </c>
      <c r="B2209" s="62" t="s">
        <v>2905</v>
      </c>
      <c r="C2209" s="60" t="str">
        <f>MID(A2209,1,12)</f>
        <v>M.020.05.101</v>
      </c>
      <c r="D2209" s="51" t="s">
        <v>2927</v>
      </c>
      <c r="E2209" s="62" t="s">
        <v>45</v>
      </c>
      <c r="F2209" s="63" t="str">
        <f>MID(A2209, 21,85)</f>
        <v>Eggs, chicken, in cardboard box NL</v>
      </c>
      <c r="G2209" s="64">
        <v>0.70709709136025</v>
      </c>
      <c r="H2209" s="10">
        <f t="shared" si="481"/>
        <v>0.7070970914</v>
      </c>
      <c r="I2209" s="65">
        <v>2.3633895E-7</v>
      </c>
      <c r="J2209" s="65">
        <v>0.2677327140213</v>
      </c>
      <c r="K2209" s="65">
        <v>0.030554461</v>
      </c>
      <c r="L2209" s="65">
        <v>0.40880968</v>
      </c>
      <c r="N2209" s="66">
        <v>2.725397866666667</v>
      </c>
      <c r="O2209" s="10">
        <f>N2209</f>
        <v>2.725397867</v>
      </c>
      <c r="Q2209" s="67">
        <v>0.0</v>
      </c>
      <c r="S2209" s="68">
        <v>0.11321611</v>
      </c>
      <c r="T2209" s="68">
        <v>0.10391163</v>
      </c>
      <c r="U2209" s="68">
        <v>0.0093044825</v>
      </c>
      <c r="V2209" s="68">
        <v>0.0</v>
      </c>
      <c r="X2209" s="69">
        <v>1.6472893E-4</v>
      </c>
    </row>
    <row r="2210" ht="12.75" customHeight="1">
      <c r="B2210" s="62"/>
      <c r="C2210" s="60"/>
      <c r="D2210" s="75" t="s">
        <v>2929</v>
      </c>
      <c r="E2210" s="62"/>
      <c r="G2210" s="10"/>
      <c r="H2210" s="10" t="str">
        <f t="shared" si="481"/>
        <v/>
      </c>
      <c r="I2210" s="10"/>
      <c r="J2210" s="10"/>
      <c r="K2210" s="10"/>
      <c r="L2210" s="10"/>
      <c r="N2210" s="10"/>
      <c r="O2210" s="10"/>
      <c r="Q2210" s="67"/>
    </row>
    <row r="2211" ht="12.75" customHeight="1">
      <c r="A2211" s="1" t="s">
        <v>2930</v>
      </c>
      <c r="B2211" s="62" t="s">
        <v>2905</v>
      </c>
      <c r="C2211" s="60" t="str">
        <f t="shared" ref="C2211:C2234" si="492">MID(A2211,1,12)</f>
        <v>M.020.06.101</v>
      </c>
      <c r="D2211" s="51" t="s">
        <v>2929</v>
      </c>
      <c r="E2211" s="62" t="s">
        <v>45</v>
      </c>
      <c r="F2211" s="63" t="str">
        <f t="shared" ref="F2211:F2234" si="493">MID(A2211, 21,85)</f>
        <v>Apple sauce in food can NL</v>
      </c>
      <c r="G2211" s="64">
        <v>0.34059989065416</v>
      </c>
      <c r="H2211" s="10">
        <f t="shared" si="481"/>
        <v>0.3405998907</v>
      </c>
      <c r="I2211" s="65">
        <v>2.5544006E-7</v>
      </c>
      <c r="J2211" s="65">
        <v>0.0781233802141</v>
      </c>
      <c r="K2211" s="65">
        <v>0.029122465</v>
      </c>
      <c r="L2211" s="65">
        <v>0.23335379</v>
      </c>
      <c r="N2211" s="66">
        <v>1.5556919333333334</v>
      </c>
      <c r="O2211" s="10">
        <f t="shared" ref="O2211:O2234" si="494">N2211</f>
        <v>1.555691933</v>
      </c>
      <c r="Q2211" s="67">
        <v>0.0</v>
      </c>
      <c r="S2211" s="68">
        <v>0.043672044</v>
      </c>
      <c r="T2211" s="68">
        <v>0.041619305</v>
      </c>
      <c r="U2211" s="68">
        <v>0.0020527389</v>
      </c>
      <c r="V2211" s="68">
        <v>0.0</v>
      </c>
      <c r="X2211" s="69">
        <v>7.8810659E-5</v>
      </c>
    </row>
    <row r="2212" ht="12.75" customHeight="1">
      <c r="A2212" s="1" t="s">
        <v>2931</v>
      </c>
      <c r="B2212" s="62" t="s">
        <v>2905</v>
      </c>
      <c r="C2212" s="60" t="str">
        <f t="shared" si="492"/>
        <v>M.020.06.102</v>
      </c>
      <c r="D2212" s="51" t="s">
        <v>2929</v>
      </c>
      <c r="E2212" s="62" t="s">
        <v>45</v>
      </c>
      <c r="F2212" s="63" t="str">
        <f t="shared" si="493"/>
        <v>Apple sauce in glass jarper 720 ml NL</v>
      </c>
      <c r="G2212" s="64">
        <v>0.23358010259409</v>
      </c>
      <c r="H2212" s="10">
        <f t="shared" si="481"/>
        <v>0.2335801026</v>
      </c>
      <c r="I2212" s="65">
        <v>1.4329719E-7</v>
      </c>
      <c r="J2212" s="65">
        <v>0.0572817072969</v>
      </c>
      <c r="K2212" s="65">
        <v>0.011210322</v>
      </c>
      <c r="L2212" s="65">
        <v>0.16508793</v>
      </c>
      <c r="N2212" s="66">
        <v>1.1005862</v>
      </c>
      <c r="O2212" s="10">
        <f t="shared" si="494"/>
        <v>1.1005862</v>
      </c>
      <c r="Q2212" s="67">
        <v>0.0</v>
      </c>
      <c r="S2212" s="68">
        <v>0.03208029</v>
      </c>
      <c r="T2212" s="68">
        <v>0.030507187</v>
      </c>
      <c r="U2212" s="68">
        <v>0.0015731024</v>
      </c>
      <c r="V2212" s="68">
        <v>0.0</v>
      </c>
      <c r="X2212" s="69">
        <v>5.4339958E-5</v>
      </c>
    </row>
    <row r="2213" ht="12.75" customHeight="1">
      <c r="A2213" s="1" t="s">
        <v>2932</v>
      </c>
      <c r="B2213" s="62" t="s">
        <v>2905</v>
      </c>
      <c r="C2213" s="60" t="str">
        <f t="shared" si="492"/>
        <v>M.020.06.103</v>
      </c>
      <c r="D2213" s="51" t="s">
        <v>2929</v>
      </c>
      <c r="E2213" s="62" t="s">
        <v>45</v>
      </c>
      <c r="F2213" s="63" t="str">
        <f t="shared" si="493"/>
        <v>Apple, w skin in fruit bag per 1 kg NL</v>
      </c>
      <c r="G2213" s="64">
        <v>0.053528969659617995</v>
      </c>
      <c r="H2213" s="10">
        <f t="shared" si="481"/>
        <v>0.05352896966</v>
      </c>
      <c r="I2213" s="65">
        <v>3.9582038E-8</v>
      </c>
      <c r="J2213" s="65">
        <v>0.015208329077580001</v>
      </c>
      <c r="K2213" s="65">
        <v>0.00622084</v>
      </c>
      <c r="L2213" s="65">
        <v>0.032099761</v>
      </c>
      <c r="N2213" s="66">
        <v>0.21399840666666667</v>
      </c>
      <c r="O2213" s="10">
        <f t="shared" si="494"/>
        <v>0.2139984067</v>
      </c>
      <c r="Q2213" s="67">
        <v>0.0</v>
      </c>
      <c r="S2213" s="68">
        <v>0.0070018092</v>
      </c>
      <c r="T2213" s="68">
        <v>0.0065069321</v>
      </c>
      <c r="U2213" s="68">
        <v>4.9487702E-4</v>
      </c>
      <c r="V2213" s="68">
        <v>0.0</v>
      </c>
      <c r="X2213" s="69">
        <v>1.2383652E-5</v>
      </c>
    </row>
    <row r="2214" ht="12.75" customHeight="1">
      <c r="A2214" s="1" t="s">
        <v>2933</v>
      </c>
      <c r="B2214" s="62" t="s">
        <v>2905</v>
      </c>
      <c r="C2214" s="60" t="str">
        <f t="shared" si="492"/>
        <v>M.020.06.104</v>
      </c>
      <c r="D2214" s="51" t="s">
        <v>2929</v>
      </c>
      <c r="E2214" s="62" t="s">
        <v>45</v>
      </c>
      <c r="F2214" s="63" t="str">
        <f t="shared" si="493"/>
        <v>Apricot, w skin in fruit bucket per 1 kg NL</v>
      </c>
      <c r="G2214" s="64">
        <v>0.20512085465506402</v>
      </c>
      <c r="H2214" s="10">
        <f t="shared" si="481"/>
        <v>0.2051208547</v>
      </c>
      <c r="I2214" s="65">
        <v>4.8447964E-8</v>
      </c>
      <c r="J2214" s="65">
        <v>0.0288022762071</v>
      </c>
      <c r="K2214" s="65">
        <v>0.12173352</v>
      </c>
      <c r="L2214" s="65">
        <v>0.05458501</v>
      </c>
      <c r="N2214" s="66">
        <v>0.3639000666666667</v>
      </c>
      <c r="O2214" s="10">
        <f t="shared" si="494"/>
        <v>0.3639000667</v>
      </c>
      <c r="Q2214" s="67">
        <v>0.0</v>
      </c>
      <c r="S2214" s="68">
        <v>0.012322752</v>
      </c>
      <c r="T2214" s="68">
        <v>0.010918853</v>
      </c>
      <c r="U2214" s="68">
        <v>0.0014038987</v>
      </c>
      <c r="V2214" s="68">
        <v>0.0</v>
      </c>
      <c r="X2214" s="69">
        <v>2.1070701E-5</v>
      </c>
    </row>
    <row r="2215" ht="12.75" customHeight="1">
      <c r="A2215" s="1" t="s">
        <v>2934</v>
      </c>
      <c r="B2215" s="62" t="s">
        <v>2905</v>
      </c>
      <c r="C2215" s="60" t="str">
        <f t="shared" si="492"/>
        <v>M.020.06.105</v>
      </c>
      <c r="D2215" s="51" t="s">
        <v>2929</v>
      </c>
      <c r="E2215" s="62" t="s">
        <v>45</v>
      </c>
      <c r="F2215" s="63" t="str">
        <f t="shared" si="493"/>
        <v>Avocado, not packed NL</v>
      </c>
      <c r="G2215" s="64">
        <v>0.299046997355717</v>
      </c>
      <c r="H2215" s="10">
        <f t="shared" si="481"/>
        <v>0.2990469974</v>
      </c>
      <c r="I2215" s="65">
        <v>4.8640217E-8</v>
      </c>
      <c r="J2215" s="65">
        <v>0.048260212715499996</v>
      </c>
      <c r="K2215" s="65">
        <v>0.092895606</v>
      </c>
      <c r="L2215" s="65">
        <v>0.15789113</v>
      </c>
      <c r="N2215" s="66">
        <v>1.0526075333333333</v>
      </c>
      <c r="O2215" s="10">
        <f t="shared" si="494"/>
        <v>1.052607533</v>
      </c>
      <c r="Q2215" s="67">
        <v>0.0</v>
      </c>
      <c r="S2215" s="68">
        <v>0.028284255</v>
      </c>
      <c r="T2215" s="68">
        <v>0.025474018</v>
      </c>
      <c r="U2215" s="68">
        <v>0.0028102373</v>
      </c>
      <c r="V2215" s="68">
        <v>0.0</v>
      </c>
      <c r="X2215" s="69">
        <v>4.5951835E-5</v>
      </c>
    </row>
    <row r="2216" ht="12.75" customHeight="1">
      <c r="A2216" s="1" t="s">
        <v>2935</v>
      </c>
      <c r="B2216" s="62" t="s">
        <v>2905</v>
      </c>
      <c r="C2216" s="60" t="str">
        <f t="shared" si="492"/>
        <v>M.020.06.106</v>
      </c>
      <c r="D2216" s="51" t="s">
        <v>2929</v>
      </c>
      <c r="E2216" s="62" t="s">
        <v>45</v>
      </c>
      <c r="F2216" s="63" t="str">
        <f t="shared" si="493"/>
        <v>Banana, not packed NL</v>
      </c>
      <c r="G2216" s="64">
        <v>0.063221699676308</v>
      </c>
      <c r="H2216" s="10">
        <f t="shared" si="481"/>
        <v>0.06322169968</v>
      </c>
      <c r="I2216" s="65">
        <v>1.7550818E-8</v>
      </c>
      <c r="J2216" s="65">
        <v>0.01768807252549</v>
      </c>
      <c r="K2216" s="65">
        <v>0.0065787046</v>
      </c>
      <c r="L2216" s="65">
        <v>0.038954905</v>
      </c>
      <c r="N2216" s="66">
        <v>0.25969936666666665</v>
      </c>
      <c r="O2216" s="10">
        <f t="shared" si="494"/>
        <v>0.2596993667</v>
      </c>
      <c r="Q2216" s="67">
        <v>0.0</v>
      </c>
      <c r="S2216" s="68">
        <v>0.0088600687</v>
      </c>
      <c r="T2216" s="68">
        <v>0.0082642779</v>
      </c>
      <c r="U2216" s="68">
        <v>5.9579073E-4</v>
      </c>
      <c r="V2216" s="68">
        <v>0.0</v>
      </c>
      <c r="X2216" s="69">
        <v>1.3176301E-5</v>
      </c>
    </row>
    <row r="2217" ht="12.75" customHeight="1">
      <c r="A2217" s="1" t="s">
        <v>2936</v>
      </c>
      <c r="B2217" s="62" t="s">
        <v>2905</v>
      </c>
      <c r="C2217" s="60" t="str">
        <f t="shared" si="492"/>
        <v>M.020.06.107</v>
      </c>
      <c r="D2217" s="51" t="s">
        <v>2929</v>
      </c>
      <c r="E2217" s="62" t="s">
        <v>45</v>
      </c>
      <c r="F2217" s="63" t="str">
        <f t="shared" si="493"/>
        <v>Coconut, milk in metal can (in aluminium) NL</v>
      </c>
      <c r="G2217" s="64">
        <v>0.31421384633754</v>
      </c>
      <c r="H2217" s="10">
        <f t="shared" si="481"/>
        <v>0.3142138463</v>
      </c>
      <c r="I2217" s="65">
        <v>2.9793394E-7</v>
      </c>
      <c r="J2217" s="65">
        <v>0.1397109855036</v>
      </c>
      <c r="K2217" s="65">
        <v>0.0074780729</v>
      </c>
      <c r="L2217" s="65">
        <v>0.16702449</v>
      </c>
      <c r="N2217" s="66">
        <v>1.1134966</v>
      </c>
      <c r="O2217" s="10">
        <f t="shared" si="494"/>
        <v>1.1134966</v>
      </c>
      <c r="Q2217" s="67">
        <v>0.0</v>
      </c>
      <c r="S2217" s="68">
        <v>0.038820796</v>
      </c>
      <c r="T2217" s="68">
        <v>0.026723237</v>
      </c>
      <c r="U2217" s="68">
        <v>0.012097559</v>
      </c>
      <c r="V2217" s="68">
        <v>0.0</v>
      </c>
      <c r="X2217" s="69">
        <v>8.9725596E-5</v>
      </c>
    </row>
    <row r="2218" ht="12.75" customHeight="1">
      <c r="A2218" s="1" t="s">
        <v>2937</v>
      </c>
      <c r="B2218" s="62" t="s">
        <v>2905</v>
      </c>
      <c r="C2218" s="60" t="str">
        <f t="shared" si="492"/>
        <v>M.020.06.108</v>
      </c>
      <c r="D2218" s="51" t="s">
        <v>2929</v>
      </c>
      <c r="E2218" s="62" t="s">
        <v>45</v>
      </c>
      <c r="F2218" s="63" t="str">
        <f t="shared" si="493"/>
        <v>Coconut, milk in multilayer carton per 1000 ml NL</v>
      </c>
      <c r="G2218" s="64">
        <v>0.25852681921541</v>
      </c>
      <c r="H2218" s="10">
        <f t="shared" si="481"/>
        <v>0.2585268192</v>
      </c>
      <c r="I2218" s="65">
        <v>2.5580731E-7</v>
      </c>
      <c r="J2218" s="65">
        <v>0.1260454078081</v>
      </c>
      <c r="K2218" s="65">
        <v>0.0015117756</v>
      </c>
      <c r="L2218" s="65">
        <v>0.13096938</v>
      </c>
      <c r="N2218" s="66">
        <v>0.8731292</v>
      </c>
      <c r="O2218" s="10">
        <f t="shared" si="494"/>
        <v>0.8731292</v>
      </c>
      <c r="Q2218" s="67">
        <v>0.0</v>
      </c>
      <c r="S2218" s="68">
        <v>0.031439464</v>
      </c>
      <c r="T2218" s="68">
        <v>0.019545608</v>
      </c>
      <c r="U2218" s="68">
        <v>0.011893855</v>
      </c>
      <c r="V2218" s="68">
        <v>0.0</v>
      </c>
      <c r="X2218" s="69">
        <v>7.7015131E-5</v>
      </c>
    </row>
    <row r="2219" ht="12.75" customHeight="1">
      <c r="A2219" s="1" t="s">
        <v>2938</v>
      </c>
      <c r="B2219" s="62" t="s">
        <v>2905</v>
      </c>
      <c r="C2219" s="60" t="str">
        <f t="shared" si="492"/>
        <v>M.020.06.109</v>
      </c>
      <c r="D2219" s="51" t="s">
        <v>2929</v>
      </c>
      <c r="E2219" s="62" t="s">
        <v>45</v>
      </c>
      <c r="F2219" s="63" t="str">
        <f t="shared" si="493"/>
        <v>Dates, dried in fruit bucket per 1 kg NL</v>
      </c>
      <c r="G2219" s="64">
        <v>0.99523820339416</v>
      </c>
      <c r="H2219" s="10">
        <f t="shared" si="481"/>
        <v>0.9952382034</v>
      </c>
      <c r="I2219" s="65">
        <v>1.7839676E-7</v>
      </c>
      <c r="J2219" s="65">
        <v>0.10759004499739999</v>
      </c>
      <c r="K2219" s="65">
        <v>0.69451858</v>
      </c>
      <c r="L2219" s="65">
        <v>0.1931294</v>
      </c>
      <c r="N2219" s="66">
        <v>1.2875293333333335</v>
      </c>
      <c r="O2219" s="10">
        <f t="shared" si="494"/>
        <v>1.287529333</v>
      </c>
      <c r="Q2219" s="67">
        <v>0.0</v>
      </c>
      <c r="S2219" s="68">
        <v>0.047798307</v>
      </c>
      <c r="T2219" s="68">
        <v>0.044432543</v>
      </c>
      <c r="U2219" s="68">
        <v>0.0033657641</v>
      </c>
      <c r="V2219" s="68">
        <v>0.0</v>
      </c>
      <c r="X2219" s="69">
        <v>7.5841508E-5</v>
      </c>
    </row>
    <row r="2220" ht="12.75" customHeight="1">
      <c r="A2220" s="1" t="s">
        <v>2939</v>
      </c>
      <c r="B2220" s="62" t="s">
        <v>2905</v>
      </c>
      <c r="C2220" s="60" t="str">
        <f t="shared" si="492"/>
        <v>M.020.06.110</v>
      </c>
      <c r="D2220" s="51" t="s">
        <v>2929</v>
      </c>
      <c r="E2220" s="62" t="s">
        <v>45</v>
      </c>
      <c r="F2220" s="63" t="str">
        <f t="shared" si="493"/>
        <v>Figs, dried in fruit bucket per 1 kg NL</v>
      </c>
      <c r="G2220" s="64">
        <v>0.79895474411166</v>
      </c>
      <c r="H2220" s="10">
        <f t="shared" si="481"/>
        <v>0.7989547441</v>
      </c>
      <c r="I2220" s="65">
        <v>2.9085966E-7</v>
      </c>
      <c r="J2220" s="65">
        <v>0.148062693252</v>
      </c>
      <c r="K2220" s="65">
        <v>0.36992882</v>
      </c>
      <c r="L2220" s="65">
        <v>0.28096294</v>
      </c>
      <c r="N2220" s="66">
        <v>1.8730862666666668</v>
      </c>
      <c r="O2220" s="10">
        <f t="shared" si="494"/>
        <v>1.873086267</v>
      </c>
      <c r="Q2220" s="67">
        <v>0.0</v>
      </c>
      <c r="S2220" s="68">
        <v>0.060445043</v>
      </c>
      <c r="T2220" s="68">
        <v>0.051885244</v>
      </c>
      <c r="U2220" s="68">
        <v>0.0085597986</v>
      </c>
      <c r="V2220" s="68">
        <v>0.0</v>
      </c>
      <c r="X2220" s="69">
        <v>1.1116769E-4</v>
      </c>
    </row>
    <row r="2221" ht="12.75" customHeight="1">
      <c r="A2221" s="1" t="s">
        <v>2940</v>
      </c>
      <c r="B2221" s="62" t="s">
        <v>2905</v>
      </c>
      <c r="C2221" s="60" t="str">
        <f t="shared" si="492"/>
        <v>M.020.06.111</v>
      </c>
      <c r="D2221" s="51" t="s">
        <v>2929</v>
      </c>
      <c r="E2221" s="62" t="s">
        <v>45</v>
      </c>
      <c r="F2221" s="63" t="str">
        <f t="shared" si="493"/>
        <v>Figs, fresh in fruit bucket per 1 kg NL</v>
      </c>
      <c r="G2221" s="64">
        <v>0.21578734053935503</v>
      </c>
      <c r="H2221" s="10">
        <f t="shared" si="481"/>
        <v>0.2157873405</v>
      </c>
      <c r="I2221" s="65">
        <v>7.9537555E-8</v>
      </c>
      <c r="J2221" s="65">
        <v>0.0432475990018</v>
      </c>
      <c r="K2221" s="65">
        <v>0.089903116</v>
      </c>
      <c r="L2221" s="65">
        <v>0.082636546</v>
      </c>
      <c r="N2221" s="66">
        <v>0.5509103066666667</v>
      </c>
      <c r="O2221" s="10">
        <f t="shared" si="494"/>
        <v>0.5509103067</v>
      </c>
      <c r="Q2221" s="67">
        <v>0.0</v>
      </c>
      <c r="S2221" s="68">
        <v>0.018354774</v>
      </c>
      <c r="T2221" s="68">
        <v>0.016187787</v>
      </c>
      <c r="U2221" s="68">
        <v>0.002166987</v>
      </c>
      <c r="V2221" s="68">
        <v>0.0</v>
      </c>
      <c r="X2221" s="69">
        <v>3.2151449E-5</v>
      </c>
    </row>
    <row r="2222" ht="12.75" customHeight="1">
      <c r="A2222" s="1" t="s">
        <v>2941</v>
      </c>
      <c r="B2222" s="62" t="s">
        <v>2905</v>
      </c>
      <c r="C2222" s="60" t="str">
        <f t="shared" si="492"/>
        <v>M.020.06.112</v>
      </c>
      <c r="D2222" s="51" t="s">
        <v>2929</v>
      </c>
      <c r="E2222" s="62" t="s">
        <v>45</v>
      </c>
      <c r="F2222" s="63" t="str">
        <f t="shared" si="493"/>
        <v>Fruit snack Knijpfruit/Slurpfruit, in aluminium foil laminated paper per 250 gram NL</v>
      </c>
      <c r="G2222" s="64">
        <v>0.18093177911366998</v>
      </c>
      <c r="H2222" s="10">
        <f t="shared" si="481"/>
        <v>0.1809317791</v>
      </c>
      <c r="I2222" s="65">
        <v>1.6278377E-7</v>
      </c>
      <c r="J2222" s="65">
        <v>0.0396023103299</v>
      </c>
      <c r="K2222" s="65">
        <v>0.024691826</v>
      </c>
      <c r="L2222" s="65">
        <v>0.11663748</v>
      </c>
      <c r="N2222" s="66">
        <v>0.7775832</v>
      </c>
      <c r="O2222" s="10">
        <f t="shared" si="494"/>
        <v>0.7775832</v>
      </c>
      <c r="Q2222" s="67">
        <v>0.0</v>
      </c>
      <c r="S2222" s="68">
        <v>0.020549964</v>
      </c>
      <c r="T2222" s="68">
        <v>0.019040222</v>
      </c>
      <c r="U2222" s="68">
        <v>0.0015097422</v>
      </c>
      <c r="V2222" s="68">
        <v>0.0</v>
      </c>
      <c r="X2222" s="69">
        <v>4.1624921E-5</v>
      </c>
    </row>
    <row r="2223" ht="12.75" customHeight="1">
      <c r="A2223" s="1" t="s">
        <v>2942</v>
      </c>
      <c r="B2223" s="62" t="s">
        <v>2905</v>
      </c>
      <c r="C2223" s="60" t="str">
        <f t="shared" si="492"/>
        <v>M.020.06.113</v>
      </c>
      <c r="D2223" s="51" t="s">
        <v>2929</v>
      </c>
      <c r="E2223" s="62" t="s">
        <v>45</v>
      </c>
      <c r="F2223" s="63" t="str">
        <f t="shared" si="493"/>
        <v>Grapes w skin, in fruit bucket per 1 kg NL</v>
      </c>
      <c r="G2223" s="64">
        <v>0.082358964387204</v>
      </c>
      <c r="H2223" s="10">
        <f t="shared" si="481"/>
        <v>0.08235896439</v>
      </c>
      <c r="I2223" s="65">
        <v>3.8213974E-8</v>
      </c>
      <c r="J2223" s="65">
        <v>0.02540512417323</v>
      </c>
      <c r="K2223" s="65">
        <v>0.013259663</v>
      </c>
      <c r="L2223" s="65">
        <v>0.043694139</v>
      </c>
      <c r="N2223" s="66">
        <v>0.29129426</v>
      </c>
      <c r="O2223" s="10">
        <f t="shared" si="494"/>
        <v>0.29129426</v>
      </c>
      <c r="Q2223" s="67">
        <v>0.0</v>
      </c>
      <c r="S2223" s="68">
        <v>0.010822406</v>
      </c>
      <c r="T2223" s="68">
        <v>0.0098256489</v>
      </c>
      <c r="U2223" s="68">
        <v>9.9675747E-4</v>
      </c>
      <c r="V2223" s="68">
        <v>0.0</v>
      </c>
      <c r="X2223" s="69">
        <v>1.7427335E-5</v>
      </c>
    </row>
    <row r="2224" ht="12.75" customHeight="1">
      <c r="A2224" s="1" t="s">
        <v>2943</v>
      </c>
      <c r="B2224" s="62" t="s">
        <v>2905</v>
      </c>
      <c r="C2224" s="60" t="str">
        <f t="shared" si="492"/>
        <v>M.020.06.114</v>
      </c>
      <c r="D2224" s="51" t="s">
        <v>2929</v>
      </c>
      <c r="E2224" s="62" t="s">
        <v>45</v>
      </c>
      <c r="F2224" s="63" t="str">
        <f t="shared" si="493"/>
        <v>Kiwi, in fruit bucket per 1 kg NL</v>
      </c>
      <c r="G2224" s="64">
        <v>0.120841158434734</v>
      </c>
      <c r="H2224" s="10">
        <f t="shared" si="481"/>
        <v>0.1208411584</v>
      </c>
      <c r="I2224" s="65">
        <v>5.7835034E-8</v>
      </c>
      <c r="J2224" s="65">
        <v>0.0283388945997</v>
      </c>
      <c r="K2224" s="65">
        <v>0.042565841</v>
      </c>
      <c r="L2224" s="65">
        <v>0.049936365</v>
      </c>
      <c r="N2224" s="66">
        <v>0.3329091</v>
      </c>
      <c r="O2224" s="10">
        <f t="shared" si="494"/>
        <v>0.3329091</v>
      </c>
      <c r="Q2224" s="67">
        <v>0.0</v>
      </c>
      <c r="S2224" s="68">
        <v>0.012401171</v>
      </c>
      <c r="T2224" s="68">
        <v>0.011598712</v>
      </c>
      <c r="U2224" s="68">
        <v>8.0245936E-4</v>
      </c>
      <c r="V2224" s="68">
        <v>0.0</v>
      </c>
      <c r="X2224" s="69">
        <v>2.0354878E-5</v>
      </c>
    </row>
    <row r="2225" ht="12.75" customHeight="1">
      <c r="A2225" s="1" t="s">
        <v>2944</v>
      </c>
      <c r="B2225" s="62" t="s">
        <v>2905</v>
      </c>
      <c r="C2225" s="60" t="str">
        <f t="shared" si="492"/>
        <v>M.020.06.115</v>
      </c>
      <c r="D2225" s="51" t="s">
        <v>2929</v>
      </c>
      <c r="E2225" s="62" t="s">
        <v>45</v>
      </c>
      <c r="F2225" s="63" t="str">
        <f t="shared" si="493"/>
        <v>Lemon, in plastic net per 1 kg NL</v>
      </c>
      <c r="G2225" s="64">
        <v>0.086622550643564</v>
      </c>
      <c r="H2225" s="10">
        <f t="shared" si="481"/>
        <v>0.08662255064</v>
      </c>
      <c r="I2225" s="65">
        <v>2.9699234E-8</v>
      </c>
      <c r="J2225" s="65">
        <v>0.02143220294433</v>
      </c>
      <c r="K2225" s="65">
        <v>0.019203185</v>
      </c>
      <c r="L2225" s="65">
        <v>0.045987133</v>
      </c>
      <c r="N2225" s="66">
        <v>0.30658088666666666</v>
      </c>
      <c r="O2225" s="10">
        <f t="shared" si="494"/>
        <v>0.3065808867</v>
      </c>
      <c r="Q2225" s="67">
        <v>0.0</v>
      </c>
      <c r="S2225" s="68">
        <v>0.010254042</v>
      </c>
      <c r="T2225" s="68">
        <v>0.009421738</v>
      </c>
      <c r="U2225" s="68">
        <v>8.3230355E-4</v>
      </c>
      <c r="V2225" s="68">
        <v>0.0</v>
      </c>
      <c r="X2225" s="69">
        <v>1.6240019E-5</v>
      </c>
    </row>
    <row r="2226" ht="12.75" customHeight="1">
      <c r="A2226" s="1" t="s">
        <v>2945</v>
      </c>
      <c r="B2226" s="62" t="s">
        <v>2905</v>
      </c>
      <c r="C2226" s="60" t="str">
        <f t="shared" si="492"/>
        <v>M.020.06.116</v>
      </c>
      <c r="D2226" s="51" t="s">
        <v>2929</v>
      </c>
      <c r="E2226" s="62" t="s">
        <v>45</v>
      </c>
      <c r="F2226" s="63" t="str">
        <f t="shared" si="493"/>
        <v>Manderins, in plastic net per 1 kg NL</v>
      </c>
      <c r="G2226" s="64">
        <v>0.129583659677481</v>
      </c>
      <c r="H2226" s="10">
        <f t="shared" si="481"/>
        <v>0.1295836597</v>
      </c>
      <c r="I2226" s="65">
        <v>5.4121581E-8</v>
      </c>
      <c r="J2226" s="65">
        <v>0.024567882555900002</v>
      </c>
      <c r="K2226" s="65">
        <v>0.052304489</v>
      </c>
      <c r="L2226" s="65">
        <v>0.052711234</v>
      </c>
      <c r="N2226" s="66">
        <v>0.3514082266666667</v>
      </c>
      <c r="O2226" s="10">
        <f t="shared" si="494"/>
        <v>0.3514082267</v>
      </c>
      <c r="Q2226" s="67">
        <v>0.0</v>
      </c>
      <c r="S2226" s="68">
        <v>0.011464916</v>
      </c>
      <c r="T2226" s="68">
        <v>0.01057785</v>
      </c>
      <c r="U2226" s="68">
        <v>8.8706582E-4</v>
      </c>
      <c r="V2226" s="68">
        <v>0.0</v>
      </c>
      <c r="X2226" s="69">
        <v>1.966887E-5</v>
      </c>
    </row>
    <row r="2227" ht="12.75" customHeight="1">
      <c r="A2227" s="1" t="s">
        <v>2946</v>
      </c>
      <c r="B2227" s="62" t="s">
        <v>2905</v>
      </c>
      <c r="C2227" s="60" t="str">
        <f t="shared" si="492"/>
        <v>M.020.06.117</v>
      </c>
      <c r="D2227" s="51" t="s">
        <v>2929</v>
      </c>
      <c r="E2227" s="62" t="s">
        <v>45</v>
      </c>
      <c r="F2227" s="63" t="str">
        <f t="shared" si="493"/>
        <v>Mango, not packed NL</v>
      </c>
      <c r="G2227" s="64">
        <v>0.21918227859521</v>
      </c>
      <c r="H2227" s="10">
        <f t="shared" si="481"/>
        <v>0.2191822786</v>
      </c>
      <c r="I2227" s="65">
        <v>7.119541E-8</v>
      </c>
      <c r="J2227" s="65">
        <v>0.0373060633998</v>
      </c>
      <c r="K2227" s="65">
        <v>0.050523514</v>
      </c>
      <c r="L2227" s="65">
        <v>0.13135263</v>
      </c>
      <c r="N2227" s="66">
        <v>0.8756842</v>
      </c>
      <c r="O2227" s="10">
        <f t="shared" si="494"/>
        <v>0.8756842</v>
      </c>
      <c r="Q2227" s="67">
        <v>0.0</v>
      </c>
      <c r="S2227" s="68">
        <v>0.022472332</v>
      </c>
      <c r="T2227" s="68">
        <v>0.020418828</v>
      </c>
      <c r="U2227" s="68">
        <v>0.0020535032</v>
      </c>
      <c r="V2227" s="68">
        <v>0.0</v>
      </c>
      <c r="X2227" s="69">
        <v>3.8991933E-5</v>
      </c>
    </row>
    <row r="2228" ht="12.75" customHeight="1">
      <c r="A2228" s="1" t="s">
        <v>2947</v>
      </c>
      <c r="B2228" s="62" t="s">
        <v>2905</v>
      </c>
      <c r="C2228" s="60" t="str">
        <f t="shared" si="492"/>
        <v>M.020.06.118</v>
      </c>
      <c r="D2228" s="51" t="s">
        <v>2929</v>
      </c>
      <c r="E2228" s="62" t="s">
        <v>45</v>
      </c>
      <c r="F2228" s="63" t="str">
        <f t="shared" si="493"/>
        <v>Melon, honeydew, not packed NL</v>
      </c>
      <c r="G2228" s="64">
        <v>0.086211586730752</v>
      </c>
      <c r="H2228" s="10">
        <f t="shared" si="481"/>
        <v>0.08621158673</v>
      </c>
      <c r="I2228" s="65">
        <v>2.9302502E-8</v>
      </c>
      <c r="J2228" s="65">
        <v>0.02036406962825</v>
      </c>
      <c r="K2228" s="65">
        <v>0.0080102528</v>
      </c>
      <c r="L2228" s="65">
        <v>0.057837235</v>
      </c>
      <c r="N2228" s="66">
        <v>0.3855815666666667</v>
      </c>
      <c r="O2228" s="10">
        <f t="shared" si="494"/>
        <v>0.3855815667</v>
      </c>
      <c r="Q2228" s="67">
        <v>0.0</v>
      </c>
      <c r="S2228" s="68">
        <v>0.010948387</v>
      </c>
      <c r="T2228" s="68">
        <v>0.0098937339</v>
      </c>
      <c r="U2228" s="68">
        <v>0.001054653</v>
      </c>
      <c r="V2228" s="68">
        <v>0.0</v>
      </c>
      <c r="X2228" s="69">
        <v>1.8194366E-5</v>
      </c>
    </row>
    <row r="2229" ht="12.75" customHeight="1">
      <c r="A2229" s="1" t="s">
        <v>2948</v>
      </c>
      <c r="B2229" s="62" t="s">
        <v>2905</v>
      </c>
      <c r="C2229" s="60" t="str">
        <f t="shared" si="492"/>
        <v>M.020.06.119</v>
      </c>
      <c r="D2229" s="51" t="s">
        <v>2929</v>
      </c>
      <c r="E2229" s="62" t="s">
        <v>45</v>
      </c>
      <c r="F2229" s="63" t="str">
        <f t="shared" si="493"/>
        <v>Olives, in brine in food can NL</v>
      </c>
      <c r="G2229" s="64">
        <v>0.66938436123033</v>
      </c>
      <c r="H2229" s="10">
        <f t="shared" si="481"/>
        <v>0.6693843612</v>
      </c>
      <c r="I2229" s="65">
        <v>3.5073013E-7</v>
      </c>
      <c r="J2229" s="65">
        <v>0.1740638405002</v>
      </c>
      <c r="K2229" s="65">
        <v>0.20455028</v>
      </c>
      <c r="L2229" s="65">
        <v>0.29076989</v>
      </c>
      <c r="N2229" s="66">
        <v>1.9384659333333332</v>
      </c>
      <c r="O2229" s="10">
        <f t="shared" si="494"/>
        <v>1.938465933</v>
      </c>
      <c r="Q2229" s="67">
        <v>0.0</v>
      </c>
      <c r="S2229" s="68">
        <v>0.068738742</v>
      </c>
      <c r="T2229" s="68">
        <v>0.06022382</v>
      </c>
      <c r="U2229" s="68">
        <v>0.0085149219</v>
      </c>
      <c r="V2229" s="68">
        <v>0.0</v>
      </c>
      <c r="X2229" s="69">
        <v>1.2327724E-4</v>
      </c>
    </row>
    <row r="2230" ht="12.75" customHeight="1">
      <c r="A2230" s="1" t="s">
        <v>2949</v>
      </c>
      <c r="B2230" s="62" t="s">
        <v>2905</v>
      </c>
      <c r="C2230" s="60" t="str">
        <f t="shared" si="492"/>
        <v>M.020.06.120</v>
      </c>
      <c r="D2230" s="51" t="s">
        <v>2929</v>
      </c>
      <c r="E2230" s="62" t="s">
        <v>45</v>
      </c>
      <c r="F2230" s="63" t="str">
        <f t="shared" si="493"/>
        <v>Olives, in brine in glass jarper 720 ml NL</v>
      </c>
      <c r="G2230" s="64">
        <v>0.56236455667025</v>
      </c>
      <c r="H2230" s="10">
        <f t="shared" si="481"/>
        <v>0.5623645567</v>
      </c>
      <c r="I2230" s="65">
        <v>2.3858725E-7</v>
      </c>
      <c r="J2230" s="65">
        <v>0.153222158083</v>
      </c>
      <c r="K2230" s="65">
        <v>0.18663814</v>
      </c>
      <c r="L2230" s="65">
        <v>0.22250402</v>
      </c>
      <c r="N2230" s="66">
        <v>1.4833601333333333</v>
      </c>
      <c r="O2230" s="10">
        <f t="shared" si="494"/>
        <v>1.483360133</v>
      </c>
      <c r="Q2230" s="67">
        <v>0.0</v>
      </c>
      <c r="S2230" s="68">
        <v>0.057146984</v>
      </c>
      <c r="T2230" s="68">
        <v>0.049111699</v>
      </c>
      <c r="U2230" s="68">
        <v>0.0080352853</v>
      </c>
      <c r="V2230" s="68">
        <v>0.0</v>
      </c>
      <c r="X2230" s="69">
        <v>9.8806534E-5</v>
      </c>
    </row>
    <row r="2231" ht="12.75" customHeight="1">
      <c r="A2231" s="1" t="s">
        <v>2950</v>
      </c>
      <c r="B2231" s="62" t="s">
        <v>2905</v>
      </c>
      <c r="C2231" s="60" t="str">
        <f t="shared" si="492"/>
        <v>M.020.06.121</v>
      </c>
      <c r="D2231" s="51" t="s">
        <v>2929</v>
      </c>
      <c r="E2231" s="62" t="s">
        <v>45</v>
      </c>
      <c r="F2231" s="63" t="str">
        <f t="shared" si="493"/>
        <v>Orange, in plastic net per 1 kg NL</v>
      </c>
      <c r="G2231" s="64">
        <v>0.131786071684031</v>
      </c>
      <c r="H2231" s="10">
        <f t="shared" si="481"/>
        <v>0.1317860717</v>
      </c>
      <c r="I2231" s="65">
        <v>4.2686131E-8</v>
      </c>
      <c r="J2231" s="65">
        <v>0.023548211997899998</v>
      </c>
      <c r="K2231" s="65">
        <v>0.061776021</v>
      </c>
      <c r="L2231" s="65">
        <v>0.046461796</v>
      </c>
      <c r="N2231" s="66">
        <v>0.30974530666666666</v>
      </c>
      <c r="O2231" s="10">
        <f t="shared" si="494"/>
        <v>0.3097453067</v>
      </c>
      <c r="Q2231" s="67">
        <v>0.0</v>
      </c>
      <c r="S2231" s="68">
        <v>0.010876731</v>
      </c>
      <c r="T2231" s="68">
        <v>0.010139787</v>
      </c>
      <c r="U2231" s="68">
        <v>7.3694479E-4</v>
      </c>
      <c r="V2231" s="68">
        <v>0.0</v>
      </c>
      <c r="X2231" s="69">
        <v>1.7566131E-5</v>
      </c>
    </row>
    <row r="2232" ht="12.75" customHeight="1">
      <c r="A2232" s="1" t="s">
        <v>2951</v>
      </c>
      <c r="B2232" s="62" t="s">
        <v>2905</v>
      </c>
      <c r="C2232" s="60" t="str">
        <f t="shared" si="492"/>
        <v>M.020.06.122</v>
      </c>
      <c r="D2232" s="51" t="s">
        <v>2929</v>
      </c>
      <c r="E2232" s="62" t="s">
        <v>45</v>
      </c>
      <c r="F2232" s="63" t="str">
        <f t="shared" si="493"/>
        <v>Peach, w skin in fruit bucket per 1 kg NL</v>
      </c>
      <c r="G2232" s="64">
        <v>0.13197672050995</v>
      </c>
      <c r="H2232" s="10">
        <f t="shared" si="481"/>
        <v>0.1319767205</v>
      </c>
      <c r="I2232" s="65">
        <v>4.253415E-8</v>
      </c>
      <c r="J2232" s="65">
        <v>0.0207137489758</v>
      </c>
      <c r="K2232" s="65">
        <v>0.069583561</v>
      </c>
      <c r="L2232" s="65">
        <v>0.041679368</v>
      </c>
      <c r="N2232" s="66">
        <v>0.27786245333333337</v>
      </c>
      <c r="O2232" s="10">
        <f t="shared" si="494"/>
        <v>0.2778624533</v>
      </c>
      <c r="Q2232" s="67">
        <v>0.0</v>
      </c>
      <c r="S2232" s="68">
        <v>0.0092808839</v>
      </c>
      <c r="T2232" s="68">
        <v>0.0084537057</v>
      </c>
      <c r="U2232" s="68">
        <v>8.2717828E-4</v>
      </c>
      <c r="V2232" s="68">
        <v>0.0</v>
      </c>
      <c r="X2232" s="69">
        <v>1.5940228E-5</v>
      </c>
    </row>
    <row r="2233" ht="12.75" customHeight="1">
      <c r="A2233" s="1" t="s">
        <v>2952</v>
      </c>
      <c r="B2233" s="62" t="s">
        <v>2905</v>
      </c>
      <c r="C2233" s="60" t="str">
        <f t="shared" si="492"/>
        <v>M.020.06.123</v>
      </c>
      <c r="D2233" s="51" t="s">
        <v>2929</v>
      </c>
      <c r="E2233" s="62" t="s">
        <v>45</v>
      </c>
      <c r="F2233" s="63" t="str">
        <f t="shared" si="493"/>
        <v>Pineapple in fruit bucket per 1 kg NL</v>
      </c>
      <c r="G2233" s="64">
        <v>0.050176681268725</v>
      </c>
      <c r="H2233" s="10">
        <f t="shared" si="481"/>
        <v>0.05017668127</v>
      </c>
      <c r="I2233" s="65">
        <v>2.4094175E-8</v>
      </c>
      <c r="J2233" s="65">
        <v>0.014192884474550001</v>
      </c>
      <c r="K2233" s="65">
        <v>0.0030219367</v>
      </c>
      <c r="L2233" s="65">
        <v>0.032961836</v>
      </c>
      <c r="N2233" s="66">
        <v>0.21974557333333336</v>
      </c>
      <c r="O2233" s="10">
        <f t="shared" si="494"/>
        <v>0.2197455733</v>
      </c>
      <c r="Q2233" s="67">
        <v>0.0</v>
      </c>
      <c r="S2233" s="68">
        <v>0.0072384544</v>
      </c>
      <c r="T2233" s="68">
        <v>0.0068412975</v>
      </c>
      <c r="U2233" s="68">
        <v>3.9715694E-4</v>
      </c>
      <c r="V2233" s="68">
        <v>0.0</v>
      </c>
      <c r="X2233" s="69">
        <v>1.1392496E-5</v>
      </c>
    </row>
    <row r="2234" ht="12.75" customHeight="1">
      <c r="A2234" s="1" t="s">
        <v>2953</v>
      </c>
      <c r="B2234" s="62" t="s">
        <v>2905</v>
      </c>
      <c r="C2234" s="60" t="str">
        <f t="shared" si="492"/>
        <v>M.020.06.124</v>
      </c>
      <c r="D2234" s="51" t="s">
        <v>2929</v>
      </c>
      <c r="E2234" s="62" t="s">
        <v>45</v>
      </c>
      <c r="F2234" s="63" t="str">
        <f t="shared" si="493"/>
        <v>Strawberries in fruit bucket per 1 kg NL</v>
      </c>
      <c r="G2234" s="64">
        <v>0.498196938435287</v>
      </c>
      <c r="H2234" s="10">
        <f t="shared" si="481"/>
        <v>0.4981969384</v>
      </c>
      <c r="I2234" s="65">
        <v>9.7657987E-8</v>
      </c>
      <c r="J2234" s="65">
        <v>0.0432544947773</v>
      </c>
      <c r="K2234" s="65">
        <v>0.016820716</v>
      </c>
      <c r="L2234" s="65">
        <v>0.43812163</v>
      </c>
      <c r="N2234" s="66">
        <v>2.920810866666667</v>
      </c>
      <c r="O2234" s="10">
        <f t="shared" si="494"/>
        <v>2.920810867</v>
      </c>
      <c r="Q2234" s="67">
        <v>0.0</v>
      </c>
      <c r="S2234" s="68">
        <v>0.058278398</v>
      </c>
      <c r="T2234" s="68">
        <v>0.055455836</v>
      </c>
      <c r="U2234" s="68">
        <v>0.0028225613</v>
      </c>
      <c r="V2234" s="68">
        <v>0.0</v>
      </c>
      <c r="X2234" s="69">
        <v>9.8753862E-5</v>
      </c>
    </row>
    <row r="2235" ht="12.75" customHeight="1">
      <c r="B2235" s="62"/>
      <c r="C2235" s="60"/>
      <c r="D2235" s="75" t="s">
        <v>2954</v>
      </c>
      <c r="E2235" s="62"/>
      <c r="G2235" s="10"/>
      <c r="H2235" s="10" t="str">
        <f t="shared" si="481"/>
        <v/>
      </c>
      <c r="I2235" s="10"/>
      <c r="J2235" s="10"/>
      <c r="K2235" s="10"/>
      <c r="L2235" s="10"/>
      <c r="N2235" s="10"/>
      <c r="O2235" s="10"/>
      <c r="Q2235" s="67"/>
    </row>
    <row r="2236" ht="12.75" customHeight="1">
      <c r="A2236" s="1" t="s">
        <v>2955</v>
      </c>
      <c r="B2236" s="62" t="s">
        <v>2905</v>
      </c>
      <c r="C2236" s="60" t="str">
        <f t="shared" ref="C2236:C2245" si="495">MID(A2236,1,12)</f>
        <v>M.020.07.101</v>
      </c>
      <c r="D2236" s="51" t="s">
        <v>2954</v>
      </c>
      <c r="E2236" s="62" t="s">
        <v>45</v>
      </c>
      <c r="F2236" s="63" t="str">
        <f t="shared" ref="F2236:F2245" si="496">MID(A2236, 21,85)</f>
        <v>Biscuit, sweet in plastic foil per 500 gram NL</v>
      </c>
      <c r="G2236" s="64">
        <v>0.40418492807652007</v>
      </c>
      <c r="H2236" s="10">
        <f t="shared" si="481"/>
        <v>0.4041849281</v>
      </c>
      <c r="I2236" s="65">
        <v>2.2356612E-7</v>
      </c>
      <c r="J2236" s="65">
        <v>0.1087200812104</v>
      </c>
      <c r="K2236" s="65">
        <v>0.0035097433</v>
      </c>
      <c r="L2236" s="65">
        <v>0.29195488</v>
      </c>
      <c r="N2236" s="66">
        <v>1.946365866666667</v>
      </c>
      <c r="O2236" s="10">
        <f t="shared" ref="O2236:O2245" si="497">N2236</f>
        <v>1.946365867</v>
      </c>
      <c r="Q2236" s="67">
        <v>0.0</v>
      </c>
      <c r="S2236" s="68">
        <v>0.056909848</v>
      </c>
      <c r="T2236" s="68">
        <v>0.05237621</v>
      </c>
      <c r="U2236" s="68">
        <v>0.0045336384</v>
      </c>
      <c r="V2236" s="68">
        <v>0.0</v>
      </c>
      <c r="X2236" s="69">
        <v>9.7217027E-5</v>
      </c>
    </row>
    <row r="2237" ht="12.75" customHeight="1">
      <c r="A2237" s="1" t="s">
        <v>2956</v>
      </c>
      <c r="B2237" s="62" t="s">
        <v>2905</v>
      </c>
      <c r="C2237" s="60" t="str">
        <f t="shared" si="495"/>
        <v>M.020.07.102</v>
      </c>
      <c r="D2237" s="51" t="s">
        <v>2954</v>
      </c>
      <c r="E2237" s="62" t="s">
        <v>45</v>
      </c>
      <c r="F2237" s="63" t="str">
        <f t="shared" si="496"/>
        <v>Appel pie Dutch w shortbread w butter, in cardboard box NL</v>
      </c>
      <c r="G2237" s="64">
        <v>0.50221774567896</v>
      </c>
      <c r="H2237" s="10">
        <f t="shared" si="481"/>
        <v>0.5022177457</v>
      </c>
      <c r="I2237" s="65">
        <v>2.0951776E-7</v>
      </c>
      <c r="J2237" s="65">
        <v>0.12190742416120001</v>
      </c>
      <c r="K2237" s="65">
        <v>0.015146932</v>
      </c>
      <c r="L2237" s="65">
        <v>0.36516318</v>
      </c>
      <c r="N2237" s="66">
        <v>2.4344212</v>
      </c>
      <c r="O2237" s="10">
        <f t="shared" si="497"/>
        <v>2.4344212</v>
      </c>
      <c r="Q2237" s="67">
        <v>0.0</v>
      </c>
      <c r="S2237" s="68">
        <v>0.069952882</v>
      </c>
      <c r="T2237" s="68">
        <v>0.065463177</v>
      </c>
      <c r="U2237" s="68">
        <v>0.0044897052</v>
      </c>
      <c r="V2237" s="68">
        <v>0.0</v>
      </c>
      <c r="X2237" s="69">
        <v>1.1350718E-4</v>
      </c>
    </row>
    <row r="2238" ht="12.75" customHeight="1">
      <c r="A2238" s="1" t="s">
        <v>2957</v>
      </c>
      <c r="B2238" s="62" t="s">
        <v>2905</v>
      </c>
      <c r="C2238" s="60" t="str">
        <f t="shared" si="495"/>
        <v>M.020.07.103</v>
      </c>
      <c r="D2238" s="51" t="s">
        <v>2954</v>
      </c>
      <c r="E2238" s="62" t="s">
        <v>45</v>
      </c>
      <c r="F2238" s="63" t="str">
        <f t="shared" si="496"/>
        <v>Apple pie Dutch w shortbread w margarine, in cardboard box NL</v>
      </c>
      <c r="G2238" s="64">
        <v>0.32944088427284</v>
      </c>
      <c r="H2238" s="10">
        <f t="shared" si="481"/>
        <v>0.3294408843</v>
      </c>
      <c r="I2238" s="65">
        <v>1.8486504E-7</v>
      </c>
      <c r="J2238" s="65">
        <v>0.08938311840780001</v>
      </c>
      <c r="K2238" s="65">
        <v>0.012146991</v>
      </c>
      <c r="L2238" s="65">
        <v>0.22791059</v>
      </c>
      <c r="N2238" s="66">
        <v>1.5194039333333333</v>
      </c>
      <c r="O2238" s="10">
        <f t="shared" si="497"/>
        <v>1.519403933</v>
      </c>
      <c r="Q2238" s="67">
        <v>0.0</v>
      </c>
      <c r="S2238" s="68">
        <v>0.04516033</v>
      </c>
      <c r="T2238" s="68">
        <v>0.041307675</v>
      </c>
      <c r="U2238" s="68">
        <v>0.003852655</v>
      </c>
      <c r="V2238" s="68">
        <v>0.0</v>
      </c>
      <c r="X2238" s="69">
        <v>7.7805111E-5</v>
      </c>
    </row>
    <row r="2239" ht="12.75" customHeight="1">
      <c r="A2239" s="1" t="s">
        <v>2958</v>
      </c>
      <c r="B2239" s="62" t="s">
        <v>2905</v>
      </c>
      <c r="C2239" s="60" t="str">
        <f t="shared" si="495"/>
        <v>M.020.07.104</v>
      </c>
      <c r="D2239" s="51" t="s">
        <v>2954</v>
      </c>
      <c r="E2239" s="62" t="s">
        <v>45</v>
      </c>
      <c r="F2239" s="63" t="str">
        <f t="shared" si="496"/>
        <v>Biscuit, brown/wholemeal in plastic foil per 500 gram NL</v>
      </c>
      <c r="G2239" s="64">
        <v>0.43538561380315</v>
      </c>
      <c r="H2239" s="10">
        <f t="shared" si="481"/>
        <v>0.4353856138</v>
      </c>
      <c r="I2239" s="65">
        <v>2.5254285E-7</v>
      </c>
      <c r="J2239" s="65">
        <v>0.11291190686029999</v>
      </c>
      <c r="K2239" s="65">
        <v>0.0035234644</v>
      </c>
      <c r="L2239" s="65">
        <v>0.31894999</v>
      </c>
      <c r="N2239" s="66">
        <v>2.1263332666666668</v>
      </c>
      <c r="O2239" s="10">
        <f t="shared" si="497"/>
        <v>2.126333267</v>
      </c>
      <c r="Q2239" s="67">
        <v>0.0</v>
      </c>
      <c r="S2239" s="68">
        <v>0.060274927</v>
      </c>
      <c r="T2239" s="68">
        <v>0.055403248</v>
      </c>
      <c r="U2239" s="68">
        <v>0.004871679</v>
      </c>
      <c r="V2239" s="68">
        <v>0.0</v>
      </c>
      <c r="X2239" s="69">
        <v>1.0501957E-4</v>
      </c>
    </row>
    <row r="2240" ht="12.75" customHeight="1">
      <c r="A2240" s="1" t="s">
        <v>2959</v>
      </c>
      <c r="B2240" s="62" t="s">
        <v>2905</v>
      </c>
      <c r="C2240" s="60" t="str">
        <f t="shared" si="495"/>
        <v>M.020.07.105</v>
      </c>
      <c r="D2240" s="51" t="s">
        <v>2954</v>
      </c>
      <c r="E2240" s="62" t="s">
        <v>45</v>
      </c>
      <c r="F2240" s="63" t="str">
        <f t="shared" si="496"/>
        <v>Biscuit, fruit in plastic foil per 500 gram NL</v>
      </c>
      <c r="G2240" s="64">
        <v>0.44965573173631</v>
      </c>
      <c r="H2240" s="10">
        <f t="shared" si="481"/>
        <v>0.4496557317</v>
      </c>
      <c r="I2240" s="65">
        <v>2.1273691E-7</v>
      </c>
      <c r="J2240" s="65">
        <v>0.1413313869994</v>
      </c>
      <c r="K2240" s="65">
        <v>0.016242522</v>
      </c>
      <c r="L2240" s="65">
        <v>0.29208161</v>
      </c>
      <c r="N2240" s="66">
        <v>1.9472107333333333</v>
      </c>
      <c r="O2240" s="10">
        <f t="shared" si="497"/>
        <v>1.947210733</v>
      </c>
      <c r="Q2240" s="67">
        <v>0.0</v>
      </c>
      <c r="S2240" s="68">
        <v>0.064517822</v>
      </c>
      <c r="T2240" s="68">
        <v>0.058098587</v>
      </c>
      <c r="U2240" s="68">
        <v>0.006419235</v>
      </c>
      <c r="V2240" s="68">
        <v>0.0</v>
      </c>
      <c r="X2240" s="69">
        <v>1.0631721E-4</v>
      </c>
    </row>
    <row r="2241" ht="12.75" customHeight="1">
      <c r="A2241" s="1" t="s">
        <v>2960</v>
      </c>
      <c r="B2241" s="62" t="s">
        <v>2905</v>
      </c>
      <c r="C2241" s="60" t="str">
        <f t="shared" si="495"/>
        <v>M.020.07.106</v>
      </c>
      <c r="D2241" s="51" t="s">
        <v>2954</v>
      </c>
      <c r="E2241" s="62" t="s">
        <v>45</v>
      </c>
      <c r="F2241" s="63" t="str">
        <f t="shared" si="496"/>
        <v>Biscuits, in plastic foil per 500 gram NL</v>
      </c>
      <c r="G2241" s="64">
        <v>0.40431165807652003</v>
      </c>
      <c r="H2241" s="10">
        <f t="shared" si="481"/>
        <v>0.4043116581</v>
      </c>
      <c r="I2241" s="65">
        <v>2.2356612E-7</v>
      </c>
      <c r="J2241" s="65">
        <v>0.1087200812104</v>
      </c>
      <c r="K2241" s="65">
        <v>0.0035097433</v>
      </c>
      <c r="L2241" s="65">
        <v>0.29208161</v>
      </c>
      <c r="N2241" s="66">
        <v>1.9472107333333333</v>
      </c>
      <c r="O2241" s="10">
        <f t="shared" si="497"/>
        <v>1.947210733</v>
      </c>
      <c r="Q2241" s="67">
        <v>0.0</v>
      </c>
      <c r="S2241" s="68">
        <v>0.056923566</v>
      </c>
      <c r="T2241" s="68">
        <v>0.052389288</v>
      </c>
      <c r="U2241" s="68">
        <v>0.0045342781</v>
      </c>
      <c r="V2241" s="68">
        <v>0.0</v>
      </c>
      <c r="X2241" s="69">
        <v>9.7240584E-5</v>
      </c>
    </row>
    <row r="2242" ht="12.75" customHeight="1">
      <c r="A2242" s="1" t="s">
        <v>2961</v>
      </c>
      <c r="B2242" s="62" t="s">
        <v>2905</v>
      </c>
      <c r="C2242" s="60" t="str">
        <f t="shared" si="495"/>
        <v>M.020.07.107</v>
      </c>
      <c r="D2242" s="51" t="s">
        <v>2954</v>
      </c>
      <c r="E2242" s="62" t="s">
        <v>45</v>
      </c>
      <c r="F2242" s="63" t="str">
        <f t="shared" si="496"/>
        <v>Biscuit spiced Speculaas, in plastic foil per 500 gram NL</v>
      </c>
      <c r="G2242" s="64">
        <v>0.40418492807652007</v>
      </c>
      <c r="H2242" s="10">
        <f t="shared" si="481"/>
        <v>0.4041849281</v>
      </c>
      <c r="I2242" s="65">
        <v>2.2356612E-7</v>
      </c>
      <c r="J2242" s="65">
        <v>0.1087200812104</v>
      </c>
      <c r="K2242" s="65">
        <v>0.0035097433</v>
      </c>
      <c r="L2242" s="65">
        <v>0.29195488</v>
      </c>
      <c r="N2242" s="66">
        <v>1.946365866666667</v>
      </c>
      <c r="O2242" s="10">
        <f t="shared" si="497"/>
        <v>1.946365867</v>
      </c>
      <c r="Q2242" s="67">
        <v>0.0</v>
      </c>
      <c r="S2242" s="68">
        <v>0.056909848</v>
      </c>
      <c r="T2242" s="68">
        <v>0.05237621</v>
      </c>
      <c r="U2242" s="68">
        <v>0.0045336384</v>
      </c>
      <c r="V2242" s="68">
        <v>0.0</v>
      </c>
      <c r="X2242" s="69">
        <v>9.7217027E-5</v>
      </c>
    </row>
    <row r="2243" ht="12.75" customHeight="1">
      <c r="A2243" s="1" t="s">
        <v>2962</v>
      </c>
      <c r="B2243" s="62" t="s">
        <v>2905</v>
      </c>
      <c r="C2243" s="60" t="str">
        <f t="shared" si="495"/>
        <v>M.020.07.108</v>
      </c>
      <c r="D2243" s="51" t="s">
        <v>2954</v>
      </c>
      <c r="E2243" s="62" t="s">
        <v>45</v>
      </c>
      <c r="F2243" s="63" t="str">
        <f t="shared" si="496"/>
        <v>Cake, w butter in plastic foil per 500 gram NL</v>
      </c>
      <c r="G2243" s="64">
        <v>0.8805839260659301</v>
      </c>
      <c r="H2243" s="10">
        <f t="shared" si="481"/>
        <v>0.8805839261</v>
      </c>
      <c r="I2243" s="65">
        <v>2.5806113E-7</v>
      </c>
      <c r="J2243" s="65">
        <v>0.2458694220048</v>
      </c>
      <c r="K2243" s="65">
        <v>0.022455576</v>
      </c>
      <c r="L2243" s="65">
        <v>0.61225867</v>
      </c>
      <c r="N2243" s="66">
        <v>4.0817244666666666</v>
      </c>
      <c r="O2243" s="10">
        <f t="shared" si="497"/>
        <v>4.081724467</v>
      </c>
      <c r="Q2243" s="67">
        <v>0.0</v>
      </c>
      <c r="S2243" s="68">
        <v>0.13047146</v>
      </c>
      <c r="T2243" s="68">
        <v>0.12178894</v>
      </c>
      <c r="U2243" s="68">
        <v>0.0086825181</v>
      </c>
      <c r="V2243" s="68">
        <v>0.0</v>
      </c>
      <c r="X2243" s="69">
        <v>1.9708636E-4</v>
      </c>
    </row>
    <row r="2244" ht="12.75" customHeight="1">
      <c r="A2244" s="1" t="s">
        <v>2963</v>
      </c>
      <c r="B2244" s="62" t="s">
        <v>2905</v>
      </c>
      <c r="C2244" s="60" t="str">
        <f t="shared" si="495"/>
        <v>M.020.07.109</v>
      </c>
      <c r="D2244" s="51" t="s">
        <v>2954</v>
      </c>
      <c r="E2244" s="62" t="s">
        <v>45</v>
      </c>
      <c r="F2244" s="63" t="str">
        <f t="shared" si="496"/>
        <v>Cake, wo butter in plastic foil per 500 gram NL</v>
      </c>
      <c r="G2244" s="64">
        <v>0.52054726391478</v>
      </c>
      <c r="H2244" s="10">
        <f t="shared" si="481"/>
        <v>0.5205472639</v>
      </c>
      <c r="I2244" s="65">
        <v>2.3055458E-7</v>
      </c>
      <c r="J2244" s="65">
        <v>0.1753012903602</v>
      </c>
      <c r="K2244" s="65">
        <v>0.016915423</v>
      </c>
      <c r="L2244" s="65">
        <v>0.32833032</v>
      </c>
      <c r="N2244" s="66">
        <v>2.1888688000000003</v>
      </c>
      <c r="O2244" s="10">
        <f t="shared" si="497"/>
        <v>2.1888688</v>
      </c>
      <c r="Q2244" s="67">
        <v>0.0</v>
      </c>
      <c r="S2244" s="68">
        <v>0.077598392</v>
      </c>
      <c r="T2244" s="68">
        <v>0.070183246</v>
      </c>
      <c r="U2244" s="68">
        <v>0.0074151461</v>
      </c>
      <c r="V2244" s="68">
        <v>0.0</v>
      </c>
      <c r="X2244" s="69">
        <v>1.2361738E-4</v>
      </c>
    </row>
    <row r="2245" ht="12.75" customHeight="1">
      <c r="A2245" s="1" t="s">
        <v>2964</v>
      </c>
      <c r="B2245" s="62" t="s">
        <v>2905</v>
      </c>
      <c r="C2245" s="60" t="str">
        <f t="shared" si="495"/>
        <v>M.020.07.110</v>
      </c>
      <c r="D2245" s="51" t="s">
        <v>2954</v>
      </c>
      <c r="E2245" s="62" t="s">
        <v>45</v>
      </c>
      <c r="F2245" s="63" t="str">
        <f t="shared" si="496"/>
        <v>Waffle, syrup in plastic foil per 500 gram NL</v>
      </c>
      <c r="G2245" s="64">
        <v>0.55582578746002</v>
      </c>
      <c r="H2245" s="10">
        <f t="shared" si="481"/>
        <v>0.5558257875</v>
      </c>
      <c r="I2245" s="65">
        <v>1.9185542E-7</v>
      </c>
      <c r="J2245" s="65">
        <v>0.1439375406046</v>
      </c>
      <c r="K2245" s="65">
        <v>0.013218985</v>
      </c>
      <c r="L2245" s="65">
        <v>0.39866907</v>
      </c>
      <c r="N2245" s="66">
        <v>2.6577938000000003</v>
      </c>
      <c r="O2245" s="10">
        <f t="shared" si="497"/>
        <v>2.6577938</v>
      </c>
      <c r="Q2245" s="67">
        <v>0.0</v>
      </c>
      <c r="S2245" s="68">
        <v>0.079363936</v>
      </c>
      <c r="T2245" s="68">
        <v>0.073716816</v>
      </c>
      <c r="U2245" s="68">
        <v>0.0056471206</v>
      </c>
      <c r="V2245" s="68">
        <v>0.0</v>
      </c>
      <c r="X2245" s="69">
        <v>1.2519669E-4</v>
      </c>
    </row>
    <row r="2246" ht="12.75" customHeight="1">
      <c r="B2246" s="62"/>
      <c r="C2246" s="60"/>
      <c r="D2246" s="75" t="s">
        <v>2965</v>
      </c>
      <c r="E2246" s="62"/>
      <c r="G2246" s="10"/>
      <c r="H2246" s="10" t="str">
        <f t="shared" si="481"/>
        <v/>
      </c>
      <c r="I2246" s="10"/>
      <c r="J2246" s="10"/>
      <c r="K2246" s="10"/>
      <c r="L2246" s="10"/>
      <c r="N2246" s="10"/>
      <c r="O2246" s="10"/>
      <c r="Q2246" s="67"/>
    </row>
    <row r="2247" ht="12.75" customHeight="1">
      <c r="A2247" s="1" t="s">
        <v>2966</v>
      </c>
      <c r="B2247" s="62" t="s">
        <v>2905</v>
      </c>
      <c r="C2247" s="60" t="str">
        <f t="shared" ref="C2247:C2253" si="498">MID(A2247,1,12)</f>
        <v>M.020.08.101</v>
      </c>
      <c r="D2247" s="51" t="s">
        <v>2965</v>
      </c>
      <c r="E2247" s="62" t="s">
        <v>45</v>
      </c>
      <c r="F2247" s="63" t="str">
        <f t="shared" ref="F2247:F2253" si="499">MID(A2247, 21,85)</f>
        <v>Dough for pizza and savoury pie, in plastic foil per 500 gram NL</v>
      </c>
      <c r="G2247" s="64">
        <v>0.21341691519143</v>
      </c>
      <c r="H2247" s="10">
        <f t="shared" si="481"/>
        <v>0.2134169152</v>
      </c>
      <c r="I2247" s="65">
        <v>1.1245403E-7</v>
      </c>
      <c r="J2247" s="65">
        <v>0.0716103456374</v>
      </c>
      <c r="K2247" s="65">
        <v>0.0036218171</v>
      </c>
      <c r="L2247" s="65">
        <v>0.13818464</v>
      </c>
      <c r="N2247" s="66">
        <v>0.9212309333333334</v>
      </c>
      <c r="O2247" s="10">
        <f t="shared" ref="O2247:O2253" si="500">N2247</f>
        <v>0.9212309333</v>
      </c>
      <c r="Q2247" s="67">
        <v>0.0</v>
      </c>
      <c r="S2247" s="68">
        <v>0.031428866</v>
      </c>
      <c r="T2247" s="68">
        <v>0.028157413</v>
      </c>
      <c r="U2247" s="68">
        <v>0.0032714535</v>
      </c>
      <c r="V2247" s="68">
        <v>0.0</v>
      </c>
      <c r="X2247" s="69">
        <v>5.2324143E-5</v>
      </c>
    </row>
    <row r="2248" ht="12.75" customHeight="1">
      <c r="A2248" s="1" t="s">
        <v>2967</v>
      </c>
      <c r="B2248" s="62" t="s">
        <v>2905</v>
      </c>
      <c r="C2248" s="60" t="str">
        <f t="shared" si="498"/>
        <v>M.020.08.102</v>
      </c>
      <c r="D2248" s="51" t="s">
        <v>2965</v>
      </c>
      <c r="E2248" s="62" t="s">
        <v>45</v>
      </c>
      <c r="F2248" s="63" t="str">
        <f t="shared" si="499"/>
        <v>Flour wheat, white Sugar packaging per 1 kg NL</v>
      </c>
      <c r="G2248" s="64">
        <v>0.18827465964898998</v>
      </c>
      <c r="H2248" s="10">
        <f t="shared" si="481"/>
        <v>0.1882746596</v>
      </c>
      <c r="I2248" s="65">
        <v>1.0554779E-7</v>
      </c>
      <c r="J2248" s="65">
        <v>0.0752529604012</v>
      </c>
      <c r="K2248" s="65">
        <v>0.0033537737</v>
      </c>
      <c r="L2248" s="65">
        <v>0.10966782</v>
      </c>
      <c r="N2248" s="66">
        <v>0.7311188000000001</v>
      </c>
      <c r="O2248" s="10">
        <f t="shared" si="500"/>
        <v>0.7311188</v>
      </c>
      <c r="Q2248" s="67">
        <v>0.0</v>
      </c>
      <c r="S2248" s="68">
        <v>0.02982269</v>
      </c>
      <c r="T2248" s="68">
        <v>0.026813747</v>
      </c>
      <c r="U2248" s="68">
        <v>0.0030089433</v>
      </c>
      <c r="V2248" s="68">
        <v>0.0</v>
      </c>
      <c r="X2248" s="69">
        <v>4.7599529E-5</v>
      </c>
    </row>
    <row r="2249" ht="12.75" customHeight="1">
      <c r="A2249" s="1" t="s">
        <v>2968</v>
      </c>
      <c r="B2249" s="62" t="s">
        <v>2905</v>
      </c>
      <c r="C2249" s="60" t="str">
        <f t="shared" si="498"/>
        <v>M.020.08.103</v>
      </c>
      <c r="D2249" s="51" t="s">
        <v>2965</v>
      </c>
      <c r="E2249" s="62" t="s">
        <v>45</v>
      </c>
      <c r="F2249" s="63" t="str">
        <f t="shared" si="499"/>
        <v>Muesli, crunchy plain/w fruit in cardboard box NL</v>
      </c>
      <c r="G2249" s="64">
        <v>0.32416817273055</v>
      </c>
      <c r="H2249" s="10">
        <f t="shared" si="481"/>
        <v>0.3241681727</v>
      </c>
      <c r="I2249" s="65">
        <v>1.5836315E-7</v>
      </c>
      <c r="J2249" s="65">
        <v>0.1082893203674</v>
      </c>
      <c r="K2249" s="65">
        <v>0.012840174</v>
      </c>
      <c r="L2249" s="65">
        <v>0.20303852</v>
      </c>
      <c r="N2249" s="66">
        <v>1.3535901333333333</v>
      </c>
      <c r="O2249" s="10">
        <f t="shared" si="500"/>
        <v>1.353590133</v>
      </c>
      <c r="Q2249" s="67">
        <v>0.0</v>
      </c>
      <c r="S2249" s="68">
        <v>0.045922422</v>
      </c>
      <c r="T2249" s="68">
        <v>0.040250477</v>
      </c>
      <c r="U2249" s="68">
        <v>0.0056719443</v>
      </c>
      <c r="V2249" s="68">
        <v>0.0</v>
      </c>
      <c r="X2249" s="69">
        <v>7.7695051E-5</v>
      </c>
    </row>
    <row r="2250" ht="12.75" customHeight="1">
      <c r="A2250" s="1" t="s">
        <v>2969</v>
      </c>
      <c r="B2250" s="62" t="s">
        <v>2905</v>
      </c>
      <c r="C2250" s="60" t="str">
        <f t="shared" si="498"/>
        <v>M.020.08.104</v>
      </c>
      <c r="D2250" s="51" t="s">
        <v>2965</v>
      </c>
      <c r="E2250" s="62" t="s">
        <v>45</v>
      </c>
      <c r="F2250" s="63" t="str">
        <f t="shared" si="499"/>
        <v>Oatmeal, in cardboard box NL</v>
      </c>
      <c r="G2250" s="64">
        <v>0.23190523758454</v>
      </c>
      <c r="H2250" s="10">
        <f t="shared" si="481"/>
        <v>0.2319052376</v>
      </c>
      <c r="I2250" s="65">
        <v>1.2055094E-7</v>
      </c>
      <c r="J2250" s="65">
        <v>0.08445687253360001</v>
      </c>
      <c r="K2250" s="65">
        <v>0.0035312945</v>
      </c>
      <c r="L2250" s="65">
        <v>0.14391695</v>
      </c>
      <c r="N2250" s="66">
        <v>0.9594463333333333</v>
      </c>
      <c r="O2250" s="10">
        <f t="shared" si="500"/>
        <v>0.9594463333</v>
      </c>
      <c r="Q2250" s="67">
        <v>0.0</v>
      </c>
      <c r="S2250" s="68">
        <v>0.033994488</v>
      </c>
      <c r="T2250" s="68">
        <v>0.029443093</v>
      </c>
      <c r="U2250" s="68">
        <v>0.0045513955</v>
      </c>
      <c r="V2250" s="68">
        <v>0.0</v>
      </c>
      <c r="X2250" s="69">
        <v>5.7832927E-5</v>
      </c>
    </row>
    <row r="2251" ht="12.75" customHeight="1">
      <c r="A2251" s="1" t="s">
        <v>2970</v>
      </c>
      <c r="B2251" s="62" t="s">
        <v>2905</v>
      </c>
      <c r="C2251" s="60" t="str">
        <f t="shared" si="498"/>
        <v>M.020.08.105</v>
      </c>
      <c r="D2251" s="51" t="s">
        <v>2965</v>
      </c>
      <c r="E2251" s="62" t="s">
        <v>45</v>
      </c>
      <c r="F2251" s="63" t="str">
        <f t="shared" si="499"/>
        <v>Pasta, white Pasta packaging per 1 kg NL</v>
      </c>
      <c r="G2251" s="64">
        <v>0.32875865196257</v>
      </c>
      <c r="H2251" s="10">
        <f t="shared" si="481"/>
        <v>0.328758652</v>
      </c>
      <c r="I2251" s="65">
        <v>1.6625367E-7</v>
      </c>
      <c r="J2251" s="65">
        <v>0.09881973660889999</v>
      </c>
      <c r="K2251" s="65">
        <v>0.0098840591</v>
      </c>
      <c r="L2251" s="65">
        <v>0.22005469</v>
      </c>
      <c r="N2251" s="66">
        <v>1.4670312666666667</v>
      </c>
      <c r="O2251" s="10">
        <f t="shared" si="500"/>
        <v>1.467031267</v>
      </c>
      <c r="Q2251" s="67">
        <v>0.0</v>
      </c>
      <c r="S2251" s="68">
        <v>0.047918823</v>
      </c>
      <c r="T2251" s="68">
        <v>0.044260671</v>
      </c>
      <c r="U2251" s="68">
        <v>0.0036581511</v>
      </c>
      <c r="V2251" s="68">
        <v>0.0</v>
      </c>
      <c r="X2251" s="69">
        <v>7.7859519E-5</v>
      </c>
    </row>
    <row r="2252" ht="12.75" customHeight="1">
      <c r="A2252" s="1" t="s">
        <v>2971</v>
      </c>
      <c r="B2252" s="62" t="s">
        <v>2905</v>
      </c>
      <c r="C2252" s="60" t="str">
        <f t="shared" si="498"/>
        <v>M.020.08.106</v>
      </c>
      <c r="D2252" s="51" t="s">
        <v>2965</v>
      </c>
      <c r="E2252" s="62" t="s">
        <v>45</v>
      </c>
      <c r="F2252" s="63" t="str">
        <f t="shared" si="499"/>
        <v>Rice, brown in cardboard box NL</v>
      </c>
      <c r="G2252" s="64">
        <v>0.6871516782498199</v>
      </c>
      <c r="H2252" s="10">
        <f t="shared" si="481"/>
        <v>0.6871516782</v>
      </c>
      <c r="I2252" s="65">
        <v>1.3010222E-7</v>
      </c>
      <c r="J2252" s="65">
        <v>0.0874252681476</v>
      </c>
      <c r="K2252" s="65">
        <v>0.20229698</v>
      </c>
      <c r="L2252" s="65">
        <v>0.3974293</v>
      </c>
      <c r="N2252" s="66">
        <v>2.649528666666667</v>
      </c>
      <c r="O2252" s="10">
        <f t="shared" si="500"/>
        <v>2.649528667</v>
      </c>
      <c r="Q2252" s="67">
        <v>0.0</v>
      </c>
      <c r="S2252" s="68">
        <v>0.062647095</v>
      </c>
      <c r="T2252" s="68">
        <v>0.057105358</v>
      </c>
      <c r="U2252" s="68">
        <v>0.005541737</v>
      </c>
      <c r="V2252" s="68">
        <v>0.0</v>
      </c>
      <c r="X2252" s="69">
        <v>1.0616652E-4</v>
      </c>
    </row>
    <row r="2253" ht="12.75" customHeight="1">
      <c r="A2253" s="1" t="s">
        <v>2972</v>
      </c>
      <c r="B2253" s="62" t="s">
        <v>2905</v>
      </c>
      <c r="C2253" s="60" t="str">
        <f t="shared" si="498"/>
        <v>M.020.08.107</v>
      </c>
      <c r="D2253" s="51" t="s">
        <v>2965</v>
      </c>
      <c r="E2253" s="62" t="s">
        <v>45</v>
      </c>
      <c r="F2253" s="63" t="str">
        <f t="shared" si="499"/>
        <v>Rice, white in cardboard box NL</v>
      </c>
      <c r="G2253" s="64">
        <v>0.78339433404713</v>
      </c>
      <c r="H2253" s="10">
        <f t="shared" si="481"/>
        <v>0.783394334</v>
      </c>
      <c r="I2253" s="65">
        <v>1.5472713E-7</v>
      </c>
      <c r="J2253" s="65">
        <v>0.10023334932000001</v>
      </c>
      <c r="K2253" s="65">
        <v>0.22704343</v>
      </c>
      <c r="L2253" s="65">
        <v>0.4561174</v>
      </c>
      <c r="N2253" s="66">
        <v>3.040782666666667</v>
      </c>
      <c r="O2253" s="10">
        <f t="shared" si="500"/>
        <v>3.040782667</v>
      </c>
      <c r="Q2253" s="67">
        <v>0.0</v>
      </c>
      <c r="S2253" s="68">
        <v>0.07188217</v>
      </c>
      <c r="T2253" s="68">
        <v>0.065599835</v>
      </c>
      <c r="U2253" s="68">
        <v>0.0062823343</v>
      </c>
      <c r="V2253" s="68">
        <v>0.0</v>
      </c>
      <c r="X2253" s="69">
        <v>1.2207649E-4</v>
      </c>
    </row>
    <row r="2254" ht="12.75" customHeight="1">
      <c r="B2254" s="62"/>
      <c r="C2254" s="60"/>
      <c r="D2254" s="75" t="s">
        <v>2973</v>
      </c>
      <c r="E2254" s="62"/>
      <c r="G2254" s="10"/>
      <c r="H2254" s="10" t="str">
        <f t="shared" si="481"/>
        <v/>
      </c>
      <c r="I2254" s="10"/>
      <c r="J2254" s="10"/>
      <c r="K2254" s="10"/>
      <c r="L2254" s="10"/>
      <c r="N2254" s="10"/>
      <c r="O2254" s="10"/>
      <c r="Q2254" s="67"/>
    </row>
    <row r="2255" ht="12.75" customHeight="1">
      <c r="A2255" s="1" t="s">
        <v>2974</v>
      </c>
      <c r="B2255" s="62" t="s">
        <v>2905</v>
      </c>
      <c r="C2255" s="60" t="str">
        <f t="shared" ref="C2255:C2277" si="501">MID(A2255,1,12)</f>
        <v>M.020.09.101</v>
      </c>
      <c r="D2255" s="51" t="s">
        <v>2973</v>
      </c>
      <c r="E2255" s="62" t="s">
        <v>45</v>
      </c>
      <c r="F2255" s="63" t="str">
        <f t="shared" ref="F2255:F2277" si="502">MID(A2255, 21,85)</f>
        <v>Bean sprouts in fruit bucket per 1 kg NL</v>
      </c>
      <c r="G2255" s="64">
        <v>0.130855305808452</v>
      </c>
      <c r="H2255" s="10">
        <f t="shared" si="481"/>
        <v>0.1308553058</v>
      </c>
      <c r="I2255" s="65">
        <v>6.0156452E-8</v>
      </c>
      <c r="J2255" s="65">
        <v>0.026445105551999998</v>
      </c>
      <c r="K2255" s="65">
        <v>0.0080084821</v>
      </c>
      <c r="L2255" s="65">
        <v>0.096401658</v>
      </c>
      <c r="N2255" s="66">
        <v>0.64267772</v>
      </c>
      <c r="O2255" s="10">
        <f t="shared" ref="O2255:O2277" si="503">N2255</f>
        <v>0.64267772</v>
      </c>
      <c r="Q2255" s="67">
        <v>0.0</v>
      </c>
      <c r="S2255" s="68">
        <v>0.014814427</v>
      </c>
      <c r="T2255" s="68">
        <v>0.012531423</v>
      </c>
      <c r="U2255" s="68">
        <v>0.0022830033</v>
      </c>
      <c r="V2255" s="68">
        <v>0.0</v>
      </c>
      <c r="X2255" s="69">
        <v>2.9095893E-5</v>
      </c>
    </row>
    <row r="2256" ht="12.75" customHeight="1">
      <c r="A2256" s="1" t="s">
        <v>2975</v>
      </c>
      <c r="B2256" s="62" t="s">
        <v>2905</v>
      </c>
      <c r="C2256" s="60" t="str">
        <f t="shared" si="501"/>
        <v>M.020.09.103</v>
      </c>
      <c r="D2256" s="51" t="s">
        <v>2973</v>
      </c>
      <c r="E2256" s="62" t="s">
        <v>45</v>
      </c>
      <c r="F2256" s="63" t="str">
        <f t="shared" si="502"/>
        <v>Beans, green in food can NL</v>
      </c>
      <c r="G2256" s="64">
        <v>0.35279470166362004</v>
      </c>
      <c r="H2256" s="10">
        <f t="shared" si="481"/>
        <v>0.3527947017</v>
      </c>
      <c r="I2256" s="65">
        <v>2.5647612E-7</v>
      </c>
      <c r="J2256" s="65">
        <v>0.1064697461875</v>
      </c>
      <c r="K2256" s="65">
        <v>0.033560419</v>
      </c>
      <c r="L2256" s="65">
        <v>0.21276428</v>
      </c>
      <c r="N2256" s="66">
        <v>1.4184285333333333</v>
      </c>
      <c r="O2256" s="10">
        <f t="shared" si="503"/>
        <v>1.418428533</v>
      </c>
      <c r="Q2256" s="67">
        <v>0.0</v>
      </c>
      <c r="S2256" s="68">
        <v>0.048794889</v>
      </c>
      <c r="T2256" s="68">
        <v>0.045812277</v>
      </c>
      <c r="U2256" s="68">
        <v>0.0029826117</v>
      </c>
      <c r="V2256" s="68">
        <v>0.0</v>
      </c>
      <c r="X2256" s="69">
        <v>8.3194299E-5</v>
      </c>
    </row>
    <row r="2257" ht="12.75" customHeight="1">
      <c r="A2257" s="1" t="s">
        <v>2976</v>
      </c>
      <c r="B2257" s="62" t="s">
        <v>2905</v>
      </c>
      <c r="C2257" s="60" t="str">
        <f t="shared" si="501"/>
        <v>M.020.09.104</v>
      </c>
      <c r="D2257" s="51" t="s">
        <v>2973</v>
      </c>
      <c r="E2257" s="62" t="s">
        <v>45</v>
      </c>
      <c r="F2257" s="63" t="str">
        <f t="shared" si="502"/>
        <v>Beans, green in glass jarper 720 ml NL</v>
      </c>
      <c r="G2257" s="64">
        <v>0.24577491310354999</v>
      </c>
      <c r="H2257" s="10">
        <f t="shared" si="481"/>
        <v>0.2457749131</v>
      </c>
      <c r="I2257" s="65">
        <v>1.4433325E-7</v>
      </c>
      <c r="J2257" s="65">
        <v>0.0856280727703</v>
      </c>
      <c r="K2257" s="65">
        <v>0.015648276</v>
      </c>
      <c r="L2257" s="65">
        <v>0.14449842</v>
      </c>
      <c r="N2257" s="66">
        <v>0.9633227999999999</v>
      </c>
      <c r="O2257" s="10">
        <f t="shared" si="503"/>
        <v>0.9633228</v>
      </c>
      <c r="Q2257" s="67">
        <v>0.0</v>
      </c>
      <c r="S2257" s="68">
        <v>0.037203134</v>
      </c>
      <c r="T2257" s="68">
        <v>0.034700159</v>
      </c>
      <c r="U2257" s="68">
        <v>0.0025029752</v>
      </c>
      <c r="V2257" s="68">
        <v>0.0</v>
      </c>
      <c r="X2257" s="69">
        <v>5.8723599E-5</v>
      </c>
    </row>
    <row r="2258" ht="12.75" customHeight="1">
      <c r="A2258" s="1" t="s">
        <v>2977</v>
      </c>
      <c r="B2258" s="62" t="s">
        <v>2905</v>
      </c>
      <c r="C2258" s="60" t="str">
        <f t="shared" si="501"/>
        <v>M.020.09.105</v>
      </c>
      <c r="D2258" s="51" t="s">
        <v>2973</v>
      </c>
      <c r="E2258" s="62" t="s">
        <v>45</v>
      </c>
      <c r="F2258" s="63" t="str">
        <f t="shared" si="502"/>
        <v>Beans, green in plastic foil per 500 gram NL</v>
      </c>
      <c r="G2258" s="64">
        <v>0.12711525631141</v>
      </c>
      <c r="H2258" s="10">
        <f t="shared" si="481"/>
        <v>0.1271152563</v>
      </c>
      <c r="I2258" s="65">
        <v>1.0278841E-7</v>
      </c>
      <c r="J2258" s="65">
        <v>0.050180672523</v>
      </c>
      <c r="K2258" s="65">
        <v>0.012077431</v>
      </c>
      <c r="L2258" s="65">
        <v>0.06485705</v>
      </c>
      <c r="N2258" s="66">
        <v>0.43238033333333337</v>
      </c>
      <c r="O2258" s="10">
        <f t="shared" si="503"/>
        <v>0.4323803333</v>
      </c>
      <c r="Q2258" s="67">
        <v>0.0</v>
      </c>
      <c r="S2258" s="68">
        <v>0.018849649</v>
      </c>
      <c r="T2258" s="68">
        <v>0.017198769</v>
      </c>
      <c r="U2258" s="68">
        <v>0.0016508801</v>
      </c>
      <c r="V2258" s="68">
        <v>0.0</v>
      </c>
      <c r="X2258" s="69">
        <v>3.1821627E-5</v>
      </c>
    </row>
    <row r="2259" ht="12.75" customHeight="1">
      <c r="A2259" s="1" t="s">
        <v>2978</v>
      </c>
      <c r="B2259" s="62" t="s">
        <v>2905</v>
      </c>
      <c r="C2259" s="60" t="str">
        <f t="shared" si="501"/>
        <v>M.020.09.106</v>
      </c>
      <c r="D2259" s="51" t="s">
        <v>2973</v>
      </c>
      <c r="E2259" s="62" t="s">
        <v>45</v>
      </c>
      <c r="F2259" s="63" t="str">
        <f t="shared" si="502"/>
        <v>Broccoli in plastic foil per 500 gram NL</v>
      </c>
      <c r="G2259" s="64">
        <v>0.14903907069407102</v>
      </c>
      <c r="H2259" s="10">
        <f t="shared" si="481"/>
        <v>0.1490390707</v>
      </c>
      <c r="I2259" s="65">
        <v>9.7299371E-8</v>
      </c>
      <c r="J2259" s="65">
        <v>0.0579028833947</v>
      </c>
      <c r="K2259" s="65">
        <v>0.014292134</v>
      </c>
      <c r="L2259" s="65">
        <v>0.076843956</v>
      </c>
      <c r="N2259" s="66">
        <v>0.5122930400000001</v>
      </c>
      <c r="O2259" s="10">
        <f t="shared" si="503"/>
        <v>0.51229304</v>
      </c>
      <c r="Q2259" s="67">
        <v>0.0</v>
      </c>
      <c r="S2259" s="68">
        <v>0.022879336</v>
      </c>
      <c r="T2259" s="68">
        <v>0.02127605</v>
      </c>
      <c r="U2259" s="68">
        <v>0.0016032866</v>
      </c>
      <c r="V2259" s="68">
        <v>0.0</v>
      </c>
      <c r="X2259" s="69">
        <v>3.5820868E-5</v>
      </c>
    </row>
    <row r="2260" ht="12.75" customHeight="1">
      <c r="A2260" s="1" t="s">
        <v>2979</v>
      </c>
      <c r="B2260" s="62" t="s">
        <v>2905</v>
      </c>
      <c r="C2260" s="60" t="str">
        <f t="shared" si="501"/>
        <v>M.020.09.107</v>
      </c>
      <c r="D2260" s="51" t="s">
        <v>2973</v>
      </c>
      <c r="E2260" s="62" t="s">
        <v>45</v>
      </c>
      <c r="F2260" s="63" t="str">
        <f t="shared" si="502"/>
        <v>Carrots in plastic foil per 500 gram NL</v>
      </c>
      <c r="G2260" s="64">
        <v>0.045806168625080995</v>
      </c>
      <c r="H2260" s="10">
        <f t="shared" si="481"/>
        <v>0.04580616863</v>
      </c>
      <c r="I2260" s="65">
        <v>3.4068791E-8</v>
      </c>
      <c r="J2260" s="65">
        <v>0.01629126555629</v>
      </c>
      <c r="K2260" s="65">
        <v>0.003591158</v>
      </c>
      <c r="L2260" s="65">
        <v>0.025923711</v>
      </c>
      <c r="N2260" s="66">
        <v>0.17282474</v>
      </c>
      <c r="O2260" s="10">
        <f t="shared" si="503"/>
        <v>0.17282474</v>
      </c>
      <c r="Q2260" s="67">
        <v>0.0</v>
      </c>
      <c r="S2260" s="68">
        <v>0.0067931198</v>
      </c>
      <c r="T2260" s="68">
        <v>0.0063340533</v>
      </c>
      <c r="U2260" s="68">
        <v>4.5906651E-4</v>
      </c>
      <c r="V2260" s="68">
        <v>0.0</v>
      </c>
      <c r="X2260" s="69">
        <v>1.1232949E-5</v>
      </c>
    </row>
    <row r="2261" ht="12.75" customHeight="1">
      <c r="A2261" s="1" t="s">
        <v>2980</v>
      </c>
      <c r="B2261" s="62" t="s">
        <v>2905</v>
      </c>
      <c r="C2261" s="60" t="str">
        <f t="shared" si="501"/>
        <v>M.020.09.108</v>
      </c>
      <c r="D2261" s="51" t="s">
        <v>2973</v>
      </c>
      <c r="E2261" s="62" t="s">
        <v>45</v>
      </c>
      <c r="F2261" s="63" t="str">
        <f t="shared" si="502"/>
        <v>Cauliflower in plastic foil per 500 gram NL</v>
      </c>
      <c r="G2261" s="64">
        <v>0.14903907069407102</v>
      </c>
      <c r="H2261" s="10">
        <f t="shared" si="481"/>
        <v>0.1490390707</v>
      </c>
      <c r="I2261" s="65">
        <v>9.7299371E-8</v>
      </c>
      <c r="J2261" s="65">
        <v>0.0579028833947</v>
      </c>
      <c r="K2261" s="65">
        <v>0.014292134</v>
      </c>
      <c r="L2261" s="65">
        <v>0.076843956</v>
      </c>
      <c r="N2261" s="66">
        <v>0.5122930400000001</v>
      </c>
      <c r="O2261" s="10">
        <f t="shared" si="503"/>
        <v>0.51229304</v>
      </c>
      <c r="Q2261" s="67">
        <v>0.0</v>
      </c>
      <c r="S2261" s="68">
        <v>0.022879336</v>
      </c>
      <c r="T2261" s="68">
        <v>0.02127605</v>
      </c>
      <c r="U2261" s="68">
        <v>0.0016032866</v>
      </c>
      <c r="V2261" s="68">
        <v>0.0</v>
      </c>
      <c r="X2261" s="69">
        <v>3.5820868E-5</v>
      </c>
    </row>
    <row r="2262" ht="12.75" customHeight="1">
      <c r="A2262" s="1" t="s">
        <v>2981</v>
      </c>
      <c r="B2262" s="62" t="s">
        <v>2905</v>
      </c>
      <c r="C2262" s="60" t="str">
        <f t="shared" si="501"/>
        <v>M.020.09.109</v>
      </c>
      <c r="D2262" s="51" t="s">
        <v>2973</v>
      </c>
      <c r="E2262" s="62" t="s">
        <v>45</v>
      </c>
      <c r="F2262" s="63" t="str">
        <f t="shared" si="502"/>
        <v>Chicory in plastic foil per 500 gram NL</v>
      </c>
      <c r="G2262" s="64">
        <v>0.07397404745656701</v>
      </c>
      <c r="H2262" s="10">
        <f t="shared" si="481"/>
        <v>0.07397404746</v>
      </c>
      <c r="I2262" s="65">
        <v>4.9766167E-8</v>
      </c>
      <c r="J2262" s="65">
        <v>0.025905240590400003</v>
      </c>
      <c r="K2262" s="65">
        <v>0.0098657591</v>
      </c>
      <c r="L2262" s="65">
        <v>0.038202998</v>
      </c>
      <c r="N2262" s="66">
        <v>0.25468665333333335</v>
      </c>
      <c r="O2262" s="10">
        <f t="shared" si="503"/>
        <v>0.2546866533</v>
      </c>
      <c r="Q2262" s="67">
        <v>0.0</v>
      </c>
      <c r="S2262" s="68">
        <v>0.010433661</v>
      </c>
      <c r="T2262" s="68">
        <v>0.0096378521</v>
      </c>
      <c r="U2262" s="68">
        <v>7.9580906E-4</v>
      </c>
      <c r="V2262" s="68">
        <v>0.0</v>
      </c>
      <c r="X2262" s="69">
        <v>1.7095795E-5</v>
      </c>
    </row>
    <row r="2263" ht="12.75" customHeight="1">
      <c r="A2263" s="1" t="s">
        <v>2982</v>
      </c>
      <c r="B2263" s="62" t="s">
        <v>2905</v>
      </c>
      <c r="C2263" s="60" t="str">
        <f t="shared" si="501"/>
        <v>M.020.09.110</v>
      </c>
      <c r="D2263" s="51" t="s">
        <v>2973</v>
      </c>
      <c r="E2263" s="62" t="s">
        <v>45</v>
      </c>
      <c r="F2263" s="63" t="str">
        <f t="shared" si="502"/>
        <v>Courgettes, not packed NL</v>
      </c>
      <c r="G2263" s="64">
        <v>0.354960860809143</v>
      </c>
      <c r="H2263" s="10">
        <f t="shared" si="481"/>
        <v>0.3549608608</v>
      </c>
      <c r="I2263" s="65">
        <v>9.2549143E-8</v>
      </c>
      <c r="J2263" s="65">
        <v>0.04377122026</v>
      </c>
      <c r="K2263" s="65">
        <v>0.010712888</v>
      </c>
      <c r="L2263" s="65">
        <v>0.30047666</v>
      </c>
      <c r="N2263" s="66">
        <v>2.0031777333333336</v>
      </c>
      <c r="O2263" s="10">
        <f t="shared" si="503"/>
        <v>2.003177733</v>
      </c>
      <c r="Q2263" s="67">
        <v>0.0</v>
      </c>
      <c r="S2263" s="68">
        <v>0.043766591</v>
      </c>
      <c r="T2263" s="68">
        <v>0.041716349</v>
      </c>
      <c r="U2263" s="68">
        <v>0.0020502423</v>
      </c>
      <c r="V2263" s="68">
        <v>0.0</v>
      </c>
      <c r="X2263" s="69">
        <v>7.3003213E-5</v>
      </c>
    </row>
    <row r="2264" ht="12.75" customHeight="1">
      <c r="A2264" s="1" t="s">
        <v>2983</v>
      </c>
      <c r="B2264" s="62" t="s">
        <v>2905</v>
      </c>
      <c r="C2264" s="60" t="str">
        <f t="shared" si="501"/>
        <v>M.020.09.111</v>
      </c>
      <c r="D2264" s="51" t="s">
        <v>2973</v>
      </c>
      <c r="E2264" s="62" t="s">
        <v>45</v>
      </c>
      <c r="F2264" s="63" t="str">
        <f t="shared" si="502"/>
        <v>Cucumber w skin, not packed NL</v>
      </c>
      <c r="G2264" s="64">
        <v>0.09115363239556801</v>
      </c>
      <c r="H2264" s="10">
        <f t="shared" si="481"/>
        <v>0.0911536324</v>
      </c>
      <c r="I2264" s="65">
        <v>2.0394218E-8</v>
      </c>
      <c r="J2264" s="65">
        <v>0.00694551270135</v>
      </c>
      <c r="K2264" s="65">
        <v>0.0034921693</v>
      </c>
      <c r="L2264" s="65">
        <v>0.08071593</v>
      </c>
      <c r="N2264" s="66">
        <v>0.5381062000000001</v>
      </c>
      <c r="O2264" s="10">
        <f t="shared" si="503"/>
        <v>0.5381062</v>
      </c>
      <c r="Q2264" s="67">
        <v>0.0</v>
      </c>
      <c r="S2264" s="68">
        <v>0.010420223</v>
      </c>
      <c r="T2264" s="68">
        <v>0.0099355667</v>
      </c>
      <c r="U2264" s="68">
        <v>4.8465669E-4</v>
      </c>
      <c r="V2264" s="68">
        <v>0.0</v>
      </c>
      <c r="X2264" s="69">
        <v>1.8029247E-5</v>
      </c>
    </row>
    <row r="2265" ht="12.75" customHeight="1">
      <c r="A2265" s="1" t="s">
        <v>2984</v>
      </c>
      <c r="B2265" s="62" t="s">
        <v>2905</v>
      </c>
      <c r="C2265" s="60" t="str">
        <f t="shared" si="501"/>
        <v>M.020.09.112</v>
      </c>
      <c r="D2265" s="51" t="s">
        <v>2973</v>
      </c>
      <c r="E2265" s="62" t="s">
        <v>45</v>
      </c>
      <c r="F2265" s="63" t="str">
        <f t="shared" si="502"/>
        <v>Kale curly in plastic foil per 500 gram NL</v>
      </c>
      <c r="G2265" s="64">
        <v>0.072278202249381</v>
      </c>
      <c r="H2265" s="10">
        <f t="shared" si="481"/>
        <v>0.07227820225</v>
      </c>
      <c r="I2265" s="65">
        <v>5.7541381E-8</v>
      </c>
      <c r="J2265" s="65">
        <v>0.027746861608000002</v>
      </c>
      <c r="K2265" s="65">
        <v>0.0055830131</v>
      </c>
      <c r="L2265" s="65">
        <v>0.03894827</v>
      </c>
      <c r="N2265" s="66">
        <v>0.25965513333333334</v>
      </c>
      <c r="O2265" s="10">
        <f t="shared" si="503"/>
        <v>0.2596551333</v>
      </c>
      <c r="Q2265" s="67">
        <v>0.0</v>
      </c>
      <c r="S2265" s="68">
        <v>0.011127117</v>
      </c>
      <c r="T2265" s="68">
        <v>0.010441778</v>
      </c>
      <c r="U2265" s="68">
        <v>6.853389E-4</v>
      </c>
      <c r="V2265" s="68">
        <v>0.0</v>
      </c>
      <c r="X2265" s="69">
        <v>1.811025E-5</v>
      </c>
    </row>
    <row r="2266" ht="12.75" customHeight="1">
      <c r="A2266" s="1" t="s">
        <v>2985</v>
      </c>
      <c r="B2266" s="62" t="s">
        <v>2905</v>
      </c>
      <c r="C2266" s="60" t="str">
        <f t="shared" si="501"/>
        <v>M.020.09.113</v>
      </c>
      <c r="D2266" s="51" t="s">
        <v>2973</v>
      </c>
      <c r="E2266" s="62" t="s">
        <v>45</v>
      </c>
      <c r="F2266" s="63" t="str">
        <f t="shared" si="502"/>
        <v>Lettuce head, not packed NL</v>
      </c>
      <c r="G2266" s="64">
        <v>0.067564444697902</v>
      </c>
      <c r="H2266" s="10">
        <f t="shared" si="481"/>
        <v>0.0675644447</v>
      </c>
      <c r="I2266" s="65">
        <v>4.6570502E-8</v>
      </c>
      <c r="J2266" s="65">
        <v>0.0248055749274</v>
      </c>
      <c r="K2266" s="65">
        <v>0.0093010062</v>
      </c>
      <c r="L2266" s="65">
        <v>0.033457817</v>
      </c>
      <c r="N2266" s="66">
        <v>0.22305211333333336</v>
      </c>
      <c r="O2266" s="10">
        <f t="shared" si="503"/>
        <v>0.2230521133</v>
      </c>
      <c r="Q2266" s="67">
        <v>0.0</v>
      </c>
      <c r="S2266" s="68">
        <v>0.0096477413</v>
      </c>
      <c r="T2266" s="68">
        <v>0.0088848792</v>
      </c>
      <c r="U2266" s="68">
        <v>7.6286208E-4</v>
      </c>
      <c r="V2266" s="68">
        <v>0.0</v>
      </c>
      <c r="X2266" s="69">
        <v>1.5737812E-5</v>
      </c>
    </row>
    <row r="2267" ht="12.75" customHeight="1">
      <c r="A2267" s="1" t="s">
        <v>2986</v>
      </c>
      <c r="B2267" s="62" t="s">
        <v>2905</v>
      </c>
      <c r="C2267" s="60" t="str">
        <f t="shared" si="501"/>
        <v>M.020.09.114</v>
      </c>
      <c r="D2267" s="51" t="s">
        <v>2973</v>
      </c>
      <c r="E2267" s="62" t="s">
        <v>45</v>
      </c>
      <c r="F2267" s="63" t="str">
        <f t="shared" si="502"/>
        <v>Lettuce, not packed NL</v>
      </c>
      <c r="G2267" s="64">
        <v>0.067564444697902</v>
      </c>
      <c r="H2267" s="10">
        <f t="shared" si="481"/>
        <v>0.0675644447</v>
      </c>
      <c r="I2267" s="65">
        <v>4.6570502E-8</v>
      </c>
      <c r="J2267" s="65">
        <v>0.0248055749274</v>
      </c>
      <c r="K2267" s="65">
        <v>0.0093010062</v>
      </c>
      <c r="L2267" s="65">
        <v>0.033457817</v>
      </c>
      <c r="N2267" s="66">
        <v>0.22305211333333336</v>
      </c>
      <c r="O2267" s="10">
        <f t="shared" si="503"/>
        <v>0.2230521133</v>
      </c>
      <c r="Q2267" s="67">
        <v>0.0</v>
      </c>
      <c r="S2267" s="68">
        <v>0.0096477413</v>
      </c>
      <c r="T2267" s="68">
        <v>0.0088848792</v>
      </c>
      <c r="U2267" s="68">
        <v>7.6286208E-4</v>
      </c>
      <c r="V2267" s="68">
        <v>0.0</v>
      </c>
      <c r="X2267" s="69">
        <v>1.5737812E-5</v>
      </c>
    </row>
    <row r="2268" ht="12.75" customHeight="1">
      <c r="A2268" s="1" t="s">
        <v>2987</v>
      </c>
      <c r="B2268" s="62" t="s">
        <v>2905</v>
      </c>
      <c r="C2268" s="60" t="str">
        <f t="shared" si="501"/>
        <v>M.020.09.115</v>
      </c>
      <c r="D2268" s="51" t="s">
        <v>2973</v>
      </c>
      <c r="E2268" s="62" t="s">
        <v>45</v>
      </c>
      <c r="F2268" s="63" t="str">
        <f t="shared" si="502"/>
        <v>Mushrooms in fruit bucket per 1 kg NL</v>
      </c>
      <c r="G2268" s="64">
        <v>0.29192201483337</v>
      </c>
      <c r="H2268" s="10">
        <f t="shared" si="481"/>
        <v>0.2919220148</v>
      </c>
      <c r="I2268" s="65">
        <v>7.867817E-8</v>
      </c>
      <c r="J2268" s="65">
        <v>0.0308032089552</v>
      </c>
      <c r="K2268" s="65">
        <v>0.0068878672</v>
      </c>
      <c r="L2268" s="65">
        <v>0.25423086</v>
      </c>
      <c r="N2268" s="66">
        <v>1.6948724000000002</v>
      </c>
      <c r="O2268" s="10">
        <f t="shared" si="503"/>
        <v>1.6948724</v>
      </c>
      <c r="Q2268" s="67">
        <v>0.0</v>
      </c>
      <c r="S2268" s="68">
        <v>0.034909141</v>
      </c>
      <c r="T2268" s="68">
        <v>0.033089349</v>
      </c>
      <c r="U2268" s="68">
        <v>0.0018197922</v>
      </c>
      <c r="V2268" s="68">
        <v>0.0</v>
      </c>
      <c r="X2268" s="69">
        <v>6.0119187E-5</v>
      </c>
    </row>
    <row r="2269" ht="12.75" customHeight="1">
      <c r="A2269" s="1" t="s">
        <v>2988</v>
      </c>
      <c r="B2269" s="62" t="s">
        <v>2905</v>
      </c>
      <c r="C2269" s="60" t="str">
        <f t="shared" si="501"/>
        <v>M.020.09.116</v>
      </c>
      <c r="D2269" s="51" t="s">
        <v>2973</v>
      </c>
      <c r="E2269" s="62" t="s">
        <v>45</v>
      </c>
      <c r="F2269" s="63" t="str">
        <f t="shared" si="502"/>
        <v>Onions in plastic net per 1 kg NL</v>
      </c>
      <c r="G2269" s="64">
        <v>0.065535287726856</v>
      </c>
      <c r="H2269" s="10">
        <f t="shared" si="481"/>
        <v>0.06553528773</v>
      </c>
      <c r="I2269" s="65">
        <v>6.3217156E-8</v>
      </c>
      <c r="J2269" s="65">
        <v>0.0241325474097</v>
      </c>
      <c r="K2269" s="65">
        <v>0.0054129961</v>
      </c>
      <c r="L2269" s="65">
        <v>0.035989681</v>
      </c>
      <c r="N2269" s="66">
        <v>0.2399312066666667</v>
      </c>
      <c r="O2269" s="10">
        <f t="shared" si="503"/>
        <v>0.2399312067</v>
      </c>
      <c r="Q2269" s="67">
        <v>0.0</v>
      </c>
      <c r="S2269" s="68">
        <v>0.0095989911</v>
      </c>
      <c r="T2269" s="68">
        <v>0.0089615074</v>
      </c>
      <c r="U2269" s="68">
        <v>6.3748374E-4</v>
      </c>
      <c r="V2269" s="68">
        <v>0.0</v>
      </c>
      <c r="X2269" s="69">
        <v>1.6865257E-5</v>
      </c>
    </row>
    <row r="2270" ht="12.75" customHeight="1">
      <c r="A2270" s="1" t="s">
        <v>2989</v>
      </c>
      <c r="B2270" s="62" t="s">
        <v>2905</v>
      </c>
      <c r="C2270" s="60" t="str">
        <f t="shared" si="501"/>
        <v>M.020.09.117</v>
      </c>
      <c r="D2270" s="51" t="s">
        <v>2973</v>
      </c>
      <c r="E2270" s="62" t="s">
        <v>45</v>
      </c>
      <c r="F2270" s="63" t="str">
        <f t="shared" si="502"/>
        <v>Peas and carrots in food can NL</v>
      </c>
      <c r="G2270" s="64">
        <v>0.35477143404294</v>
      </c>
      <c r="H2270" s="10">
        <f t="shared" si="481"/>
        <v>0.354771434</v>
      </c>
      <c r="I2270" s="65">
        <v>2.8505084E-7</v>
      </c>
      <c r="J2270" s="65">
        <v>0.1042165239921</v>
      </c>
      <c r="K2270" s="65">
        <v>0.025400245</v>
      </c>
      <c r="L2270" s="65">
        <v>0.22515438</v>
      </c>
      <c r="N2270" s="66">
        <v>1.5010292</v>
      </c>
      <c r="O2270" s="10">
        <f t="shared" si="503"/>
        <v>1.5010292</v>
      </c>
      <c r="Q2270" s="67">
        <v>0.0</v>
      </c>
      <c r="S2270" s="68">
        <v>0.046901181</v>
      </c>
      <c r="T2270" s="68">
        <v>0.042617491</v>
      </c>
      <c r="U2270" s="68">
        <v>0.0042836899</v>
      </c>
      <c r="V2270" s="68">
        <v>0.0</v>
      </c>
      <c r="X2270" s="69">
        <v>8.69127E-5</v>
      </c>
    </row>
    <row r="2271" ht="12.75" customHeight="1">
      <c r="A2271" s="1" t="s">
        <v>2990</v>
      </c>
      <c r="B2271" s="62" t="s">
        <v>2905</v>
      </c>
      <c r="C2271" s="60" t="str">
        <f t="shared" si="501"/>
        <v>M.020.09.118</v>
      </c>
      <c r="D2271" s="51" t="s">
        <v>2973</v>
      </c>
      <c r="E2271" s="62" t="s">
        <v>45</v>
      </c>
      <c r="F2271" s="63" t="str">
        <f t="shared" si="502"/>
        <v>Peas and carrots in glass jarper 720 ml NL</v>
      </c>
      <c r="G2271" s="64">
        <v>0.24775164698297</v>
      </c>
      <c r="H2271" s="10">
        <f t="shared" si="481"/>
        <v>0.247751647</v>
      </c>
      <c r="I2271" s="65">
        <v>1.7290797E-7</v>
      </c>
      <c r="J2271" s="65">
        <v>0.083374851575</v>
      </c>
      <c r="K2271" s="65">
        <v>0.0074881025</v>
      </c>
      <c r="L2271" s="65">
        <v>0.15688852</v>
      </c>
      <c r="N2271" s="66">
        <v>1.0459234666666668</v>
      </c>
      <c r="O2271" s="10">
        <f t="shared" si="503"/>
        <v>1.045923467</v>
      </c>
      <c r="Q2271" s="67">
        <v>0.0</v>
      </c>
      <c r="S2271" s="68">
        <v>0.035309427</v>
      </c>
      <c r="T2271" s="68">
        <v>0.031505373</v>
      </c>
      <c r="U2271" s="68">
        <v>0.0038040534</v>
      </c>
      <c r="V2271" s="68">
        <v>0.0</v>
      </c>
      <c r="X2271" s="69">
        <v>6.2441999E-5</v>
      </c>
    </row>
    <row r="2272" ht="12.75" customHeight="1">
      <c r="A2272" s="1" t="s">
        <v>2991</v>
      </c>
      <c r="B2272" s="62" t="s">
        <v>2905</v>
      </c>
      <c r="C2272" s="60" t="str">
        <f t="shared" si="501"/>
        <v>M.020.09.119</v>
      </c>
      <c r="D2272" s="51" t="s">
        <v>2973</v>
      </c>
      <c r="E2272" s="62" t="s">
        <v>45</v>
      </c>
      <c r="F2272" s="63" t="str">
        <f t="shared" si="502"/>
        <v>Peas frozen frozen in cardboard box NL</v>
      </c>
      <c r="G2272" s="64">
        <v>0.12362715017383999</v>
      </c>
      <c r="H2272" s="10">
        <f t="shared" si="481"/>
        <v>0.1236271502</v>
      </c>
      <c r="I2272" s="65">
        <v>1.2737664E-7</v>
      </c>
      <c r="J2272" s="65">
        <v>0.0478501588972</v>
      </c>
      <c r="K2272" s="65">
        <v>0.0050715079</v>
      </c>
      <c r="L2272" s="65">
        <v>0.070705356</v>
      </c>
      <c r="N2272" s="66">
        <v>0.47136904</v>
      </c>
      <c r="O2272" s="10">
        <f t="shared" si="503"/>
        <v>0.47136904</v>
      </c>
      <c r="Q2272" s="67">
        <v>0.0</v>
      </c>
      <c r="S2272" s="68">
        <v>0.018387795</v>
      </c>
      <c r="T2272" s="68">
        <v>0.016789053</v>
      </c>
      <c r="U2272" s="68">
        <v>0.0015987423</v>
      </c>
      <c r="V2272" s="68">
        <v>0.0</v>
      </c>
      <c r="X2272" s="69">
        <v>3.3562589E-5</v>
      </c>
    </row>
    <row r="2273" ht="12.75" customHeight="1">
      <c r="A2273" s="1" t="s">
        <v>2992</v>
      </c>
      <c r="B2273" s="62" t="s">
        <v>2905</v>
      </c>
      <c r="C2273" s="60" t="str">
        <f t="shared" si="501"/>
        <v>M.020.09.120</v>
      </c>
      <c r="D2273" s="51" t="s">
        <v>2973</v>
      </c>
      <c r="E2273" s="62" t="s">
        <v>45</v>
      </c>
      <c r="F2273" s="63" t="str">
        <f t="shared" si="502"/>
        <v>Spinach frozen frozen in cardboard box NL</v>
      </c>
      <c r="G2273" s="64">
        <v>0.15865061260854</v>
      </c>
      <c r="H2273" s="10">
        <f t="shared" si="481"/>
        <v>0.1586506126</v>
      </c>
      <c r="I2273" s="65">
        <v>1.0243914E-7</v>
      </c>
      <c r="J2273" s="65">
        <v>0.051062684569399996</v>
      </c>
      <c r="K2273" s="65">
        <v>0.0080815886</v>
      </c>
      <c r="L2273" s="65">
        <v>0.099506237</v>
      </c>
      <c r="N2273" s="66">
        <v>0.6633749133333333</v>
      </c>
      <c r="O2273" s="10">
        <f t="shared" si="503"/>
        <v>0.6633749133</v>
      </c>
      <c r="Q2273" s="67">
        <v>0.0</v>
      </c>
      <c r="S2273" s="68">
        <v>0.023324025</v>
      </c>
      <c r="T2273" s="68">
        <v>0.021774626</v>
      </c>
      <c r="U2273" s="68">
        <v>0.0015493988</v>
      </c>
      <c r="V2273" s="68">
        <v>0.0</v>
      </c>
      <c r="X2273" s="69">
        <v>3.8374424E-5</v>
      </c>
    </row>
    <row r="2274" ht="12.75" customHeight="1">
      <c r="A2274" s="1" t="s">
        <v>2993</v>
      </c>
      <c r="B2274" s="62" t="s">
        <v>2905</v>
      </c>
      <c r="C2274" s="60" t="str">
        <f t="shared" si="501"/>
        <v>M.020.09.121</v>
      </c>
      <c r="D2274" s="51" t="s">
        <v>2973</v>
      </c>
      <c r="E2274" s="62" t="s">
        <v>45</v>
      </c>
      <c r="F2274" s="63" t="str">
        <f t="shared" si="502"/>
        <v>Sweet pepper in plastic foil per 500 gram NL</v>
      </c>
      <c r="G2274" s="64">
        <v>0.288077265659494</v>
      </c>
      <c r="H2274" s="10">
        <f t="shared" si="481"/>
        <v>0.2880772657</v>
      </c>
      <c r="I2274" s="65">
        <v>4.0245814E-8</v>
      </c>
      <c r="J2274" s="65">
        <v>0.02153148381368</v>
      </c>
      <c r="K2274" s="65">
        <v>0.0038393516</v>
      </c>
      <c r="L2274" s="65">
        <v>0.26270639</v>
      </c>
      <c r="N2274" s="66">
        <v>1.7513759333333334</v>
      </c>
      <c r="O2274" s="10">
        <f t="shared" si="503"/>
        <v>1.751375933</v>
      </c>
      <c r="Q2274" s="67">
        <v>0.0</v>
      </c>
      <c r="S2274" s="68">
        <v>0.034166973</v>
      </c>
      <c r="T2274" s="68">
        <v>0.03263995</v>
      </c>
      <c r="U2274" s="68">
        <v>0.0015270225</v>
      </c>
      <c r="V2274" s="68">
        <v>0.0</v>
      </c>
      <c r="X2274" s="69">
        <v>5.6960335E-5</v>
      </c>
    </row>
    <row r="2275" ht="12.75" customHeight="1">
      <c r="A2275" s="1" t="s">
        <v>2994</v>
      </c>
      <c r="B2275" s="62" t="s">
        <v>2905</v>
      </c>
      <c r="C2275" s="60" t="str">
        <f t="shared" si="501"/>
        <v>M.020.09.122</v>
      </c>
      <c r="D2275" s="51" t="s">
        <v>2973</v>
      </c>
      <c r="E2275" s="62" t="s">
        <v>45</v>
      </c>
      <c r="F2275" s="63" t="str">
        <f t="shared" si="502"/>
        <v>Sweetcorn in food can NL</v>
      </c>
      <c r="G2275" s="64">
        <v>0.44971423767922997</v>
      </c>
      <c r="H2275" s="10">
        <f t="shared" si="481"/>
        <v>0.4497142377</v>
      </c>
      <c r="I2275" s="65">
        <v>2.3591993E-7</v>
      </c>
      <c r="J2275" s="65">
        <v>0.1176245477593</v>
      </c>
      <c r="K2275" s="65">
        <v>0.060175654</v>
      </c>
      <c r="L2275" s="65">
        <v>0.2719138</v>
      </c>
      <c r="N2275" s="66">
        <v>1.8127586666666666</v>
      </c>
      <c r="O2275" s="10">
        <f t="shared" si="503"/>
        <v>1.812758667</v>
      </c>
      <c r="Q2275" s="67">
        <v>0.0</v>
      </c>
      <c r="S2275" s="68">
        <v>0.056572433</v>
      </c>
      <c r="T2275" s="68">
        <v>0.051663083</v>
      </c>
      <c r="U2275" s="68">
        <v>0.0049093495</v>
      </c>
      <c r="V2275" s="68">
        <v>0.0</v>
      </c>
      <c r="X2275" s="69">
        <v>9.677888E-5</v>
      </c>
    </row>
    <row r="2276" ht="12.75" customHeight="1">
      <c r="A2276" s="1" t="s">
        <v>2995</v>
      </c>
      <c r="B2276" s="62" t="s">
        <v>2905</v>
      </c>
      <c r="C2276" s="60" t="str">
        <f t="shared" si="501"/>
        <v>M.020.09.123</v>
      </c>
      <c r="D2276" s="51" t="s">
        <v>2973</v>
      </c>
      <c r="E2276" s="62" t="s">
        <v>45</v>
      </c>
      <c r="F2276" s="63" t="str">
        <f t="shared" si="502"/>
        <v>Sweetcorn in glass jarper 720 ml NL</v>
      </c>
      <c r="G2276" s="64">
        <v>0.34269443851915</v>
      </c>
      <c r="H2276" s="10">
        <f t="shared" si="481"/>
        <v>0.3426944385</v>
      </c>
      <c r="I2276" s="65">
        <v>1.2377705E-7</v>
      </c>
      <c r="J2276" s="65">
        <v>0.0967828637421</v>
      </c>
      <c r="K2276" s="65">
        <v>0.042263511</v>
      </c>
      <c r="L2276" s="65">
        <v>0.20364794</v>
      </c>
      <c r="N2276" s="66">
        <v>1.3576529333333334</v>
      </c>
      <c r="O2276" s="10">
        <f t="shared" si="503"/>
        <v>1.357652933</v>
      </c>
      <c r="Q2276" s="67">
        <v>0.0</v>
      </c>
      <c r="S2276" s="68">
        <v>0.044980675</v>
      </c>
      <c r="T2276" s="68">
        <v>0.040550963</v>
      </c>
      <c r="U2276" s="68">
        <v>0.0044297129</v>
      </c>
      <c r="V2276" s="68">
        <v>0.0</v>
      </c>
      <c r="X2276" s="69">
        <v>7.2308177E-5</v>
      </c>
    </row>
    <row r="2277" ht="12.75" customHeight="1">
      <c r="A2277" s="1" t="s">
        <v>2996</v>
      </c>
      <c r="B2277" s="62" t="s">
        <v>2905</v>
      </c>
      <c r="C2277" s="60" t="str">
        <f t="shared" si="501"/>
        <v>M.020.09.124</v>
      </c>
      <c r="D2277" s="51" t="s">
        <v>2973</v>
      </c>
      <c r="E2277" s="62" t="s">
        <v>45</v>
      </c>
      <c r="F2277" s="63" t="str">
        <f t="shared" si="502"/>
        <v>Tomato, not packed NL</v>
      </c>
      <c r="G2277" s="64">
        <v>0.138288663027747</v>
      </c>
      <c r="H2277" s="10">
        <f t="shared" si="481"/>
        <v>0.138288663</v>
      </c>
      <c r="I2277" s="65">
        <v>1.7554797E-8</v>
      </c>
      <c r="J2277" s="65">
        <v>0.01018978847295</v>
      </c>
      <c r="K2277" s="65">
        <v>0.003334927</v>
      </c>
      <c r="L2277" s="65">
        <v>0.12476393</v>
      </c>
      <c r="N2277" s="66">
        <v>0.8317595333333333</v>
      </c>
      <c r="O2277" s="10">
        <f t="shared" si="503"/>
        <v>0.8317595333</v>
      </c>
      <c r="Q2277" s="67">
        <v>0.0</v>
      </c>
      <c r="S2277" s="68">
        <v>0.016248633</v>
      </c>
      <c r="T2277" s="68">
        <v>0.015525255</v>
      </c>
      <c r="U2277" s="68">
        <v>7.2337839E-4</v>
      </c>
      <c r="V2277" s="68">
        <v>0.0</v>
      </c>
      <c r="X2277" s="69">
        <v>2.6957075E-5</v>
      </c>
    </row>
    <row r="2278" ht="12.75" customHeight="1">
      <c r="B2278" s="62"/>
      <c r="C2278" s="60"/>
      <c r="D2278" s="75" t="s">
        <v>2997</v>
      </c>
      <c r="E2278" s="62"/>
      <c r="G2278" s="10"/>
      <c r="H2278" s="10" t="str">
        <f t="shared" si="481"/>
        <v/>
      </c>
      <c r="I2278" s="10"/>
      <c r="J2278" s="10"/>
      <c r="K2278" s="10"/>
      <c r="L2278" s="10"/>
      <c r="N2278" s="10"/>
      <c r="O2278" s="10"/>
      <c r="Q2278" s="67"/>
    </row>
    <row r="2279" ht="12.75" customHeight="1">
      <c r="A2279" s="1" t="s">
        <v>2998</v>
      </c>
      <c r="B2279" s="62" t="s">
        <v>2905</v>
      </c>
      <c r="C2279" s="60" t="str">
        <f t="shared" ref="C2279:C2281" si="504">MID(A2279,1,12)</f>
        <v>M.020.10.101</v>
      </c>
      <c r="D2279" s="51" t="s">
        <v>2997</v>
      </c>
      <c r="E2279" s="62" t="s">
        <v>45</v>
      </c>
      <c r="F2279" s="63" t="str">
        <f t="shared" ref="F2279:F2281" si="505">MID(A2279, 21,85)</f>
        <v>Fish salad meat packaging per 1 kg NL</v>
      </c>
      <c r="G2279" s="64">
        <v>0.8965229656269</v>
      </c>
      <c r="H2279" s="10">
        <f t="shared" si="481"/>
        <v>0.8965229656</v>
      </c>
      <c r="I2279" s="65">
        <v>5.706329E-7</v>
      </c>
      <c r="J2279" s="65">
        <v>0.248478620994</v>
      </c>
      <c r="K2279" s="65">
        <v>0.018305444</v>
      </c>
      <c r="L2279" s="65">
        <v>0.62973833</v>
      </c>
      <c r="N2279" s="66">
        <v>4.198255533333334</v>
      </c>
      <c r="O2279" s="10">
        <f t="shared" ref="O2279:O2281" si="506">N2279</f>
        <v>4.198255533</v>
      </c>
      <c r="Q2279" s="67">
        <v>0.0</v>
      </c>
      <c r="S2279" s="68">
        <v>0.12658876</v>
      </c>
      <c r="T2279" s="68">
        <v>0.11752845</v>
      </c>
      <c r="U2279" s="68">
        <v>0.0090603062</v>
      </c>
      <c r="V2279" s="68">
        <v>0.0</v>
      </c>
      <c r="X2279" s="69">
        <v>2.1798192E-4</v>
      </c>
    </row>
    <row r="2280" ht="12.75" customHeight="1">
      <c r="A2280" s="1" t="s">
        <v>2999</v>
      </c>
      <c r="B2280" s="62" t="s">
        <v>2905</v>
      </c>
      <c r="C2280" s="60" t="str">
        <f t="shared" si="504"/>
        <v>M.020.10.102</v>
      </c>
      <c r="D2280" s="51" t="s">
        <v>2997</v>
      </c>
      <c r="E2280" s="62" t="s">
        <v>45</v>
      </c>
      <c r="F2280" s="63" t="str">
        <f t="shared" si="505"/>
        <v>Hummus, natural in plastic boxper 250 gram NL</v>
      </c>
      <c r="G2280" s="64">
        <v>0.61514256116981</v>
      </c>
      <c r="H2280" s="10">
        <f t="shared" si="481"/>
        <v>0.6151425612</v>
      </c>
      <c r="I2280" s="65">
        <v>1.9643401E-7</v>
      </c>
      <c r="J2280" s="65">
        <v>0.1549143217358</v>
      </c>
      <c r="K2280" s="65">
        <v>0.026686303</v>
      </c>
      <c r="L2280" s="65">
        <v>0.43354174</v>
      </c>
      <c r="N2280" s="66">
        <v>2.890278266666667</v>
      </c>
      <c r="O2280" s="10">
        <f t="shared" si="506"/>
        <v>2.890278267</v>
      </c>
      <c r="Q2280" s="67">
        <v>0.0</v>
      </c>
      <c r="S2280" s="68">
        <v>0.073334539</v>
      </c>
      <c r="T2280" s="68">
        <v>0.059157557</v>
      </c>
      <c r="U2280" s="68">
        <v>0.014176981</v>
      </c>
      <c r="V2280" s="68">
        <v>0.0</v>
      </c>
      <c r="X2280" s="69">
        <v>1.3825119E-4</v>
      </c>
    </row>
    <row r="2281" ht="12.75" customHeight="1">
      <c r="A2281" s="1" t="s">
        <v>3000</v>
      </c>
      <c r="B2281" s="62" t="s">
        <v>2905</v>
      </c>
      <c r="C2281" s="60" t="str">
        <f t="shared" si="504"/>
        <v>M.020.10.103</v>
      </c>
      <c r="D2281" s="51" t="s">
        <v>2997</v>
      </c>
      <c r="E2281" s="62" t="s">
        <v>45</v>
      </c>
      <c r="F2281" s="63" t="str">
        <f t="shared" si="505"/>
        <v>Peanut butter in glass jarper 720 ml NL</v>
      </c>
      <c r="G2281" s="64">
        <v>0.71082454973151</v>
      </c>
      <c r="H2281" s="10">
        <f t="shared" si="481"/>
        <v>0.7108245497</v>
      </c>
      <c r="I2281" s="65">
        <v>2.0732291E-7</v>
      </c>
      <c r="J2281" s="65">
        <v>0.1573980424086</v>
      </c>
      <c r="K2281" s="65">
        <v>0.03682621</v>
      </c>
      <c r="L2281" s="65">
        <v>0.51660009</v>
      </c>
      <c r="N2281" s="66">
        <v>3.4440006</v>
      </c>
      <c r="O2281" s="10">
        <f t="shared" si="506"/>
        <v>3.4440006</v>
      </c>
      <c r="Q2281" s="67">
        <v>0.0</v>
      </c>
      <c r="S2281" s="68">
        <v>0.085946679</v>
      </c>
      <c r="T2281" s="68">
        <v>0.073278569</v>
      </c>
      <c r="U2281" s="68">
        <v>0.01266811</v>
      </c>
      <c r="V2281" s="68">
        <v>0.0</v>
      </c>
      <c r="X2281" s="69">
        <v>1.5418686E-4</v>
      </c>
    </row>
    <row r="2282" ht="12.75" customHeight="1">
      <c r="B2282" s="62"/>
      <c r="C2282" s="60"/>
      <c r="D2282" s="75" t="s">
        <v>3001</v>
      </c>
      <c r="E2282" s="62"/>
      <c r="G2282" s="10"/>
      <c r="H2282" s="10" t="str">
        <f t="shared" si="481"/>
        <v/>
      </c>
      <c r="I2282" s="10"/>
      <c r="J2282" s="10"/>
      <c r="K2282" s="10"/>
      <c r="L2282" s="10"/>
      <c r="N2282" s="10"/>
      <c r="O2282" s="10"/>
      <c r="Q2282" s="67"/>
    </row>
    <row r="2283" ht="12.75" customHeight="1">
      <c r="A2283" s="1" t="s">
        <v>3002</v>
      </c>
      <c r="B2283" s="62" t="s">
        <v>2905</v>
      </c>
      <c r="C2283" s="60" t="str">
        <f t="shared" ref="C2283:C2287" si="507">MID(A2283,1,12)</f>
        <v>M.020.11.101</v>
      </c>
      <c r="D2283" s="51" t="s">
        <v>3001</v>
      </c>
      <c r="E2283" s="62" t="s">
        <v>45</v>
      </c>
      <c r="F2283" s="63" t="str">
        <f t="shared" ref="F2283:F2287" si="508">MID(A2283, 21,85)</f>
        <v>Gravy 25% fat clear prep w gravypowder in plastic cupper 250 gram NL</v>
      </c>
      <c r="G2283" s="64">
        <v>0.231234347052132</v>
      </c>
      <c r="H2283" s="10">
        <f t="shared" si="481"/>
        <v>0.2312343471</v>
      </c>
      <c r="I2283" s="65">
        <v>9.0628532E-8</v>
      </c>
      <c r="J2283" s="65">
        <v>0.0689070730236</v>
      </c>
      <c r="K2283" s="65">
        <v>0.0099289734</v>
      </c>
      <c r="L2283" s="65">
        <v>0.15239821</v>
      </c>
      <c r="N2283" s="66">
        <v>1.0159880666666667</v>
      </c>
      <c r="O2283" s="10">
        <f t="shared" ref="O2283:O2287" si="509">N2283</f>
        <v>1.015988067</v>
      </c>
      <c r="Q2283" s="67">
        <v>0.0</v>
      </c>
      <c r="S2283" s="68">
        <v>0.031198252</v>
      </c>
      <c r="T2283" s="68">
        <v>0.027007632</v>
      </c>
      <c r="U2283" s="68">
        <v>0.0041906195</v>
      </c>
      <c r="V2283" s="68">
        <v>0.0</v>
      </c>
      <c r="X2283" s="69">
        <v>5.3390996E-5</v>
      </c>
    </row>
    <row r="2284" ht="12.75" customHeight="1">
      <c r="A2284" s="1" t="s">
        <v>3003</v>
      </c>
      <c r="B2284" s="62" t="s">
        <v>2905</v>
      </c>
      <c r="C2284" s="60" t="str">
        <f t="shared" si="507"/>
        <v>M.020.11.102</v>
      </c>
      <c r="D2284" s="51" t="s">
        <v>3001</v>
      </c>
      <c r="E2284" s="62" t="s">
        <v>45</v>
      </c>
      <c r="F2284" s="63" t="str">
        <f t="shared" si="508"/>
        <v>Mayonaise, 25% fat in PET bottle NL</v>
      </c>
      <c r="G2284" s="64">
        <v>0.35500219494784</v>
      </c>
      <c r="H2284" s="10">
        <f t="shared" si="481"/>
        <v>0.3550021949</v>
      </c>
      <c r="I2284" s="65">
        <v>1.6348734E-7</v>
      </c>
      <c r="J2284" s="65">
        <v>0.1103700558605</v>
      </c>
      <c r="K2284" s="65">
        <v>0.0090216456</v>
      </c>
      <c r="L2284" s="65">
        <v>0.23561033</v>
      </c>
      <c r="N2284" s="66">
        <v>1.5707355333333335</v>
      </c>
      <c r="O2284" s="10">
        <f t="shared" si="509"/>
        <v>1.570735533</v>
      </c>
      <c r="Q2284" s="67">
        <v>0.0</v>
      </c>
      <c r="S2284" s="68">
        <v>0.050552516</v>
      </c>
      <c r="T2284" s="68">
        <v>0.045060718</v>
      </c>
      <c r="U2284" s="68">
        <v>0.005491798</v>
      </c>
      <c r="V2284" s="68">
        <v>0.0</v>
      </c>
      <c r="X2284" s="69">
        <v>8.4456558E-5</v>
      </c>
    </row>
    <row r="2285" ht="12.75" customHeight="1">
      <c r="A2285" s="1" t="s">
        <v>3004</v>
      </c>
      <c r="B2285" s="62" t="s">
        <v>2905</v>
      </c>
      <c r="C2285" s="60" t="str">
        <f t="shared" si="507"/>
        <v>M.020.11.103</v>
      </c>
      <c r="D2285" s="51" t="s">
        <v>3001</v>
      </c>
      <c r="E2285" s="62" t="s">
        <v>45</v>
      </c>
      <c r="F2285" s="63" t="str">
        <f t="shared" si="508"/>
        <v>Mayonnaise in PET bottle NL</v>
      </c>
      <c r="G2285" s="64">
        <v>0.65580329642771</v>
      </c>
      <c r="H2285" s="10">
        <f t="shared" si="481"/>
        <v>0.6558032964</v>
      </c>
      <c r="I2285" s="65">
        <v>2.8164111E-7</v>
      </c>
      <c r="J2285" s="65">
        <v>0.20914528448659997</v>
      </c>
      <c r="K2285" s="65">
        <v>0.0090534503</v>
      </c>
      <c r="L2285" s="65">
        <v>0.43760428</v>
      </c>
      <c r="N2285" s="66">
        <v>2.917361866666667</v>
      </c>
      <c r="O2285" s="10">
        <f t="shared" si="509"/>
        <v>2.917361867</v>
      </c>
      <c r="Q2285" s="67">
        <v>0.0</v>
      </c>
      <c r="S2285" s="68">
        <v>0.091801495</v>
      </c>
      <c r="T2285" s="68">
        <v>0.079169521</v>
      </c>
      <c r="U2285" s="68">
        <v>0.012631975</v>
      </c>
      <c r="V2285" s="68">
        <v>0.0</v>
      </c>
      <c r="X2285" s="69">
        <v>1.5778184E-4</v>
      </c>
    </row>
    <row r="2286" ht="12.75" customHeight="1">
      <c r="A2286" s="1" t="s">
        <v>3005</v>
      </c>
      <c r="B2286" s="62" t="s">
        <v>2905</v>
      </c>
      <c r="C2286" s="60" t="str">
        <f t="shared" si="507"/>
        <v>M.020.11.104</v>
      </c>
      <c r="D2286" s="51" t="s">
        <v>3001</v>
      </c>
      <c r="E2286" s="62" t="s">
        <v>45</v>
      </c>
      <c r="F2286" s="63" t="str">
        <f t="shared" si="508"/>
        <v>Oriental sauce, ready-made in glass jarper 125 gram NL</v>
      </c>
      <c r="G2286" s="64">
        <v>0.48227190906204004</v>
      </c>
      <c r="H2286" s="10">
        <f t="shared" si="481"/>
        <v>0.4822719091</v>
      </c>
      <c r="I2286" s="65">
        <v>2.5066994E-7</v>
      </c>
      <c r="J2286" s="65">
        <v>0.14562480639210001</v>
      </c>
      <c r="K2286" s="65">
        <v>0.025831862</v>
      </c>
      <c r="L2286" s="65">
        <v>0.31081499</v>
      </c>
      <c r="N2286" s="66">
        <v>2.0720999333333334</v>
      </c>
      <c r="O2286" s="10">
        <f t="shared" si="509"/>
        <v>2.072099933</v>
      </c>
      <c r="Q2286" s="67">
        <v>0.0</v>
      </c>
      <c r="S2286" s="68">
        <v>0.072016516</v>
      </c>
      <c r="T2286" s="68">
        <v>0.068574056</v>
      </c>
      <c r="U2286" s="68">
        <v>0.0034424601</v>
      </c>
      <c r="V2286" s="68">
        <v>0.0</v>
      </c>
      <c r="X2286" s="69">
        <v>1.1179011E-4</v>
      </c>
    </row>
    <row r="2287" ht="12.75" customHeight="1">
      <c r="A2287" s="1" t="s">
        <v>3006</v>
      </c>
      <c r="B2287" s="62" t="s">
        <v>2905</v>
      </c>
      <c r="C2287" s="60" t="str">
        <f t="shared" si="507"/>
        <v>M.020.11.105</v>
      </c>
      <c r="D2287" s="51" t="s">
        <v>3001</v>
      </c>
      <c r="E2287" s="62" t="s">
        <v>45</v>
      </c>
      <c r="F2287" s="63" t="str">
        <f t="shared" si="508"/>
        <v>Tomato sauce, ready-made in glass jarper 125 gram NL</v>
      </c>
      <c r="G2287" s="64">
        <v>0.30214201786804995</v>
      </c>
      <c r="H2287" s="10">
        <f t="shared" si="481"/>
        <v>0.3021420179</v>
      </c>
      <c r="I2287" s="65">
        <v>1.1781985E-7</v>
      </c>
      <c r="J2287" s="65">
        <v>0.08725823704819999</v>
      </c>
      <c r="K2287" s="65">
        <v>0.016169853</v>
      </c>
      <c r="L2287" s="65">
        <v>0.19871381</v>
      </c>
      <c r="N2287" s="66">
        <v>1.3247587333333333</v>
      </c>
      <c r="O2287" s="10">
        <f t="shared" si="509"/>
        <v>1.324758733</v>
      </c>
      <c r="Q2287" s="67">
        <v>0.0</v>
      </c>
      <c r="S2287" s="68">
        <v>0.045272943</v>
      </c>
      <c r="T2287" s="68">
        <v>0.043232058</v>
      </c>
      <c r="U2287" s="68">
        <v>0.0020408859</v>
      </c>
      <c r="V2287" s="68">
        <v>0.0</v>
      </c>
      <c r="X2287" s="69">
        <v>6.7527143E-5</v>
      </c>
    </row>
    <row r="2288" ht="12.75" customHeight="1">
      <c r="B2288" s="62"/>
      <c r="C2288" s="60"/>
      <c r="D2288" s="75" t="s">
        <v>3007</v>
      </c>
      <c r="E2288" s="62"/>
      <c r="G2288" s="10"/>
      <c r="H2288" s="10" t="str">
        <f t="shared" si="481"/>
        <v/>
      </c>
      <c r="I2288" s="10"/>
      <c r="J2288" s="10"/>
      <c r="K2288" s="10"/>
      <c r="L2288" s="10"/>
      <c r="N2288" s="10"/>
      <c r="O2288" s="10"/>
      <c r="Q2288" s="67"/>
    </row>
    <row r="2289" ht="12.75" customHeight="1">
      <c r="A2289" s="1" t="s">
        <v>3008</v>
      </c>
      <c r="B2289" s="62" t="s">
        <v>2905</v>
      </c>
      <c r="C2289" s="60" t="str">
        <f t="shared" ref="C2289:C2293" si="510">MID(A2289,1,12)</f>
        <v>M.020.12.101</v>
      </c>
      <c r="D2289" s="51" t="s">
        <v>3007</v>
      </c>
      <c r="E2289" s="62" t="s">
        <v>45</v>
      </c>
      <c r="F2289" s="63" t="str">
        <f t="shared" ref="F2289:F2293" si="511">MID(A2289, 21,85)</f>
        <v>Crisps potato in plastic foil per 500 gram NL</v>
      </c>
      <c r="G2289" s="64">
        <v>0.65482917119852</v>
      </c>
      <c r="H2289" s="10">
        <f t="shared" si="481"/>
        <v>0.6548291712</v>
      </c>
      <c r="I2289" s="65">
        <v>5.1078952E-7</v>
      </c>
      <c r="J2289" s="65">
        <v>0.158326496409</v>
      </c>
      <c r="K2289" s="65">
        <v>0.024525034</v>
      </c>
      <c r="L2289" s="65">
        <v>0.47197713</v>
      </c>
      <c r="N2289" s="66">
        <v>3.1465142000000004</v>
      </c>
      <c r="O2289" s="10">
        <f t="shared" ref="O2289:O2293" si="512">N2289</f>
        <v>3.1465142</v>
      </c>
      <c r="Q2289" s="67">
        <v>0.0</v>
      </c>
      <c r="S2289" s="68">
        <v>0.085686657</v>
      </c>
      <c r="T2289" s="68">
        <v>0.079724934</v>
      </c>
      <c r="U2289" s="68">
        <v>0.0059617233</v>
      </c>
      <c r="V2289" s="68">
        <v>0.0</v>
      </c>
      <c r="X2289" s="69">
        <v>1.5989268E-4</v>
      </c>
    </row>
    <row r="2290" ht="12.75" customHeight="1">
      <c r="A2290" s="1" t="s">
        <v>3009</v>
      </c>
      <c r="B2290" s="62" t="s">
        <v>2905</v>
      </c>
      <c r="C2290" s="60" t="str">
        <f t="shared" si="510"/>
        <v>M.020.12.102</v>
      </c>
      <c r="D2290" s="51" t="s">
        <v>3007</v>
      </c>
      <c r="E2290" s="62" t="s">
        <v>45</v>
      </c>
      <c r="F2290" s="63" t="str">
        <f t="shared" si="511"/>
        <v>Croquette meat ragout frozen in cardboard box NL</v>
      </c>
      <c r="G2290" s="64">
        <v>0.96084533226254</v>
      </c>
      <c r="H2290" s="10">
        <f t="shared" si="481"/>
        <v>0.9608453323</v>
      </c>
      <c r="I2290" s="65">
        <v>2.5151734E-7</v>
      </c>
      <c r="J2290" s="65">
        <v>0.20853000974519997</v>
      </c>
      <c r="K2290" s="65">
        <v>0.018285531</v>
      </c>
      <c r="L2290" s="65">
        <v>0.73402954</v>
      </c>
      <c r="N2290" s="66">
        <v>4.893530266666667</v>
      </c>
      <c r="O2290" s="10">
        <f t="shared" si="512"/>
        <v>4.893530267</v>
      </c>
      <c r="Q2290" s="67">
        <v>0.0</v>
      </c>
      <c r="S2290" s="68">
        <v>0.13214783</v>
      </c>
      <c r="T2290" s="68">
        <v>0.12299536</v>
      </c>
      <c r="U2290" s="68">
        <v>0.0091524713</v>
      </c>
      <c r="V2290" s="68">
        <v>0.0</v>
      </c>
      <c r="X2290" s="69">
        <v>2.0911174E-4</v>
      </c>
    </row>
    <row r="2291" ht="12.75" customHeight="1">
      <c r="A2291" s="1" t="s">
        <v>3010</v>
      </c>
      <c r="B2291" s="62" t="s">
        <v>2905</v>
      </c>
      <c r="C2291" s="60" t="str">
        <f t="shared" si="510"/>
        <v>M.020.12.103</v>
      </c>
      <c r="D2291" s="51" t="s">
        <v>3007</v>
      </c>
      <c r="E2291" s="62" t="s">
        <v>45</v>
      </c>
      <c r="F2291" s="63" t="str">
        <f t="shared" si="511"/>
        <v>Popcorn puffed, natural in plastic foil per 500 gram NL</v>
      </c>
      <c r="G2291" s="64">
        <v>0.169621606246807</v>
      </c>
      <c r="H2291" s="10">
        <f t="shared" si="481"/>
        <v>0.1696216062</v>
      </c>
      <c r="I2291" s="65">
        <v>6.8776907E-8</v>
      </c>
      <c r="J2291" s="65">
        <v>0.0486537264699</v>
      </c>
      <c r="K2291" s="65">
        <v>0.026535886</v>
      </c>
      <c r="L2291" s="65">
        <v>0.094431925</v>
      </c>
      <c r="N2291" s="66">
        <v>0.6295461666666667</v>
      </c>
      <c r="O2291" s="10">
        <f t="shared" si="512"/>
        <v>0.6295461667</v>
      </c>
      <c r="Q2291" s="67">
        <v>0.0</v>
      </c>
      <c r="S2291" s="68">
        <v>0.020875697</v>
      </c>
      <c r="T2291" s="68">
        <v>0.018215627</v>
      </c>
      <c r="U2291" s="68">
        <v>0.0026600694</v>
      </c>
      <c r="V2291" s="68">
        <v>0.0</v>
      </c>
      <c r="X2291" s="69">
        <v>3.5414482E-5</v>
      </c>
    </row>
    <row r="2292" ht="12.75" customHeight="1">
      <c r="A2292" s="1" t="s">
        <v>3011</v>
      </c>
      <c r="B2292" s="62" t="s">
        <v>2905</v>
      </c>
      <c r="C2292" s="60" t="str">
        <f t="shared" si="510"/>
        <v>M.020.12.104</v>
      </c>
      <c r="D2292" s="51" t="s">
        <v>3007</v>
      </c>
      <c r="E2292" s="62" t="s">
        <v>45</v>
      </c>
      <c r="F2292" s="63" t="str">
        <f t="shared" si="511"/>
        <v>Sausage roll, puff pastry in plastic foil per 500 gram NL</v>
      </c>
      <c r="G2292" s="64">
        <v>0.77995782205615</v>
      </c>
      <c r="H2292" s="10">
        <f t="shared" si="481"/>
        <v>0.7799578221</v>
      </c>
      <c r="I2292" s="65">
        <v>2.6127765E-7</v>
      </c>
      <c r="J2292" s="65">
        <v>0.20817588777850002</v>
      </c>
      <c r="K2292" s="65">
        <v>0.016959873</v>
      </c>
      <c r="L2292" s="65">
        <v>0.5548218</v>
      </c>
      <c r="N2292" s="66">
        <v>3.698812</v>
      </c>
      <c r="O2292" s="10">
        <f t="shared" si="512"/>
        <v>3.698812</v>
      </c>
      <c r="Q2292" s="67">
        <v>0.0</v>
      </c>
      <c r="S2292" s="68">
        <v>0.10959888</v>
      </c>
      <c r="T2292" s="68">
        <v>0.099549837</v>
      </c>
      <c r="U2292" s="68">
        <v>0.010049046</v>
      </c>
      <c r="V2292" s="68">
        <v>0.0</v>
      </c>
      <c r="X2292" s="69">
        <v>1.7694574E-4</v>
      </c>
    </row>
    <row r="2293" ht="12.75" customHeight="1">
      <c r="A2293" s="1" t="s">
        <v>3012</v>
      </c>
      <c r="B2293" s="62" t="s">
        <v>2905</v>
      </c>
      <c r="C2293" s="60" t="str">
        <f t="shared" si="510"/>
        <v>M.020.12.105</v>
      </c>
      <c r="D2293" s="51" t="s">
        <v>3007</v>
      </c>
      <c r="E2293" s="62" t="s">
        <v>45</v>
      </c>
      <c r="F2293" s="63" t="str">
        <f t="shared" si="511"/>
        <v>Sausage, dutch Frikandel frozen in cardboard box NL</v>
      </c>
      <c r="G2293" s="64">
        <v>0.61728932355948</v>
      </c>
      <c r="H2293" s="10">
        <f t="shared" si="481"/>
        <v>0.6172893236</v>
      </c>
      <c r="I2293" s="65">
        <v>2.0888538E-7</v>
      </c>
      <c r="J2293" s="65">
        <v>0.1958426806741</v>
      </c>
      <c r="K2293" s="65">
        <v>0.013068704</v>
      </c>
      <c r="L2293" s="65">
        <v>0.40837773</v>
      </c>
      <c r="N2293" s="66">
        <v>2.7225182</v>
      </c>
      <c r="O2293" s="10">
        <f t="shared" si="512"/>
        <v>2.7225182</v>
      </c>
      <c r="Q2293" s="67">
        <v>0.0</v>
      </c>
      <c r="S2293" s="68">
        <v>0.093809816</v>
      </c>
      <c r="T2293" s="68">
        <v>0.086367406</v>
      </c>
      <c r="U2293" s="68">
        <v>0.0074424105</v>
      </c>
      <c r="V2293" s="68">
        <v>0.0</v>
      </c>
      <c r="X2293" s="69">
        <v>1.427923E-4</v>
      </c>
    </row>
    <row r="2294" ht="12.75" customHeight="1">
      <c r="B2294" s="62"/>
      <c r="C2294" s="60"/>
      <c r="D2294" s="75" t="s">
        <v>3013</v>
      </c>
      <c r="E2294" s="62"/>
      <c r="G2294" s="10"/>
      <c r="H2294" s="10" t="str">
        <f t="shared" si="481"/>
        <v/>
      </c>
      <c r="I2294" s="10"/>
      <c r="J2294" s="10"/>
      <c r="K2294" s="10"/>
      <c r="L2294" s="10"/>
      <c r="N2294" s="10"/>
      <c r="O2294" s="10"/>
      <c r="Q2294" s="67"/>
    </row>
    <row r="2295" ht="12.75" customHeight="1">
      <c r="A2295" s="1" t="s">
        <v>3014</v>
      </c>
      <c r="B2295" s="62" t="s">
        <v>2905</v>
      </c>
      <c r="C2295" s="60" t="str">
        <f t="shared" ref="C2295:C2301" si="513">MID(A2295,1,12)</f>
        <v>M.020.13.101</v>
      </c>
      <c r="D2295" s="51" t="s">
        <v>3013</v>
      </c>
      <c r="E2295" s="62" t="s">
        <v>45</v>
      </c>
      <c r="F2295" s="63" t="str">
        <f t="shared" ref="F2295:F2301" si="514">MID(A2295, 21,85)</f>
        <v>Cheese 20+ in plastic boxper 250 gram NL</v>
      </c>
      <c r="G2295" s="64">
        <v>1.5084981002014801</v>
      </c>
      <c r="H2295" s="10">
        <f t="shared" si="481"/>
        <v>1.5084981</v>
      </c>
      <c r="I2295" s="65">
        <v>2.6465718E-7</v>
      </c>
      <c r="J2295" s="65">
        <v>0.33282410354430003</v>
      </c>
      <c r="K2295" s="65">
        <v>0.036237432</v>
      </c>
      <c r="L2295" s="65">
        <v>1.1394363</v>
      </c>
      <c r="N2295" s="66">
        <v>7.596242000000001</v>
      </c>
      <c r="O2295" s="10">
        <f t="shared" ref="O2295:O2301" si="515">N2295</f>
        <v>7.596242</v>
      </c>
      <c r="Q2295" s="67">
        <v>0.0</v>
      </c>
      <c r="S2295" s="68">
        <v>0.21400237</v>
      </c>
      <c r="T2295" s="68">
        <v>0.20200897</v>
      </c>
      <c r="U2295" s="68">
        <v>0.011993404</v>
      </c>
      <c r="V2295" s="68">
        <v>0.0</v>
      </c>
      <c r="X2295" s="69">
        <v>3.1944766E-4</v>
      </c>
    </row>
    <row r="2296" ht="12.75" customHeight="1">
      <c r="A2296" s="1" t="s">
        <v>3015</v>
      </c>
      <c r="B2296" s="62" t="s">
        <v>2905</v>
      </c>
      <c r="C2296" s="60" t="str">
        <f t="shared" si="513"/>
        <v>M.020.13.102</v>
      </c>
      <c r="D2296" s="51" t="s">
        <v>3013</v>
      </c>
      <c r="E2296" s="62" t="s">
        <v>45</v>
      </c>
      <c r="F2296" s="63" t="str">
        <f t="shared" si="514"/>
        <v>Cheese Edam 40+ in plastic boxper 250 gram NL</v>
      </c>
      <c r="G2296" s="64">
        <v>1.5945685392444802</v>
      </c>
      <c r="H2296" s="10">
        <f t="shared" si="481"/>
        <v>1.594568539</v>
      </c>
      <c r="I2296" s="65">
        <v>2.7893878E-7</v>
      </c>
      <c r="J2296" s="65">
        <v>0.3519448273057</v>
      </c>
      <c r="K2296" s="65">
        <v>0.038249733</v>
      </c>
      <c r="L2296" s="65">
        <v>1.2043737</v>
      </c>
      <c r="N2296" s="66">
        <v>8.029158</v>
      </c>
      <c r="O2296" s="10">
        <f t="shared" si="515"/>
        <v>8.029158</v>
      </c>
      <c r="Q2296" s="67">
        <v>0.0</v>
      </c>
      <c r="S2296" s="68">
        <v>0.2262528</v>
      </c>
      <c r="T2296" s="68">
        <v>0.21356952</v>
      </c>
      <c r="U2296" s="68">
        <v>0.01268328</v>
      </c>
      <c r="V2296" s="68">
        <v>0.0</v>
      </c>
      <c r="X2296" s="69">
        <v>3.376544E-4</v>
      </c>
    </row>
    <row r="2297" ht="12.75" customHeight="1">
      <c r="A2297" s="1" t="s">
        <v>3016</v>
      </c>
      <c r="B2297" s="62" t="s">
        <v>2905</v>
      </c>
      <c r="C2297" s="60" t="str">
        <f t="shared" si="513"/>
        <v>M.020.13.103</v>
      </c>
      <c r="D2297" s="51" t="s">
        <v>3013</v>
      </c>
      <c r="E2297" s="62" t="s">
        <v>45</v>
      </c>
      <c r="F2297" s="63" t="str">
        <f t="shared" si="514"/>
        <v>Cheese goat fresh in plastic boxper 250 gram NL</v>
      </c>
      <c r="G2297" s="64">
        <v>1.73967182437382</v>
      </c>
      <c r="H2297" s="10">
        <f t="shared" si="481"/>
        <v>1.739671824</v>
      </c>
      <c r="I2297" s="65">
        <v>5.1903482E-7</v>
      </c>
      <c r="J2297" s="65">
        <v>0.6672206983390001</v>
      </c>
      <c r="K2297" s="65">
        <v>0.044152607</v>
      </c>
      <c r="L2297" s="65">
        <v>1.028298</v>
      </c>
      <c r="N2297" s="66">
        <v>6.85532</v>
      </c>
      <c r="O2297" s="10">
        <f t="shared" si="515"/>
        <v>6.85532</v>
      </c>
      <c r="Q2297" s="67">
        <v>0.0</v>
      </c>
      <c r="S2297" s="68">
        <v>0.29385763</v>
      </c>
      <c r="T2297" s="68">
        <v>0.27651072</v>
      </c>
      <c r="U2297" s="68">
        <v>0.017346908</v>
      </c>
      <c r="V2297" s="68">
        <v>0.0</v>
      </c>
      <c r="X2297" s="69">
        <v>4.0617951E-4</v>
      </c>
    </row>
    <row r="2298" ht="12.75" customHeight="1">
      <c r="A2298" s="1" t="s">
        <v>3017</v>
      </c>
      <c r="B2298" s="62" t="s">
        <v>2905</v>
      </c>
      <c r="C2298" s="60" t="str">
        <f t="shared" si="513"/>
        <v>M.020.13.104</v>
      </c>
      <c r="D2298" s="51" t="s">
        <v>3013</v>
      </c>
      <c r="E2298" s="62" t="s">
        <v>45</v>
      </c>
      <c r="F2298" s="63" t="str">
        <f t="shared" si="514"/>
        <v>Cheese Gouda 48+ in plastic boxper 250 gram NL</v>
      </c>
      <c r="G2298" s="64">
        <v>1.8226906161568799</v>
      </c>
      <c r="H2298" s="10">
        <f t="shared" si="481"/>
        <v>1.822690616</v>
      </c>
      <c r="I2298" s="65">
        <v>3.0620058E-7</v>
      </c>
      <c r="J2298" s="65">
        <v>0.4029561369563</v>
      </c>
      <c r="K2298" s="65">
        <v>0.038447973</v>
      </c>
      <c r="L2298" s="65">
        <v>1.3812862</v>
      </c>
      <c r="N2298" s="66">
        <v>9.208574666666667</v>
      </c>
      <c r="O2298" s="10">
        <f t="shared" si="515"/>
        <v>9.208574667</v>
      </c>
      <c r="Q2298" s="67">
        <v>0.0</v>
      </c>
      <c r="S2298" s="68">
        <v>0.25943978</v>
      </c>
      <c r="T2298" s="68">
        <v>0.24483062</v>
      </c>
      <c r="U2298" s="68">
        <v>0.014609156</v>
      </c>
      <c r="V2298" s="68">
        <v>0.0</v>
      </c>
      <c r="X2298" s="69">
        <v>3.8635272E-4</v>
      </c>
    </row>
    <row r="2299" ht="12.75" customHeight="1">
      <c r="A2299" s="1" t="s">
        <v>3018</v>
      </c>
      <c r="B2299" s="62" t="s">
        <v>2905</v>
      </c>
      <c r="C2299" s="60" t="str">
        <f t="shared" si="513"/>
        <v>M.020.13.105</v>
      </c>
      <c r="D2299" s="51" t="s">
        <v>3013</v>
      </c>
      <c r="E2299" s="62" t="s">
        <v>45</v>
      </c>
      <c r="F2299" s="63" t="str">
        <f t="shared" si="514"/>
        <v>Cheese Mozzarella in plastic boxper 250 gram NL</v>
      </c>
      <c r="G2299" s="64">
        <v>1.2246282113334899</v>
      </c>
      <c r="H2299" s="10">
        <f t="shared" si="481"/>
        <v>1.224628211</v>
      </c>
      <c r="I2299" s="65">
        <v>2.1397649E-7</v>
      </c>
      <c r="J2299" s="65">
        <v>0.270285215357</v>
      </c>
      <c r="K2299" s="65">
        <v>0.029581732</v>
      </c>
      <c r="L2299" s="65">
        <v>0.92476105</v>
      </c>
      <c r="N2299" s="66">
        <v>6.165073666666666</v>
      </c>
      <c r="O2299" s="10">
        <f t="shared" si="515"/>
        <v>6.165073667</v>
      </c>
      <c r="Q2299" s="67">
        <v>0.0</v>
      </c>
      <c r="S2299" s="68">
        <v>0.1737498</v>
      </c>
      <c r="T2299" s="68">
        <v>0.16401439</v>
      </c>
      <c r="U2299" s="68">
        <v>0.0097354123</v>
      </c>
      <c r="V2299" s="68">
        <v>0.0</v>
      </c>
      <c r="X2299" s="69">
        <v>2.5926438E-4</v>
      </c>
    </row>
    <row r="2300" ht="12.75" customHeight="1">
      <c r="A2300" s="1" t="s">
        <v>3019</v>
      </c>
      <c r="B2300" s="62" t="s">
        <v>2905</v>
      </c>
      <c r="C2300" s="60" t="str">
        <f t="shared" si="513"/>
        <v>M.020.13.106</v>
      </c>
      <c r="D2300" s="51" t="s">
        <v>3013</v>
      </c>
      <c r="E2300" s="62" t="s">
        <v>45</v>
      </c>
      <c r="F2300" s="63" t="str">
        <f t="shared" si="514"/>
        <v>Cheese old 48+ in plastic boxper 250 gram NL</v>
      </c>
      <c r="G2300" s="64">
        <v>1.8966676489789</v>
      </c>
      <c r="H2300" s="10">
        <f t="shared" si="481"/>
        <v>1.896667649</v>
      </c>
      <c r="I2300" s="65">
        <v>3.29065E-7</v>
      </c>
      <c r="J2300" s="65">
        <v>0.41905670391390004</v>
      </c>
      <c r="K2300" s="65">
        <v>0.045312716</v>
      </c>
      <c r="L2300" s="65">
        <v>1.4322979</v>
      </c>
      <c r="N2300" s="66">
        <v>9.548652666666667</v>
      </c>
      <c r="O2300" s="10">
        <f t="shared" si="515"/>
        <v>9.548652667</v>
      </c>
      <c r="Q2300" s="67">
        <v>0.0</v>
      </c>
      <c r="S2300" s="68">
        <v>0.26925064</v>
      </c>
      <c r="T2300" s="68">
        <v>0.25414596</v>
      </c>
      <c r="U2300" s="68">
        <v>0.015104677</v>
      </c>
      <c r="V2300" s="68">
        <v>0.0</v>
      </c>
      <c r="X2300" s="69">
        <v>4.0155828E-4</v>
      </c>
    </row>
    <row r="2301" ht="12.75" customHeight="1">
      <c r="A2301" s="1" t="s">
        <v>3020</v>
      </c>
      <c r="B2301" s="62" t="s">
        <v>2905</v>
      </c>
      <c r="C2301" s="60" t="str">
        <f t="shared" si="513"/>
        <v>M.020.13.107</v>
      </c>
      <c r="D2301" s="51" t="s">
        <v>3013</v>
      </c>
      <c r="E2301" s="62" t="s">
        <v>45</v>
      </c>
      <c r="F2301" s="63" t="str">
        <f t="shared" si="514"/>
        <v>Cheese spread 48+ in plastic boxper 250 gram NL</v>
      </c>
      <c r="G2301" s="64">
        <v>1.21188825141785</v>
      </c>
      <c r="H2301" s="10">
        <f t="shared" si="481"/>
        <v>1.211888251</v>
      </c>
      <c r="I2301" s="65">
        <v>2.1135135E-7</v>
      </c>
      <c r="J2301" s="65">
        <v>0.2648741850665</v>
      </c>
      <c r="K2301" s="65">
        <v>0.026101545</v>
      </c>
      <c r="L2301" s="65">
        <v>0.92091231</v>
      </c>
      <c r="N2301" s="66">
        <v>6.1394154</v>
      </c>
      <c r="O2301" s="10">
        <f t="shared" si="515"/>
        <v>6.1394154</v>
      </c>
      <c r="Q2301" s="67">
        <v>0.0</v>
      </c>
      <c r="S2301" s="68">
        <v>0.17180271</v>
      </c>
      <c r="T2301" s="68">
        <v>0.16217338</v>
      </c>
      <c r="U2301" s="68">
        <v>0.0096293301</v>
      </c>
      <c r="V2301" s="68">
        <v>0.0</v>
      </c>
      <c r="X2301" s="69">
        <v>2.5689506E-4</v>
      </c>
    </row>
    <row r="2302" ht="12.75" customHeight="1">
      <c r="B2302" s="62"/>
      <c r="C2302" s="60"/>
      <c r="D2302" s="75" t="s">
        <v>3021</v>
      </c>
      <c r="E2302" s="62"/>
      <c r="G2302" s="10"/>
      <c r="H2302" s="10" t="str">
        <f t="shared" si="481"/>
        <v/>
      </c>
      <c r="I2302" s="10"/>
      <c r="J2302" s="10"/>
      <c r="K2302" s="10"/>
      <c r="L2302" s="10"/>
      <c r="N2302" s="10"/>
      <c r="O2302" s="10"/>
      <c r="Q2302" s="67"/>
    </row>
    <row r="2303" ht="12.75" customHeight="1">
      <c r="A2303" s="1" t="s">
        <v>3022</v>
      </c>
      <c r="B2303" s="62" t="s">
        <v>2905</v>
      </c>
      <c r="C2303" s="60" t="str">
        <f>MID(A2303,1,12)</f>
        <v>M.020.14.101</v>
      </c>
      <c r="D2303" s="51" t="s">
        <v>3021</v>
      </c>
      <c r="E2303" s="62" t="s">
        <v>45</v>
      </c>
      <c r="F2303" s="63" t="str">
        <f>MID(A2303, 21,85)</f>
        <v>Stock cubes in cardboard box NL</v>
      </c>
      <c r="G2303" s="64">
        <v>0.31278539101118996</v>
      </c>
      <c r="H2303" s="10">
        <f t="shared" si="481"/>
        <v>0.312785391</v>
      </c>
      <c r="I2303" s="65">
        <v>1.9552549E-7</v>
      </c>
      <c r="J2303" s="65">
        <v>0.0766467084857</v>
      </c>
      <c r="K2303" s="65">
        <v>0.016552517</v>
      </c>
      <c r="L2303" s="65">
        <v>0.21958597</v>
      </c>
      <c r="N2303" s="66">
        <v>1.4639064666666666</v>
      </c>
      <c r="O2303" s="10">
        <f>N2303</f>
        <v>1.463906467</v>
      </c>
      <c r="Q2303" s="67">
        <v>0.0</v>
      </c>
      <c r="S2303" s="68">
        <v>0.04148688</v>
      </c>
      <c r="T2303" s="68">
        <v>0.03861505</v>
      </c>
      <c r="U2303" s="68">
        <v>0.0028718302</v>
      </c>
      <c r="V2303" s="68">
        <v>0.0</v>
      </c>
      <c r="X2303" s="69">
        <v>7.2978154E-5</v>
      </c>
    </row>
    <row r="2304" ht="12.75" customHeight="1">
      <c r="B2304" s="62"/>
      <c r="C2304" s="60"/>
      <c r="D2304" s="75" t="s">
        <v>3023</v>
      </c>
      <c r="E2304" s="62"/>
      <c r="G2304" s="10"/>
      <c r="H2304" s="10" t="str">
        <f t="shared" si="481"/>
        <v/>
      </c>
      <c r="I2304" s="10"/>
      <c r="J2304" s="10"/>
      <c r="K2304" s="10"/>
      <c r="L2304" s="10"/>
      <c r="N2304" s="10"/>
      <c r="O2304" s="10"/>
      <c r="Q2304" s="67"/>
    </row>
    <row r="2305" ht="12.75" customHeight="1">
      <c r="A2305" s="1" t="s">
        <v>3024</v>
      </c>
      <c r="B2305" s="62" t="s">
        <v>2905</v>
      </c>
      <c r="C2305" s="60" t="str">
        <f t="shared" ref="C2305:C2319" si="516">MID(A2305,1,12)</f>
        <v>M.020.15.102</v>
      </c>
      <c r="D2305" s="51" t="s">
        <v>3023</v>
      </c>
      <c r="E2305" s="62" t="s">
        <v>45</v>
      </c>
      <c r="F2305" s="63" t="str">
        <f t="shared" ref="F2305:F2319" si="517">MID(A2305, 21,85)</f>
        <v>Cream, whipped in multilayer carton per 1000 ml NL</v>
      </c>
      <c r="G2305" s="64">
        <v>0.9921604578879399</v>
      </c>
      <c r="H2305" s="10">
        <f t="shared" si="481"/>
        <v>0.9921604579</v>
      </c>
      <c r="I2305" s="65">
        <v>1.6468544E-7</v>
      </c>
      <c r="J2305" s="65">
        <v>0.2218270902025</v>
      </c>
      <c r="K2305" s="65">
        <v>0.020768883</v>
      </c>
      <c r="L2305" s="65">
        <v>0.74956432</v>
      </c>
      <c r="N2305" s="66">
        <v>4.997095466666667</v>
      </c>
      <c r="O2305" s="10">
        <f t="shared" ref="O2305:O2319" si="518">N2305</f>
        <v>4.997095467</v>
      </c>
      <c r="Q2305" s="67">
        <v>0.0</v>
      </c>
      <c r="S2305" s="68">
        <v>0.14165691</v>
      </c>
      <c r="T2305" s="68">
        <v>0.13362611</v>
      </c>
      <c r="U2305" s="68">
        <v>0.0080308041</v>
      </c>
      <c r="V2305" s="68">
        <v>0.0</v>
      </c>
      <c r="X2305" s="69">
        <v>2.1048181E-4</v>
      </c>
    </row>
    <row r="2306" ht="12.75" customHeight="1">
      <c r="A2306" s="1" t="s">
        <v>3025</v>
      </c>
      <c r="B2306" s="62" t="s">
        <v>2905</v>
      </c>
      <c r="C2306" s="60" t="str">
        <f t="shared" si="516"/>
        <v>M.020.15.103</v>
      </c>
      <c r="D2306" s="51" t="s">
        <v>3023</v>
      </c>
      <c r="E2306" s="62" t="s">
        <v>45</v>
      </c>
      <c r="F2306" s="63" t="str">
        <f t="shared" si="517"/>
        <v>Custard several flavours, full fat in multilayer carton per 1000 ml NL</v>
      </c>
      <c r="G2306" s="64">
        <v>0.273950449941941</v>
      </c>
      <c r="H2306" s="10">
        <f t="shared" si="481"/>
        <v>0.2739504499</v>
      </c>
      <c r="I2306" s="65">
        <v>7.5689141E-8</v>
      </c>
      <c r="J2306" s="65">
        <v>0.0565354887528</v>
      </c>
      <c r="K2306" s="65">
        <v>0.0075770455</v>
      </c>
      <c r="L2306" s="65">
        <v>0.20983784</v>
      </c>
      <c r="N2306" s="66">
        <v>1.3989189333333334</v>
      </c>
      <c r="O2306" s="10">
        <f t="shared" si="518"/>
        <v>1.398918933</v>
      </c>
      <c r="Q2306" s="67">
        <v>0.0</v>
      </c>
      <c r="S2306" s="68">
        <v>0.037513233</v>
      </c>
      <c r="T2306" s="68">
        <v>0.035395672</v>
      </c>
      <c r="U2306" s="68">
        <v>0.0021175606</v>
      </c>
      <c r="V2306" s="68">
        <v>0.0</v>
      </c>
      <c r="X2306" s="69">
        <v>5.8943538E-5</v>
      </c>
    </row>
    <row r="2307" ht="12.75" customHeight="1">
      <c r="A2307" s="1" t="s">
        <v>3026</v>
      </c>
      <c r="B2307" s="62" t="s">
        <v>2905</v>
      </c>
      <c r="C2307" s="60" t="str">
        <f t="shared" si="516"/>
        <v>M.020.15.104</v>
      </c>
      <c r="D2307" s="51" t="s">
        <v>3023</v>
      </c>
      <c r="E2307" s="62" t="s">
        <v>45</v>
      </c>
      <c r="F2307" s="63" t="str">
        <f t="shared" si="517"/>
        <v>Custard vanilla, full fat in multilayer carton per 1000 ml NL</v>
      </c>
      <c r="G2307" s="64">
        <v>0.273950449941941</v>
      </c>
      <c r="H2307" s="10">
        <f t="shared" si="481"/>
        <v>0.2739504499</v>
      </c>
      <c r="I2307" s="65">
        <v>7.5689141E-8</v>
      </c>
      <c r="J2307" s="65">
        <v>0.0565354887528</v>
      </c>
      <c r="K2307" s="65">
        <v>0.0075770455</v>
      </c>
      <c r="L2307" s="65">
        <v>0.20983784</v>
      </c>
      <c r="N2307" s="66">
        <v>1.3989189333333334</v>
      </c>
      <c r="O2307" s="10">
        <f t="shared" si="518"/>
        <v>1.398918933</v>
      </c>
      <c r="Q2307" s="67">
        <v>0.0</v>
      </c>
      <c r="S2307" s="68">
        <v>0.037513233</v>
      </c>
      <c r="T2307" s="68">
        <v>0.035395672</v>
      </c>
      <c r="U2307" s="68">
        <v>0.0021175606</v>
      </c>
      <c r="V2307" s="68">
        <v>0.0</v>
      </c>
      <c r="X2307" s="69">
        <v>5.8943538E-5</v>
      </c>
    </row>
    <row r="2308" ht="12.75" customHeight="1">
      <c r="A2308" s="1" t="s">
        <v>3027</v>
      </c>
      <c r="B2308" s="62" t="s">
        <v>2905</v>
      </c>
      <c r="C2308" s="60" t="str">
        <f t="shared" si="516"/>
        <v>M.020.15.105</v>
      </c>
      <c r="D2308" s="51" t="s">
        <v>3023</v>
      </c>
      <c r="E2308" s="62" t="s">
        <v>45</v>
      </c>
      <c r="F2308" s="63" t="str">
        <f t="shared" si="517"/>
        <v>Fromage frais, full fat in plastic boxper 250 gram NL</v>
      </c>
      <c r="G2308" s="64">
        <v>0.64004408790493</v>
      </c>
      <c r="H2308" s="10">
        <f t="shared" si="481"/>
        <v>0.6400440879</v>
      </c>
      <c r="I2308" s="65">
        <v>1.3026523E-7</v>
      </c>
      <c r="J2308" s="65">
        <v>0.1350012786397</v>
      </c>
      <c r="K2308" s="65">
        <v>0.014917299</v>
      </c>
      <c r="L2308" s="65">
        <v>0.49012538</v>
      </c>
      <c r="N2308" s="66">
        <v>3.2675025333333334</v>
      </c>
      <c r="O2308" s="10">
        <f t="shared" si="518"/>
        <v>3.267502533</v>
      </c>
      <c r="Q2308" s="67">
        <v>0.0</v>
      </c>
      <c r="S2308" s="68">
        <v>0.08949381</v>
      </c>
      <c r="T2308" s="68">
        <v>0.084561007</v>
      </c>
      <c r="U2308" s="68">
        <v>0.004932803</v>
      </c>
      <c r="V2308" s="68">
        <v>0.0</v>
      </c>
      <c r="X2308" s="69">
        <v>1.3597352E-4</v>
      </c>
    </row>
    <row r="2309" ht="12.75" customHeight="1">
      <c r="A2309" s="1" t="s">
        <v>3028</v>
      </c>
      <c r="B2309" s="62" t="s">
        <v>2905</v>
      </c>
      <c r="C2309" s="60" t="str">
        <f t="shared" si="516"/>
        <v>M.020.15.106</v>
      </c>
      <c r="D2309" s="51" t="s">
        <v>3023</v>
      </c>
      <c r="E2309" s="62" t="s">
        <v>45</v>
      </c>
      <c r="F2309" s="63" t="str">
        <f t="shared" si="517"/>
        <v>Ice cream, dairy cream based frozen in cardboard box NL</v>
      </c>
      <c r="G2309" s="64">
        <v>0.58401496617465</v>
      </c>
      <c r="H2309" s="10">
        <f t="shared" si="481"/>
        <v>0.5840149662</v>
      </c>
      <c r="I2309" s="65">
        <v>1.7658355E-7</v>
      </c>
      <c r="J2309" s="65">
        <v>0.12571861759109998</v>
      </c>
      <c r="K2309" s="65">
        <v>0.012291822</v>
      </c>
      <c r="L2309" s="65">
        <v>0.44600435</v>
      </c>
      <c r="N2309" s="66">
        <v>2.973362333333333</v>
      </c>
      <c r="O2309" s="10">
        <f t="shared" si="518"/>
        <v>2.973362333</v>
      </c>
      <c r="Q2309" s="67">
        <v>0.0</v>
      </c>
      <c r="S2309" s="68">
        <v>0.081147958</v>
      </c>
      <c r="T2309" s="68">
        <v>0.076621139</v>
      </c>
      <c r="U2309" s="68">
        <v>0.0045268196</v>
      </c>
      <c r="V2309" s="68">
        <v>0.0</v>
      </c>
      <c r="X2309" s="69">
        <v>1.2765556E-4</v>
      </c>
    </row>
    <row r="2310" ht="12.75" customHeight="1">
      <c r="A2310" s="1" t="s">
        <v>3029</v>
      </c>
      <c r="B2310" s="62" t="s">
        <v>2905</v>
      </c>
      <c r="C2310" s="60" t="str">
        <f t="shared" si="516"/>
        <v>M.020.15.107</v>
      </c>
      <c r="D2310" s="51" t="s">
        <v>3023</v>
      </c>
      <c r="E2310" s="62" t="s">
        <v>45</v>
      </c>
      <c r="F2310" s="63" t="str">
        <f t="shared" si="517"/>
        <v>Milk chocolate-, flavoured full fat in multilayer carton per 1000 ml NL</v>
      </c>
      <c r="G2310" s="64">
        <v>0.38332411968317004</v>
      </c>
      <c r="H2310" s="10">
        <f t="shared" si="481"/>
        <v>0.3833241197</v>
      </c>
      <c r="I2310" s="65">
        <v>1.4363807E-7</v>
      </c>
      <c r="J2310" s="65">
        <v>0.0773974809451</v>
      </c>
      <c r="K2310" s="65">
        <v>0.0074117951</v>
      </c>
      <c r="L2310" s="65">
        <v>0.2985147</v>
      </c>
      <c r="N2310" s="66">
        <v>1.9900980000000001</v>
      </c>
      <c r="O2310" s="10">
        <f t="shared" si="518"/>
        <v>1.990098</v>
      </c>
      <c r="Q2310" s="67">
        <v>0.0</v>
      </c>
      <c r="S2310" s="68">
        <v>0.051068605</v>
      </c>
      <c r="T2310" s="68">
        <v>0.047658796</v>
      </c>
      <c r="U2310" s="68">
        <v>0.0034098092</v>
      </c>
      <c r="V2310" s="68">
        <v>0.0</v>
      </c>
      <c r="X2310" s="69">
        <v>8.5118564E-5</v>
      </c>
    </row>
    <row r="2311" ht="12.75" customHeight="1">
      <c r="A2311" s="1" t="s">
        <v>3030</v>
      </c>
      <c r="B2311" s="62" t="s">
        <v>2905</v>
      </c>
      <c r="C2311" s="60" t="str">
        <f t="shared" si="516"/>
        <v>M.020.15.108</v>
      </c>
      <c r="D2311" s="51" t="s">
        <v>3023</v>
      </c>
      <c r="E2311" s="62" t="s">
        <v>45</v>
      </c>
      <c r="F2311" s="63" t="str">
        <f t="shared" si="517"/>
        <v>Milk chocolate-, flavoured semi-skimmed in multilayer carton per 1000 ml NL</v>
      </c>
      <c r="G2311" s="64">
        <v>0.32415575937047997</v>
      </c>
      <c r="H2311" s="10">
        <f t="shared" si="481"/>
        <v>0.3241557594</v>
      </c>
      <c r="I2311" s="65">
        <v>1.3438308E-7</v>
      </c>
      <c r="J2311" s="65">
        <v>0.0641421666874</v>
      </c>
      <c r="K2311" s="65">
        <v>0.0062095983</v>
      </c>
      <c r="L2311" s="65">
        <v>0.25380386</v>
      </c>
      <c r="N2311" s="66">
        <v>1.6920257333333333</v>
      </c>
      <c r="O2311" s="10">
        <f t="shared" si="518"/>
        <v>1.692025733</v>
      </c>
      <c r="Q2311" s="67">
        <v>0.0</v>
      </c>
      <c r="S2311" s="68">
        <v>0.042598524</v>
      </c>
      <c r="T2311" s="68">
        <v>0.039666655</v>
      </c>
      <c r="U2311" s="68">
        <v>0.0029318689</v>
      </c>
      <c r="V2311" s="68">
        <v>0.0</v>
      </c>
      <c r="X2311" s="69">
        <v>7.2588102E-5</v>
      </c>
    </row>
    <row r="2312" ht="12.75" customHeight="1">
      <c r="A2312" s="1" t="s">
        <v>3031</v>
      </c>
      <c r="B2312" s="62" t="s">
        <v>2905</v>
      </c>
      <c r="C2312" s="60" t="str">
        <f t="shared" si="516"/>
        <v>M.020.15.109</v>
      </c>
      <c r="D2312" s="51" t="s">
        <v>3023</v>
      </c>
      <c r="E2312" s="62" t="s">
        <v>45</v>
      </c>
      <c r="F2312" s="63" t="str">
        <f t="shared" si="517"/>
        <v>Milk, semi-skimmed in multilayer carton per 1000 ml NL</v>
      </c>
      <c r="G2312" s="64">
        <v>0.24542659246756401</v>
      </c>
      <c r="H2312" s="10">
        <f t="shared" si="481"/>
        <v>0.2454265925</v>
      </c>
      <c r="I2312" s="65">
        <v>5.4525264E-8</v>
      </c>
      <c r="J2312" s="65">
        <v>0.053762475442300006</v>
      </c>
      <c r="K2312" s="65">
        <v>0.0059661725</v>
      </c>
      <c r="L2312" s="65">
        <v>0.18569789</v>
      </c>
      <c r="N2312" s="66">
        <v>1.2379859333333334</v>
      </c>
      <c r="O2312" s="10">
        <f t="shared" si="518"/>
        <v>1.237985933</v>
      </c>
      <c r="Q2312" s="67">
        <v>0.0</v>
      </c>
      <c r="S2312" s="68">
        <v>0.034535226</v>
      </c>
      <c r="T2312" s="68">
        <v>0.032602635</v>
      </c>
      <c r="U2312" s="68">
        <v>0.001932591</v>
      </c>
      <c r="V2312" s="68">
        <v>0.0</v>
      </c>
      <c r="X2312" s="69">
        <v>5.2534903E-5</v>
      </c>
    </row>
    <row r="2313" ht="12.75" customHeight="1">
      <c r="A2313" s="1" t="s">
        <v>3032</v>
      </c>
      <c r="B2313" s="62" t="s">
        <v>2905</v>
      </c>
      <c r="C2313" s="60" t="str">
        <f t="shared" si="516"/>
        <v>M.020.15.110</v>
      </c>
      <c r="D2313" s="51" t="s">
        <v>3023</v>
      </c>
      <c r="E2313" s="62" t="s">
        <v>45</v>
      </c>
      <c r="F2313" s="63" t="str">
        <f t="shared" si="517"/>
        <v>Milk, skimmed in multilayer carton per 1000 ml NL</v>
      </c>
      <c r="G2313" s="64">
        <v>0.21764551459707798</v>
      </c>
      <c r="H2313" s="10">
        <f t="shared" si="481"/>
        <v>0.2176455146</v>
      </c>
      <c r="I2313" s="65">
        <v>5.0179678E-8</v>
      </c>
      <c r="J2313" s="65">
        <v>0.0475387546174</v>
      </c>
      <c r="K2313" s="65">
        <v>0.0054017098</v>
      </c>
      <c r="L2313" s="65">
        <v>0.164705</v>
      </c>
      <c r="N2313" s="66">
        <v>1.0980333333333334</v>
      </c>
      <c r="O2313" s="10">
        <f t="shared" si="518"/>
        <v>1.098033333</v>
      </c>
      <c r="Q2313" s="67">
        <v>0.0</v>
      </c>
      <c r="S2313" s="68">
        <v>0.030558304</v>
      </c>
      <c r="T2313" s="68">
        <v>0.028850119</v>
      </c>
      <c r="U2313" s="68">
        <v>0.0017081857</v>
      </c>
      <c r="V2313" s="68">
        <v>0.0</v>
      </c>
      <c r="X2313" s="69">
        <v>4.6651519E-5</v>
      </c>
    </row>
    <row r="2314" ht="12.75" customHeight="1">
      <c r="A2314" s="1" t="s">
        <v>3033</v>
      </c>
      <c r="B2314" s="62" t="s">
        <v>2905</v>
      </c>
      <c r="C2314" s="60" t="str">
        <f t="shared" si="516"/>
        <v>M.020.15.111</v>
      </c>
      <c r="D2314" s="51" t="s">
        <v>3023</v>
      </c>
      <c r="E2314" s="62" t="s">
        <v>45</v>
      </c>
      <c r="F2314" s="63" t="str">
        <f t="shared" si="517"/>
        <v>Milk, whole in multilayer carton per 1000 ml NL</v>
      </c>
      <c r="G2314" s="64">
        <v>0.28338811171761</v>
      </c>
      <c r="H2314" s="10">
        <f t="shared" si="481"/>
        <v>0.2833881117</v>
      </c>
      <c r="I2314" s="65">
        <v>6.046281E-8</v>
      </c>
      <c r="J2314" s="65">
        <v>0.062266866654799996</v>
      </c>
      <c r="K2314" s="65">
        <v>0.0067374846</v>
      </c>
      <c r="L2314" s="65">
        <v>0.2143837</v>
      </c>
      <c r="N2314" s="66">
        <v>1.4292246666666668</v>
      </c>
      <c r="O2314" s="10">
        <f t="shared" si="518"/>
        <v>1.429224667</v>
      </c>
      <c r="Q2314" s="67">
        <v>0.0</v>
      </c>
      <c r="S2314" s="68">
        <v>0.039969505</v>
      </c>
      <c r="T2314" s="68">
        <v>0.037730275</v>
      </c>
      <c r="U2314" s="68">
        <v>0.0022392302</v>
      </c>
      <c r="V2314" s="68">
        <v>0.0</v>
      </c>
      <c r="X2314" s="69">
        <v>6.0574239E-5</v>
      </c>
    </row>
    <row r="2315" ht="12.75" customHeight="1">
      <c r="A2315" s="1" t="s">
        <v>3034</v>
      </c>
      <c r="B2315" s="62" t="s">
        <v>2905</v>
      </c>
      <c r="C2315" s="60" t="str">
        <f t="shared" si="516"/>
        <v>M.020.15.112</v>
      </c>
      <c r="D2315" s="51" t="s">
        <v>3023</v>
      </c>
      <c r="E2315" s="62" t="s">
        <v>45</v>
      </c>
      <c r="F2315" s="63" t="str">
        <f t="shared" si="517"/>
        <v>Yoghurt, drink w sweeteners  in multilayer carton per 1000 ml NL</v>
      </c>
      <c r="G2315" s="64">
        <v>0.243795523509306</v>
      </c>
      <c r="H2315" s="10">
        <f t="shared" si="481"/>
        <v>0.2437955235</v>
      </c>
      <c r="I2315" s="65">
        <v>7.0301506E-8</v>
      </c>
      <c r="J2315" s="65">
        <v>0.04792588780780001</v>
      </c>
      <c r="K2315" s="65">
        <v>0.0068772954</v>
      </c>
      <c r="L2315" s="65">
        <v>0.18899227</v>
      </c>
      <c r="N2315" s="66">
        <v>1.2599484666666667</v>
      </c>
      <c r="O2315" s="10">
        <f t="shared" si="518"/>
        <v>1.259948467</v>
      </c>
      <c r="Q2315" s="67">
        <v>0.0</v>
      </c>
      <c r="S2315" s="68">
        <v>0.032902751</v>
      </c>
      <c r="T2315" s="68">
        <v>0.03106453</v>
      </c>
      <c r="U2315" s="68">
        <v>0.0018382204</v>
      </c>
      <c r="V2315" s="68">
        <v>0.0</v>
      </c>
      <c r="X2315" s="69">
        <v>5.235754E-5</v>
      </c>
    </row>
    <row r="2316" ht="12.75" customHeight="1">
      <c r="A2316" s="1" t="s">
        <v>3035</v>
      </c>
      <c r="B2316" s="62" t="s">
        <v>2905</v>
      </c>
      <c r="C2316" s="60" t="str">
        <f t="shared" si="516"/>
        <v>M.020.15.113</v>
      </c>
      <c r="D2316" s="51" t="s">
        <v>3023</v>
      </c>
      <c r="E2316" s="62" t="s">
        <v>45</v>
      </c>
      <c r="F2316" s="63" t="str">
        <f t="shared" si="517"/>
        <v>Yoghurt, full fat in multilayer carton per 1000 ml NL</v>
      </c>
      <c r="G2316" s="64">
        <v>0.31301075320932503</v>
      </c>
      <c r="H2316" s="10">
        <f t="shared" si="481"/>
        <v>0.3130107532</v>
      </c>
      <c r="I2316" s="65">
        <v>7.6464625E-8</v>
      </c>
      <c r="J2316" s="65">
        <v>0.0630285288447</v>
      </c>
      <c r="K2316" s="65">
        <v>0.0078358579</v>
      </c>
      <c r="L2316" s="65">
        <v>0.24214629</v>
      </c>
      <c r="N2316" s="66">
        <v>1.6143086</v>
      </c>
      <c r="O2316" s="10">
        <f t="shared" si="518"/>
        <v>1.6143086</v>
      </c>
      <c r="Q2316" s="67">
        <v>0.0</v>
      </c>
      <c r="S2316" s="68">
        <v>0.042882743</v>
      </c>
      <c r="T2316" s="68">
        <v>0.040491264</v>
      </c>
      <c r="U2316" s="68">
        <v>0.0023914793</v>
      </c>
      <c r="V2316" s="68">
        <v>0.0</v>
      </c>
      <c r="X2316" s="69">
        <v>6.6808757E-5</v>
      </c>
    </row>
    <row r="2317" ht="12.75" customHeight="1">
      <c r="A2317" s="1" t="s">
        <v>3036</v>
      </c>
      <c r="B2317" s="62" t="s">
        <v>2905</v>
      </c>
      <c r="C2317" s="60" t="str">
        <f t="shared" si="516"/>
        <v>M.020.15.114</v>
      </c>
      <c r="D2317" s="51" t="s">
        <v>3023</v>
      </c>
      <c r="E2317" s="62" t="s">
        <v>45</v>
      </c>
      <c r="F2317" s="63" t="str">
        <f t="shared" si="517"/>
        <v>Yoghurt, half fat in multilayer carton per 1000 ml NL</v>
      </c>
      <c r="G2317" s="64">
        <v>0.27504923395928005</v>
      </c>
      <c r="H2317" s="10">
        <f t="shared" si="481"/>
        <v>0.275049234</v>
      </c>
      <c r="I2317" s="65">
        <v>7.052708E-8</v>
      </c>
      <c r="J2317" s="65">
        <v>0.05452413763220001</v>
      </c>
      <c r="K2317" s="65">
        <v>0.0070645458</v>
      </c>
      <c r="L2317" s="65">
        <v>0.21346048</v>
      </c>
      <c r="N2317" s="66">
        <v>1.4230698666666668</v>
      </c>
      <c r="O2317" s="10">
        <f t="shared" si="518"/>
        <v>1.423069867</v>
      </c>
      <c r="Q2317" s="67">
        <v>0.0</v>
      </c>
      <c r="S2317" s="68">
        <v>0.037448464</v>
      </c>
      <c r="T2317" s="68">
        <v>0.035363624</v>
      </c>
      <c r="U2317" s="68">
        <v>0.0020848401</v>
      </c>
      <c r="V2317" s="68">
        <v>0.0</v>
      </c>
      <c r="X2317" s="69">
        <v>5.876942E-5</v>
      </c>
    </row>
    <row r="2318" ht="12.75" customHeight="1">
      <c r="A2318" s="1" t="s">
        <v>3037</v>
      </c>
      <c r="B2318" s="62" t="s">
        <v>2905</v>
      </c>
      <c r="C2318" s="60" t="str">
        <f t="shared" si="516"/>
        <v>M.020.15.115</v>
      </c>
      <c r="D2318" s="51" t="s">
        <v>3023</v>
      </c>
      <c r="E2318" s="62" t="s">
        <v>45</v>
      </c>
      <c r="F2318" s="63" t="str">
        <f t="shared" si="517"/>
        <v>Yoghurt, low fat w fruit in multilayer carton per 1000 ml NL</v>
      </c>
      <c r="G2318" s="64">
        <v>0.253466242822994</v>
      </c>
      <c r="H2318" s="10">
        <f t="shared" si="481"/>
        <v>0.2534662428</v>
      </c>
      <c r="I2318" s="65">
        <v>8.0435294E-8</v>
      </c>
      <c r="J2318" s="65">
        <v>0.0504588593877</v>
      </c>
      <c r="K2318" s="65">
        <v>0.009341293</v>
      </c>
      <c r="L2318" s="65">
        <v>0.19366601</v>
      </c>
      <c r="N2318" s="66">
        <v>1.2911067333333335</v>
      </c>
      <c r="O2318" s="10">
        <f t="shared" si="518"/>
        <v>1.291106733</v>
      </c>
      <c r="Q2318" s="67">
        <v>0.0</v>
      </c>
      <c r="S2318" s="68">
        <v>0.03392385</v>
      </c>
      <c r="T2318" s="68">
        <v>0.032004912</v>
      </c>
      <c r="U2318" s="68">
        <v>0.0019189385</v>
      </c>
      <c r="V2318" s="68">
        <v>0.0</v>
      </c>
      <c r="X2318" s="69">
        <v>5.4486258E-5</v>
      </c>
    </row>
    <row r="2319" ht="12.75" customHeight="1">
      <c r="A2319" s="1" t="s">
        <v>3038</v>
      </c>
      <c r="B2319" s="62" t="s">
        <v>2905</v>
      </c>
      <c r="C2319" s="60" t="str">
        <f t="shared" si="516"/>
        <v>M.020.15.116</v>
      </c>
      <c r="D2319" s="51" t="s">
        <v>3023</v>
      </c>
      <c r="E2319" s="62" t="s">
        <v>45</v>
      </c>
      <c r="F2319" s="63" t="str">
        <f t="shared" si="517"/>
        <v>Yoghurt, low fat in multilayer carton per 1000 ml NL</v>
      </c>
      <c r="G2319" s="64">
        <v>0.247268156188794</v>
      </c>
      <c r="H2319" s="10">
        <f t="shared" si="481"/>
        <v>0.2472681562</v>
      </c>
      <c r="I2319" s="65">
        <v>6.6181494E-8</v>
      </c>
      <c r="J2319" s="65">
        <v>0.0483004169073</v>
      </c>
      <c r="K2319" s="65">
        <v>0.0065000831</v>
      </c>
      <c r="L2319" s="65">
        <v>0.19246759</v>
      </c>
      <c r="N2319" s="66">
        <v>1.2831172666666666</v>
      </c>
      <c r="O2319" s="10">
        <f t="shared" si="518"/>
        <v>1.283117267</v>
      </c>
      <c r="Q2319" s="67">
        <v>0.0</v>
      </c>
      <c r="S2319" s="68">
        <v>0.033471543</v>
      </c>
      <c r="T2319" s="68">
        <v>0.031611108</v>
      </c>
      <c r="U2319" s="68">
        <v>0.0018604347</v>
      </c>
      <c r="V2319" s="68">
        <v>0.0</v>
      </c>
      <c r="X2319" s="69">
        <v>5.2886036E-5</v>
      </c>
    </row>
    <row r="2320" ht="12.75" customHeight="1">
      <c r="B2320" s="62"/>
      <c r="C2320" s="60"/>
      <c r="D2320" s="75" t="s">
        <v>3039</v>
      </c>
      <c r="E2320" s="62"/>
      <c r="G2320" s="10"/>
      <c r="H2320" s="10" t="str">
        <f t="shared" si="481"/>
        <v/>
      </c>
      <c r="I2320" s="10"/>
      <c r="J2320" s="10"/>
      <c r="K2320" s="10"/>
      <c r="L2320" s="10"/>
      <c r="N2320" s="10"/>
      <c r="O2320" s="10"/>
      <c r="Q2320" s="67"/>
    </row>
    <row r="2321" ht="12.75" customHeight="1">
      <c r="A2321" s="1" t="s">
        <v>3040</v>
      </c>
      <c r="B2321" s="62" t="s">
        <v>2905</v>
      </c>
      <c r="C2321" s="60" t="str">
        <f t="shared" ref="C2321:C2335" si="519">MID(A2321,1,12)</f>
        <v>M.020.16.101</v>
      </c>
      <c r="D2321" s="51" t="s">
        <v>3023</v>
      </c>
      <c r="E2321" s="62" t="s">
        <v>45</v>
      </c>
      <c r="F2321" s="63" t="str">
        <f t="shared" ref="F2321:F2335" si="520">MID(A2321, 21,85)</f>
        <v>Coffee, coffee packaging per 500 gram NL</v>
      </c>
      <c r="G2321" s="64">
        <v>0.7018331692569799</v>
      </c>
      <c r="H2321" s="10">
        <f t="shared" si="481"/>
        <v>0.7018331693</v>
      </c>
      <c r="I2321" s="65">
        <v>4.1569698E-7</v>
      </c>
      <c r="J2321" s="65">
        <v>0.21297100355999998</v>
      </c>
      <c r="K2321" s="65">
        <v>0.01394299</v>
      </c>
      <c r="L2321" s="65">
        <v>0.47491876</v>
      </c>
      <c r="N2321" s="66">
        <v>3.166125066666667</v>
      </c>
      <c r="O2321" s="10">
        <f t="shared" ref="O2321:O2335" si="521">N2321</f>
        <v>3.166125067</v>
      </c>
      <c r="Q2321" s="67">
        <v>0.0</v>
      </c>
      <c r="S2321" s="68">
        <v>0.093278722</v>
      </c>
      <c r="T2321" s="68">
        <v>0.079734852</v>
      </c>
      <c r="U2321" s="68">
        <v>0.01354387</v>
      </c>
      <c r="V2321" s="68">
        <v>0.0</v>
      </c>
      <c r="X2321" s="69">
        <v>1.7326397E-4</v>
      </c>
    </row>
    <row r="2322" ht="12.75" customHeight="1">
      <c r="A2322" s="1" t="s">
        <v>3041</v>
      </c>
      <c r="B2322" s="62" t="s">
        <v>2905</v>
      </c>
      <c r="C2322" s="60" t="str">
        <f t="shared" si="519"/>
        <v>M.020.16.102</v>
      </c>
      <c r="D2322" s="51" t="s">
        <v>3039</v>
      </c>
      <c r="E2322" s="62" t="s">
        <v>45</v>
      </c>
      <c r="F2322" s="63" t="str">
        <f t="shared" si="520"/>
        <v>Cola light soft drink w caffeine in PET bottle, returnable NL</v>
      </c>
      <c r="G2322" s="64">
        <v>0.034583534221640004</v>
      </c>
      <c r="H2322" s="10">
        <f t="shared" si="481"/>
        <v>0.03458353422</v>
      </c>
      <c r="I2322" s="65">
        <v>1.903198E-8</v>
      </c>
      <c r="J2322" s="65">
        <v>0.00452303128966</v>
      </c>
      <c r="K2322" s="65">
        <v>0.0022713989</v>
      </c>
      <c r="L2322" s="65">
        <v>0.027789085</v>
      </c>
      <c r="N2322" s="66">
        <v>0.18526056666666668</v>
      </c>
      <c r="O2322" s="10">
        <f t="shared" si="521"/>
        <v>0.1852605667</v>
      </c>
      <c r="Q2322" s="67">
        <v>0.0</v>
      </c>
      <c r="S2322" s="68">
        <v>0.0039944701</v>
      </c>
      <c r="T2322" s="68">
        <v>0.0038060183</v>
      </c>
      <c r="U2322" s="68">
        <v>1.8845182E-4</v>
      </c>
      <c r="V2322" s="68">
        <v>0.0</v>
      </c>
      <c r="X2322" s="69">
        <v>7.4443507E-6</v>
      </c>
    </row>
    <row r="2323" ht="12.75" customHeight="1">
      <c r="A2323" s="1" t="s">
        <v>3042</v>
      </c>
      <c r="B2323" s="62" t="s">
        <v>2905</v>
      </c>
      <c r="C2323" s="60" t="str">
        <f t="shared" si="519"/>
        <v>M.020.16.103</v>
      </c>
      <c r="D2323" s="51" t="s">
        <v>3039</v>
      </c>
      <c r="E2323" s="62" t="s">
        <v>45</v>
      </c>
      <c r="F2323" s="63" t="str">
        <f t="shared" si="520"/>
        <v>Ice tea in PET bottle, returnable NL</v>
      </c>
      <c r="G2323" s="64">
        <v>0.083107163390847</v>
      </c>
      <c r="H2323" s="10">
        <f t="shared" si="481"/>
        <v>0.08310716339</v>
      </c>
      <c r="I2323" s="65">
        <v>3.8304347E-8</v>
      </c>
      <c r="J2323" s="65">
        <v>0.0160759260865</v>
      </c>
      <c r="K2323" s="65">
        <v>0.01335756</v>
      </c>
      <c r="L2323" s="65">
        <v>0.053673639</v>
      </c>
      <c r="N2323" s="66">
        <v>0.35782426</v>
      </c>
      <c r="O2323" s="10">
        <f t="shared" si="521"/>
        <v>0.35782426</v>
      </c>
      <c r="Q2323" s="67">
        <v>0.0</v>
      </c>
      <c r="S2323" s="68">
        <v>0.0094351004</v>
      </c>
      <c r="T2323" s="68">
        <v>0.0087030823</v>
      </c>
      <c r="U2323" s="68">
        <v>7.3201815E-4</v>
      </c>
      <c r="V2323" s="68">
        <v>0.0</v>
      </c>
      <c r="X2323" s="69">
        <v>1.6613231E-5</v>
      </c>
    </row>
    <row r="2324" ht="12.75" customHeight="1">
      <c r="A2324" s="1" t="s">
        <v>3043</v>
      </c>
      <c r="B2324" s="62" t="s">
        <v>2905</v>
      </c>
      <c r="C2324" s="60" t="str">
        <f t="shared" si="519"/>
        <v>M.020.16.104</v>
      </c>
      <c r="D2324" s="51" t="s">
        <v>3039</v>
      </c>
      <c r="E2324" s="62" t="s">
        <v>45</v>
      </c>
      <c r="F2324" s="63" t="str">
        <f t="shared" si="520"/>
        <v>Juice drink, 12% in multilayer carton per 1000 ml NL</v>
      </c>
      <c r="G2324" s="64">
        <v>0.082490839856895</v>
      </c>
      <c r="H2324" s="10">
        <f t="shared" si="481"/>
        <v>0.08249083986</v>
      </c>
      <c r="I2324" s="65">
        <v>4.4697595E-8</v>
      </c>
      <c r="J2324" s="65">
        <v>0.0185810705593</v>
      </c>
      <c r="K2324" s="65">
        <v>0.0068964976</v>
      </c>
      <c r="L2324" s="65">
        <v>0.057013227</v>
      </c>
      <c r="N2324" s="66">
        <v>0.38008818</v>
      </c>
      <c r="O2324" s="10">
        <f t="shared" si="521"/>
        <v>0.38008818</v>
      </c>
      <c r="Q2324" s="67">
        <v>0.0</v>
      </c>
      <c r="S2324" s="68">
        <v>0.010687181</v>
      </c>
      <c r="T2324" s="68">
        <v>0.010077855</v>
      </c>
      <c r="U2324" s="68">
        <v>6.0932626E-4</v>
      </c>
      <c r="V2324" s="68">
        <v>0.0</v>
      </c>
      <c r="X2324" s="69">
        <v>1.8206768E-5</v>
      </c>
    </row>
    <row r="2325" ht="12.75" customHeight="1">
      <c r="A2325" s="1" t="s">
        <v>3044</v>
      </c>
      <c r="B2325" s="62" t="s">
        <v>2905</v>
      </c>
      <c r="C2325" s="60" t="str">
        <f t="shared" si="519"/>
        <v>M.020.16.105</v>
      </c>
      <c r="D2325" s="51" t="s">
        <v>3039</v>
      </c>
      <c r="E2325" s="62" t="s">
        <v>45</v>
      </c>
      <c r="F2325" s="63" t="str">
        <f t="shared" si="520"/>
        <v>Juice drink, 8% in multilayer carton per 1000 ml NL</v>
      </c>
      <c r="G2325" s="64">
        <v>0.061182049128134</v>
      </c>
      <c r="H2325" s="10">
        <f t="shared" si="481"/>
        <v>0.06118204913</v>
      </c>
      <c r="I2325" s="65">
        <v>3.3558914E-8</v>
      </c>
      <c r="J2325" s="65">
        <v>0.01255075436922</v>
      </c>
      <c r="K2325" s="65">
        <v>0.0060144222</v>
      </c>
      <c r="L2325" s="65">
        <v>0.042616839</v>
      </c>
      <c r="N2325" s="66">
        <v>0.28411226</v>
      </c>
      <c r="O2325" s="10">
        <f t="shared" si="521"/>
        <v>0.28411226</v>
      </c>
      <c r="Q2325" s="67">
        <v>0.0</v>
      </c>
      <c r="S2325" s="68">
        <v>0.0075245924</v>
      </c>
      <c r="T2325" s="68">
        <v>0.0070464249</v>
      </c>
      <c r="U2325" s="68">
        <v>4.7816744E-4</v>
      </c>
      <c r="V2325" s="68">
        <v>0.0</v>
      </c>
      <c r="X2325" s="69">
        <v>1.3260764E-5</v>
      </c>
    </row>
    <row r="2326" ht="12.75" customHeight="1">
      <c r="A2326" s="1" t="s">
        <v>3045</v>
      </c>
      <c r="B2326" s="62" t="s">
        <v>2905</v>
      </c>
      <c r="C2326" s="60" t="str">
        <f t="shared" si="519"/>
        <v>M.020.16.106</v>
      </c>
      <c r="D2326" s="51" t="s">
        <v>3039</v>
      </c>
      <c r="E2326" s="62" t="s">
        <v>45</v>
      </c>
      <c r="F2326" s="63" t="str">
        <f t="shared" si="520"/>
        <v>Juice, apple in multilayer carton per 1000 ml NL</v>
      </c>
      <c r="G2326" s="64">
        <v>0.08473611066325999</v>
      </c>
      <c r="H2326" s="10">
        <f t="shared" si="481"/>
        <v>0.08473611066</v>
      </c>
      <c r="I2326" s="65">
        <v>5.979376E-8</v>
      </c>
      <c r="J2326" s="65">
        <v>0.023112368869499997</v>
      </c>
      <c r="K2326" s="65">
        <v>0.01007603</v>
      </c>
      <c r="L2326" s="65">
        <v>0.051547652</v>
      </c>
      <c r="N2326" s="66">
        <v>0.34365101333333337</v>
      </c>
      <c r="O2326" s="10">
        <f t="shared" si="521"/>
        <v>0.3436510133</v>
      </c>
      <c r="Q2326" s="67">
        <v>0.0</v>
      </c>
      <c r="S2326" s="68">
        <v>0.010895042</v>
      </c>
      <c r="T2326" s="68">
        <v>0.01009605</v>
      </c>
      <c r="U2326" s="68">
        <v>7.989921E-4</v>
      </c>
      <c r="V2326" s="68">
        <v>0.0</v>
      </c>
      <c r="X2326" s="69">
        <v>1.9327414E-5</v>
      </c>
    </row>
    <row r="2327" ht="12.75" customHeight="1">
      <c r="A2327" s="1" t="s">
        <v>3046</v>
      </c>
      <c r="B2327" s="62" t="s">
        <v>2905</v>
      </c>
      <c r="C2327" s="60" t="str">
        <f t="shared" si="519"/>
        <v>M.020.16.107</v>
      </c>
      <c r="D2327" s="51" t="s">
        <v>3039</v>
      </c>
      <c r="E2327" s="62" t="s">
        <v>45</v>
      </c>
      <c r="F2327" s="63" t="str">
        <f t="shared" si="520"/>
        <v>Juice, orange pasteurized in PET bottle NL</v>
      </c>
      <c r="G2327" s="64">
        <v>0.290205336370315</v>
      </c>
      <c r="H2327" s="10">
        <f t="shared" si="481"/>
        <v>0.2902053364</v>
      </c>
      <c r="I2327" s="65">
        <v>9.7651515E-8</v>
      </c>
      <c r="J2327" s="65">
        <v>0.04954612871880001</v>
      </c>
      <c r="K2327" s="65">
        <v>0.12228053</v>
      </c>
      <c r="L2327" s="65">
        <v>0.11837858</v>
      </c>
      <c r="N2327" s="66">
        <v>0.7891905333333333</v>
      </c>
      <c r="O2327" s="10">
        <f t="shared" si="521"/>
        <v>0.7891905333</v>
      </c>
      <c r="Q2327" s="67">
        <v>0.0</v>
      </c>
      <c r="S2327" s="68">
        <v>0.025044401</v>
      </c>
      <c r="T2327" s="68">
        <v>0.023441311</v>
      </c>
      <c r="U2327" s="68">
        <v>0.0016030896</v>
      </c>
      <c r="V2327" s="68">
        <v>0.0</v>
      </c>
      <c r="X2327" s="69">
        <v>4.1194122E-5</v>
      </c>
    </row>
    <row r="2328" ht="12.75" customHeight="1">
      <c r="A2328" s="1" t="s">
        <v>3047</v>
      </c>
      <c r="B2328" s="62" t="s">
        <v>2905</v>
      </c>
      <c r="C2328" s="60" t="str">
        <f t="shared" si="519"/>
        <v>M.020.16.108</v>
      </c>
      <c r="D2328" s="51" t="s">
        <v>3039</v>
      </c>
      <c r="E2328" s="62" t="s">
        <v>45</v>
      </c>
      <c r="F2328" s="63" t="str">
        <f t="shared" si="520"/>
        <v>Lemonade, light in PET bottle NL</v>
      </c>
      <c r="G2328" s="64">
        <v>0.064361251071954</v>
      </c>
      <c r="H2328" s="10">
        <f t="shared" si="481"/>
        <v>0.06436125107</v>
      </c>
      <c r="I2328" s="65">
        <v>3.4404874E-8</v>
      </c>
      <c r="J2328" s="65">
        <v>0.01219418176708</v>
      </c>
      <c r="K2328" s="65">
        <v>0.0034721249</v>
      </c>
      <c r="L2328" s="65">
        <v>0.04869491</v>
      </c>
      <c r="N2328" s="66">
        <v>0.32463273333333337</v>
      </c>
      <c r="O2328" s="10">
        <f t="shared" si="521"/>
        <v>0.3246327333</v>
      </c>
      <c r="Q2328" s="67">
        <v>0.0</v>
      </c>
      <c r="S2328" s="68">
        <v>0.0082273683</v>
      </c>
      <c r="T2328" s="68">
        <v>0.0078291407</v>
      </c>
      <c r="U2328" s="68">
        <v>3.9822769E-4</v>
      </c>
      <c r="V2328" s="68">
        <v>0.0</v>
      </c>
      <c r="X2328" s="69">
        <v>1.4294638E-5</v>
      </c>
    </row>
    <row r="2329" ht="12.75" customHeight="1">
      <c r="A2329" s="1" t="s">
        <v>3048</v>
      </c>
      <c r="B2329" s="62" t="s">
        <v>2905</v>
      </c>
      <c r="C2329" s="60" t="str">
        <f t="shared" si="519"/>
        <v>M.020.16.109</v>
      </c>
      <c r="D2329" s="51" t="s">
        <v>3039</v>
      </c>
      <c r="E2329" s="62" t="s">
        <v>45</v>
      </c>
      <c r="F2329" s="63" t="str">
        <f t="shared" si="520"/>
        <v>Lemonade in PET bottle NL</v>
      </c>
      <c r="G2329" s="64">
        <v>0.20549073068785</v>
      </c>
      <c r="H2329" s="10">
        <f t="shared" si="481"/>
        <v>0.2054907307</v>
      </c>
      <c r="I2329" s="65">
        <v>1.1338365E-7</v>
      </c>
      <c r="J2329" s="65">
        <v>0.05609026330420001</v>
      </c>
      <c r="K2329" s="65">
        <v>0.015712164</v>
      </c>
      <c r="L2329" s="65">
        <v>0.13368819</v>
      </c>
      <c r="N2329" s="66">
        <v>0.8912546000000001</v>
      </c>
      <c r="O2329" s="10">
        <f t="shared" si="521"/>
        <v>0.8912546</v>
      </c>
      <c r="Q2329" s="67">
        <v>0.0</v>
      </c>
      <c r="S2329" s="68">
        <v>0.028287647</v>
      </c>
      <c r="T2329" s="68">
        <v>0.026490883</v>
      </c>
      <c r="U2329" s="68">
        <v>0.0017967643</v>
      </c>
      <c r="V2329" s="68">
        <v>0.0</v>
      </c>
      <c r="X2329" s="69">
        <v>4.6720398E-5</v>
      </c>
    </row>
    <row r="2330" ht="12.75" customHeight="1">
      <c r="A2330" s="1" t="s">
        <v>3049</v>
      </c>
      <c r="B2330" s="62" t="s">
        <v>2905</v>
      </c>
      <c r="C2330" s="60" t="str">
        <f t="shared" si="519"/>
        <v>M.020.16.110</v>
      </c>
      <c r="D2330" s="51" t="s">
        <v>3039</v>
      </c>
      <c r="E2330" s="62" t="s">
        <v>45</v>
      </c>
      <c r="F2330" s="63" t="str">
        <f t="shared" si="520"/>
        <v>Lemonade, w sugar and sweetners in PET bottle NL</v>
      </c>
      <c r="G2330" s="64">
        <v>0.74344797849071</v>
      </c>
      <c r="H2330" s="10">
        <f t="shared" si="481"/>
        <v>0.7434479785</v>
      </c>
      <c r="I2330" s="65">
        <v>4.9322571E-7</v>
      </c>
      <c r="J2330" s="65">
        <v>0.22697417726499997</v>
      </c>
      <c r="K2330" s="65">
        <v>0.016655198</v>
      </c>
      <c r="L2330" s="65">
        <v>0.49981811</v>
      </c>
      <c r="N2330" s="66">
        <v>3.3321207333333334</v>
      </c>
      <c r="O2330" s="10">
        <f t="shared" si="521"/>
        <v>3.332120733</v>
      </c>
      <c r="Q2330" s="67">
        <v>0.0</v>
      </c>
      <c r="S2330" s="68">
        <v>0.10921051</v>
      </c>
      <c r="T2330" s="68">
        <v>0.10206689</v>
      </c>
      <c r="U2330" s="68">
        <v>0.0071436195</v>
      </c>
      <c r="V2330" s="68">
        <v>0.0</v>
      </c>
      <c r="X2330" s="69">
        <v>1.8328994E-4</v>
      </c>
    </row>
    <row r="2331" ht="12.75" customHeight="1">
      <c r="A2331" s="1" t="s">
        <v>3050</v>
      </c>
      <c r="B2331" s="62" t="s">
        <v>2905</v>
      </c>
      <c r="C2331" s="60" t="str">
        <f t="shared" si="519"/>
        <v>M.020.16.111</v>
      </c>
      <c r="D2331" s="51" t="s">
        <v>3039</v>
      </c>
      <c r="E2331" s="62" t="s">
        <v>45</v>
      </c>
      <c r="F2331" s="63" t="str">
        <f t="shared" si="520"/>
        <v>Mineral water in PET bottle, returnable NL</v>
      </c>
      <c r="G2331" s="64">
        <v>0.0085354218252592</v>
      </c>
      <c r="H2331" s="10">
        <f t="shared" si="481"/>
        <v>0.008535421825</v>
      </c>
      <c r="I2331" s="65">
        <v>4.6697792E-9</v>
      </c>
      <c r="J2331" s="65">
        <v>0.00123930678548</v>
      </c>
      <c r="K2331" s="65">
        <v>9.0543967E-4</v>
      </c>
      <c r="L2331" s="65">
        <v>0.0063906707</v>
      </c>
      <c r="N2331" s="66">
        <v>0.04260447133333334</v>
      </c>
      <c r="O2331" s="10">
        <f t="shared" si="521"/>
        <v>0.04260447133</v>
      </c>
      <c r="Q2331" s="67">
        <v>0.0</v>
      </c>
      <c r="S2331" s="68">
        <v>9.7770413E-4</v>
      </c>
      <c r="T2331" s="68">
        <v>9.3537468E-4</v>
      </c>
      <c r="U2331" s="68">
        <v>4.2329451E-5</v>
      </c>
      <c r="V2331" s="68">
        <v>0.0</v>
      </c>
      <c r="X2331" s="69">
        <v>1.7817448E-6</v>
      </c>
    </row>
    <row r="2332" ht="12.75" customHeight="1">
      <c r="A2332" s="1" t="s">
        <v>3051</v>
      </c>
      <c r="B2332" s="62" t="s">
        <v>2905</v>
      </c>
      <c r="C2332" s="60" t="str">
        <f t="shared" si="519"/>
        <v>M.020.16.112</v>
      </c>
      <c r="D2332" s="51" t="s">
        <v>3039</v>
      </c>
      <c r="E2332" s="62" t="s">
        <v>45</v>
      </c>
      <c r="F2332" s="63" t="str">
        <f t="shared" si="520"/>
        <v>Soft drink, cola w caffeine in PET bottle, returnable NL</v>
      </c>
      <c r="G2332" s="64">
        <v>0.055580199482481996</v>
      </c>
      <c r="H2332" s="10">
        <f t="shared" si="481"/>
        <v>0.05558019948</v>
      </c>
      <c r="I2332" s="65">
        <v>3.3594392E-8</v>
      </c>
      <c r="J2332" s="65">
        <v>0.011282912188090001</v>
      </c>
      <c r="K2332" s="65">
        <v>0.0022993947</v>
      </c>
      <c r="L2332" s="65">
        <v>0.041997859</v>
      </c>
      <c r="N2332" s="66">
        <v>0.27998572666666666</v>
      </c>
      <c r="O2332" s="10">
        <f t="shared" si="521"/>
        <v>0.2799857267</v>
      </c>
      <c r="Q2332" s="67">
        <v>0.0</v>
      </c>
      <c r="S2332" s="68">
        <v>0.0071731715</v>
      </c>
      <c r="T2332" s="68">
        <v>0.0067734257</v>
      </c>
      <c r="U2332" s="68">
        <v>3.9974577E-4</v>
      </c>
      <c r="V2332" s="68">
        <v>0.0</v>
      </c>
      <c r="X2332" s="69">
        <v>1.2771274E-5</v>
      </c>
    </row>
    <row r="2333" ht="12.75" customHeight="1">
      <c r="A2333" s="1" t="s">
        <v>3052</v>
      </c>
      <c r="B2333" s="62" t="s">
        <v>2905</v>
      </c>
      <c r="C2333" s="60" t="str">
        <f t="shared" si="519"/>
        <v>M.020.16.113</v>
      </c>
      <c r="D2333" s="51" t="s">
        <v>3039</v>
      </c>
      <c r="E2333" s="62" t="s">
        <v>45</v>
      </c>
      <c r="F2333" s="63" t="str">
        <f t="shared" si="520"/>
        <v>Soft drink, light wo caffeine in PET bottle, returnable NL</v>
      </c>
      <c r="G2333" s="64">
        <v>0.034583534221640004</v>
      </c>
      <c r="H2333" s="10">
        <f t="shared" si="481"/>
        <v>0.03458353422</v>
      </c>
      <c r="I2333" s="65">
        <v>1.903198E-8</v>
      </c>
      <c r="J2333" s="65">
        <v>0.00452303128966</v>
      </c>
      <c r="K2333" s="65">
        <v>0.0022713989</v>
      </c>
      <c r="L2333" s="65">
        <v>0.027789085</v>
      </c>
      <c r="N2333" s="66">
        <v>0.18526056666666668</v>
      </c>
      <c r="O2333" s="10">
        <f t="shared" si="521"/>
        <v>0.1852605667</v>
      </c>
      <c r="Q2333" s="67">
        <v>0.0</v>
      </c>
      <c r="S2333" s="68">
        <v>0.0039944701</v>
      </c>
      <c r="T2333" s="68">
        <v>0.0038060183</v>
      </c>
      <c r="U2333" s="68">
        <v>1.8845182E-4</v>
      </c>
      <c r="V2333" s="68">
        <v>0.0</v>
      </c>
      <c r="X2333" s="69">
        <v>7.4443507E-6</v>
      </c>
    </row>
    <row r="2334" ht="12.75" customHeight="1">
      <c r="A2334" s="1" t="s">
        <v>3053</v>
      </c>
      <c r="B2334" s="62" t="s">
        <v>2905</v>
      </c>
      <c r="C2334" s="60" t="str">
        <f t="shared" si="519"/>
        <v>M.020.16.114</v>
      </c>
      <c r="D2334" s="51" t="s">
        <v>3039</v>
      </c>
      <c r="E2334" s="62" t="s">
        <v>45</v>
      </c>
      <c r="F2334" s="63" t="str">
        <f t="shared" si="520"/>
        <v>Soft drink, w sugar, sw&amp;caffeine in PET bottle, returnable NL</v>
      </c>
      <c r="G2334" s="64">
        <v>0.041932369384744</v>
      </c>
      <c r="H2334" s="10">
        <f t="shared" si="481"/>
        <v>0.04193236938</v>
      </c>
      <c r="I2334" s="65">
        <v>2.4128934E-8</v>
      </c>
      <c r="J2334" s="65">
        <v>0.00688899205581</v>
      </c>
      <c r="K2334" s="65">
        <v>0.0022811972</v>
      </c>
      <c r="L2334" s="65">
        <v>0.032762156</v>
      </c>
      <c r="N2334" s="66">
        <v>0.21841437333333336</v>
      </c>
      <c r="O2334" s="10">
        <f t="shared" si="521"/>
        <v>0.2184143733</v>
      </c>
      <c r="Q2334" s="67">
        <v>0.0</v>
      </c>
      <c r="S2334" s="68">
        <v>0.0051070141</v>
      </c>
      <c r="T2334" s="68">
        <v>0.0048446094</v>
      </c>
      <c r="U2334" s="68">
        <v>2.6240476E-4</v>
      </c>
      <c r="V2334" s="68">
        <v>0.0</v>
      </c>
      <c r="X2334" s="69">
        <v>9.3087806E-6</v>
      </c>
    </row>
    <row r="2335" ht="12.75" customHeight="1">
      <c r="A2335" s="1" t="s">
        <v>3054</v>
      </c>
      <c r="B2335" s="62" t="s">
        <v>2905</v>
      </c>
      <c r="C2335" s="60" t="str">
        <f t="shared" si="519"/>
        <v>M.020.16.115</v>
      </c>
      <c r="D2335" s="51" t="s">
        <v>3039</v>
      </c>
      <c r="E2335" s="62" t="s">
        <v>45</v>
      </c>
      <c r="F2335" s="63" t="str">
        <f t="shared" si="520"/>
        <v>Tea in cardboard box NL</v>
      </c>
      <c r="G2335" s="64">
        <v>3.6285020153696</v>
      </c>
      <c r="H2335" s="10">
        <f t="shared" si="481"/>
        <v>3.628502015</v>
      </c>
      <c r="I2335" s="65">
        <v>1.1845416E-6</v>
      </c>
      <c r="J2335" s="65">
        <v>0.7436652308280001</v>
      </c>
      <c r="K2335" s="65">
        <v>1.1076473</v>
      </c>
      <c r="L2335" s="65">
        <v>1.7771883</v>
      </c>
      <c r="N2335" s="66">
        <v>11.847922</v>
      </c>
      <c r="O2335" s="10">
        <f t="shared" si="521"/>
        <v>11.847922</v>
      </c>
      <c r="Q2335" s="67">
        <v>0.0</v>
      </c>
      <c r="S2335" s="68">
        <v>0.34820315</v>
      </c>
      <c r="T2335" s="68">
        <v>0.30307966</v>
      </c>
      <c r="U2335" s="68">
        <v>0.045123489</v>
      </c>
      <c r="V2335" s="68">
        <v>0.0</v>
      </c>
      <c r="X2335" s="69">
        <v>6.1163422E-4</v>
      </c>
    </row>
    <row r="2336" ht="12.75" customHeight="1">
      <c r="B2336" s="62"/>
      <c r="C2336" s="60"/>
      <c r="D2336" s="75" t="s">
        <v>3055</v>
      </c>
      <c r="E2336" s="62"/>
      <c r="G2336" s="10"/>
      <c r="H2336" s="10" t="str">
        <f t="shared" si="481"/>
        <v/>
      </c>
      <c r="I2336" s="10"/>
      <c r="J2336" s="10"/>
      <c r="K2336" s="10"/>
      <c r="L2336" s="10"/>
      <c r="N2336" s="10"/>
      <c r="O2336" s="10"/>
      <c r="Q2336" s="67"/>
    </row>
    <row r="2337" ht="12.75" customHeight="1">
      <c r="A2337" s="1" t="s">
        <v>3056</v>
      </c>
      <c r="B2337" s="62" t="s">
        <v>2905</v>
      </c>
      <c r="C2337" s="60" t="str">
        <f t="shared" ref="C2337:C2344" si="522">MID(A2337,1,12)</f>
        <v>M.020.17.101</v>
      </c>
      <c r="D2337" s="51" t="s">
        <v>3055</v>
      </c>
      <c r="E2337" s="62" t="s">
        <v>45</v>
      </c>
      <c r="F2337" s="63" t="str">
        <f t="shared" ref="F2337:F2344" si="523">MID(A2337, 21,85)</f>
        <v>Almonds, blanced unsalted in plastic foil per 500 gram NL</v>
      </c>
      <c r="G2337" s="64">
        <v>1.87408663342219</v>
      </c>
      <c r="H2337" s="10">
        <f t="shared" si="481"/>
        <v>1.874086633</v>
      </c>
      <c r="I2337" s="65">
        <v>3.2869009E-7</v>
      </c>
      <c r="J2337" s="65">
        <v>0.2556886947321</v>
      </c>
      <c r="K2337" s="65">
        <v>1.2022566</v>
      </c>
      <c r="L2337" s="65">
        <v>0.41614101</v>
      </c>
      <c r="N2337" s="66">
        <v>2.7742734</v>
      </c>
      <c r="O2337" s="10">
        <f t="shared" ref="O2337:O2344" si="524">N2337</f>
        <v>2.7742734</v>
      </c>
      <c r="Q2337" s="67">
        <v>0.0</v>
      </c>
      <c r="S2337" s="68">
        <v>0.10668425</v>
      </c>
      <c r="T2337" s="68">
        <v>0.096276866</v>
      </c>
      <c r="U2337" s="68">
        <v>0.010407389</v>
      </c>
      <c r="V2337" s="68">
        <v>0.0</v>
      </c>
      <c r="X2337" s="69">
        <v>1.6819505E-4</v>
      </c>
    </row>
    <row r="2338" ht="12.75" customHeight="1">
      <c r="A2338" s="1" t="s">
        <v>3057</v>
      </c>
      <c r="B2338" s="62" t="s">
        <v>2905</v>
      </c>
      <c r="C2338" s="60" t="str">
        <f t="shared" si="522"/>
        <v>M.020.17.102</v>
      </c>
      <c r="D2338" s="51" t="s">
        <v>3055</v>
      </c>
      <c r="E2338" s="62" t="s">
        <v>45</v>
      </c>
      <c r="F2338" s="63" t="str">
        <f t="shared" si="523"/>
        <v>Cashew nuts, unsalted in plastic foil per 500 gram NL</v>
      </c>
      <c r="G2338" s="64">
        <v>1.2670029790623</v>
      </c>
      <c r="H2338" s="10">
        <f t="shared" si="481"/>
        <v>1.267002979</v>
      </c>
      <c r="I2338" s="65">
        <v>1.3272503E-6</v>
      </c>
      <c r="J2338" s="65">
        <v>0.308685911812</v>
      </c>
      <c r="K2338" s="65">
        <v>0.55797706</v>
      </c>
      <c r="L2338" s="65">
        <v>0.40033868</v>
      </c>
      <c r="N2338" s="66">
        <v>2.6689245333333336</v>
      </c>
      <c r="O2338" s="10">
        <f t="shared" si="524"/>
        <v>2.668924533</v>
      </c>
      <c r="Q2338" s="67">
        <v>0.0</v>
      </c>
      <c r="S2338" s="68">
        <v>0.096205152</v>
      </c>
      <c r="T2338" s="68">
        <v>0.082098144</v>
      </c>
      <c r="U2338" s="68">
        <v>0.014107008</v>
      </c>
      <c r="V2338" s="68">
        <v>0.0</v>
      </c>
      <c r="X2338" s="69">
        <v>2.3496871E-4</v>
      </c>
    </row>
    <row r="2339" ht="12.75" customHeight="1">
      <c r="A2339" s="1" t="s">
        <v>3058</v>
      </c>
      <c r="B2339" s="62" t="s">
        <v>2905</v>
      </c>
      <c r="C2339" s="60" t="str">
        <f t="shared" si="522"/>
        <v>M.020.17.103</v>
      </c>
      <c r="D2339" s="51" t="s">
        <v>3055</v>
      </c>
      <c r="E2339" s="62" t="s">
        <v>45</v>
      </c>
      <c r="F2339" s="63" t="str">
        <f t="shared" si="523"/>
        <v>Hazelnuts, unsalted in plastic foil per 500 gram NL</v>
      </c>
      <c r="G2339" s="64">
        <v>1.37593907488651</v>
      </c>
      <c r="H2339" s="10">
        <f t="shared" si="481"/>
        <v>1.375939075</v>
      </c>
      <c r="I2339" s="65">
        <v>6.0559751E-7</v>
      </c>
      <c r="J2339" s="65">
        <v>0.424024099289</v>
      </c>
      <c r="K2339" s="65">
        <v>0.37326823</v>
      </c>
      <c r="L2339" s="65">
        <v>0.57864614</v>
      </c>
      <c r="N2339" s="66">
        <v>3.8576409333333337</v>
      </c>
      <c r="O2339" s="10">
        <f t="shared" si="524"/>
        <v>3.857640933</v>
      </c>
      <c r="Q2339" s="67">
        <v>0.0</v>
      </c>
      <c r="S2339" s="68">
        <v>0.15310617</v>
      </c>
      <c r="T2339" s="68">
        <v>0.12972835</v>
      </c>
      <c r="U2339" s="68">
        <v>0.02337782</v>
      </c>
      <c r="V2339" s="68">
        <v>0.0</v>
      </c>
      <c r="X2339" s="69">
        <v>2.6412556E-4</v>
      </c>
    </row>
    <row r="2340" ht="12.75" customHeight="1">
      <c r="A2340" s="1" t="s">
        <v>3059</v>
      </c>
      <c r="B2340" s="62" t="s">
        <v>2905</v>
      </c>
      <c r="C2340" s="60" t="str">
        <f t="shared" si="522"/>
        <v>M.020.17.104</v>
      </c>
      <c r="D2340" s="51" t="s">
        <v>3055</v>
      </c>
      <c r="E2340" s="62" t="s">
        <v>45</v>
      </c>
      <c r="F2340" s="63" t="str">
        <f t="shared" si="523"/>
        <v>Linseeds in plastic foil per 500 gram NL</v>
      </c>
      <c r="G2340" s="64">
        <v>0.52179170504465</v>
      </c>
      <c r="H2340" s="10">
        <f t="shared" si="481"/>
        <v>0.521791705</v>
      </c>
      <c r="I2340" s="65">
        <v>2.2526355E-7</v>
      </c>
      <c r="J2340" s="65">
        <v>0.20683610478109998</v>
      </c>
      <c r="K2340" s="65">
        <v>0.036378915</v>
      </c>
      <c r="L2340" s="65">
        <v>0.27857646</v>
      </c>
      <c r="N2340" s="66">
        <v>1.8571764000000002</v>
      </c>
      <c r="O2340" s="10">
        <f t="shared" si="524"/>
        <v>1.8571764</v>
      </c>
      <c r="Q2340" s="67">
        <v>0.0</v>
      </c>
      <c r="S2340" s="68">
        <v>0.068992912</v>
      </c>
      <c r="T2340" s="68">
        <v>0.053385527</v>
      </c>
      <c r="U2340" s="68">
        <v>0.015607385</v>
      </c>
      <c r="V2340" s="68">
        <v>0.0</v>
      </c>
      <c r="X2340" s="69">
        <v>1.2606157E-4</v>
      </c>
    </row>
    <row r="2341" ht="12.75" customHeight="1">
      <c r="A2341" s="1" t="s">
        <v>3060</v>
      </c>
      <c r="B2341" s="62" t="s">
        <v>2905</v>
      </c>
      <c r="C2341" s="60" t="str">
        <f t="shared" si="522"/>
        <v>M.020.17.105</v>
      </c>
      <c r="D2341" s="51" t="s">
        <v>3055</v>
      </c>
      <c r="E2341" s="62" t="s">
        <v>45</v>
      </c>
      <c r="F2341" s="63" t="str">
        <f t="shared" si="523"/>
        <v>Peanuts, unsalted in plastic foil per 500 gram NL</v>
      </c>
      <c r="G2341" s="64">
        <v>0.49341111748845</v>
      </c>
      <c r="H2341" s="10">
        <f t="shared" si="481"/>
        <v>0.4934111175</v>
      </c>
      <c r="I2341" s="65">
        <v>1.0430965E-7</v>
      </c>
      <c r="J2341" s="65">
        <v>0.1052535071788</v>
      </c>
      <c r="K2341" s="65">
        <v>0.033869126</v>
      </c>
      <c r="L2341" s="65">
        <v>0.35428838</v>
      </c>
      <c r="N2341" s="66">
        <v>2.3619225333333334</v>
      </c>
      <c r="O2341" s="10">
        <f t="shared" si="524"/>
        <v>2.361922533</v>
      </c>
      <c r="Q2341" s="67">
        <v>0.0</v>
      </c>
      <c r="S2341" s="68">
        <v>0.056021517</v>
      </c>
      <c r="T2341" s="68">
        <v>0.045554613</v>
      </c>
      <c r="U2341" s="68">
        <v>0.010466904</v>
      </c>
      <c r="V2341" s="68">
        <v>0.0</v>
      </c>
      <c r="X2341" s="69">
        <v>1.0367806E-4</v>
      </c>
    </row>
    <row r="2342" ht="12.75" customHeight="1">
      <c r="A2342" s="1" t="s">
        <v>3061</v>
      </c>
      <c r="B2342" s="62" t="s">
        <v>2905</v>
      </c>
      <c r="C2342" s="60" t="str">
        <f t="shared" si="522"/>
        <v>M.020.17.106</v>
      </c>
      <c r="D2342" s="51" t="s">
        <v>3055</v>
      </c>
      <c r="E2342" s="62" t="s">
        <v>45</v>
      </c>
      <c r="F2342" s="63" t="str">
        <f t="shared" si="523"/>
        <v>Pistachio nuts, salted in plastic foil per 500 gram NL</v>
      </c>
      <c r="G2342" s="64">
        <v>1.00146830269348</v>
      </c>
      <c r="H2342" s="10">
        <f t="shared" si="481"/>
        <v>1.001468303</v>
      </c>
      <c r="I2342" s="65">
        <v>3.8244658E-7</v>
      </c>
      <c r="J2342" s="65">
        <v>0.1088787802469</v>
      </c>
      <c r="K2342" s="65">
        <v>0.7366827</v>
      </c>
      <c r="L2342" s="65">
        <v>0.15590644</v>
      </c>
      <c r="N2342" s="66">
        <v>1.0393762666666668</v>
      </c>
      <c r="O2342" s="10">
        <f t="shared" si="524"/>
        <v>1.039376267</v>
      </c>
      <c r="Q2342" s="67">
        <v>0.0</v>
      </c>
      <c r="S2342" s="68">
        <v>0.038113808</v>
      </c>
      <c r="T2342" s="68">
        <v>0.033636654</v>
      </c>
      <c r="U2342" s="68">
        <v>0.0044771537</v>
      </c>
      <c r="V2342" s="68">
        <v>0.0</v>
      </c>
      <c r="X2342" s="69">
        <v>8.0770932E-5</v>
      </c>
    </row>
    <row r="2343" ht="12.75" customHeight="1">
      <c r="A2343" s="1" t="s">
        <v>3062</v>
      </c>
      <c r="B2343" s="62" t="s">
        <v>2905</v>
      </c>
      <c r="C2343" s="60" t="str">
        <f t="shared" si="522"/>
        <v>M.020.17.107</v>
      </c>
      <c r="D2343" s="51" t="s">
        <v>3055</v>
      </c>
      <c r="E2343" s="62" t="s">
        <v>45</v>
      </c>
      <c r="F2343" s="63" t="str">
        <f t="shared" si="523"/>
        <v>Pistachio nuts, unsalted in plastic foil per 500 gram NL</v>
      </c>
      <c r="G2343" s="64">
        <v>1.01087414088149</v>
      </c>
      <c r="H2343" s="10">
        <f t="shared" si="481"/>
        <v>1.010874141</v>
      </c>
      <c r="I2343" s="65">
        <v>3.8582779E-7</v>
      </c>
      <c r="J2343" s="65">
        <v>0.1097969450537</v>
      </c>
      <c r="K2343" s="65">
        <v>0.74409328</v>
      </c>
      <c r="L2343" s="65">
        <v>0.15698353</v>
      </c>
      <c r="N2343" s="66">
        <v>1.0465568666666667</v>
      </c>
      <c r="O2343" s="10">
        <f t="shared" si="524"/>
        <v>1.046556867</v>
      </c>
      <c r="Q2343" s="67">
        <v>0.0</v>
      </c>
      <c r="S2343" s="68">
        <v>0.038398914</v>
      </c>
      <c r="T2343" s="68">
        <v>0.03388045</v>
      </c>
      <c r="U2343" s="68">
        <v>0.0045184636</v>
      </c>
      <c r="V2343" s="68">
        <v>0.0</v>
      </c>
      <c r="X2343" s="69">
        <v>8.141818E-5</v>
      </c>
    </row>
    <row r="2344" ht="12.75" customHeight="1">
      <c r="A2344" s="1" t="s">
        <v>3063</v>
      </c>
      <c r="B2344" s="62" t="s">
        <v>2905</v>
      </c>
      <c r="C2344" s="60" t="str">
        <f t="shared" si="522"/>
        <v>M.020.17.108</v>
      </c>
      <c r="D2344" s="51" t="s">
        <v>3055</v>
      </c>
      <c r="E2344" s="62" t="s">
        <v>45</v>
      </c>
      <c r="F2344" s="63" t="str">
        <f t="shared" si="523"/>
        <v>Walnuts, unsalted in plastic foil per 500 gram NL</v>
      </c>
      <c r="G2344" s="64">
        <v>1.67510104048962</v>
      </c>
      <c r="H2344" s="10">
        <f t="shared" si="481"/>
        <v>1.67510104</v>
      </c>
      <c r="I2344" s="65">
        <v>2.2979252E-7</v>
      </c>
      <c r="J2344" s="65">
        <v>0.1822461906971</v>
      </c>
      <c r="K2344" s="65">
        <v>1.1200836</v>
      </c>
      <c r="L2344" s="65">
        <v>0.37277102</v>
      </c>
      <c r="N2344" s="66">
        <v>2.4851401333333336</v>
      </c>
      <c r="O2344" s="10">
        <f t="shared" si="524"/>
        <v>2.485140133</v>
      </c>
      <c r="Q2344" s="67">
        <v>0.0</v>
      </c>
      <c r="S2344" s="68">
        <v>0.085174391</v>
      </c>
      <c r="T2344" s="68">
        <v>0.077879262</v>
      </c>
      <c r="U2344" s="68">
        <v>0.0072951299</v>
      </c>
      <c r="V2344" s="68">
        <v>0.0</v>
      </c>
      <c r="X2344" s="69">
        <v>1.3359717E-4</v>
      </c>
    </row>
    <row r="2345" ht="12.75" customHeight="1">
      <c r="B2345" s="62"/>
      <c r="C2345" s="60"/>
      <c r="D2345" s="75" t="s">
        <v>3064</v>
      </c>
      <c r="E2345" s="62"/>
      <c r="G2345" s="10"/>
      <c r="H2345" s="10" t="str">
        <f t="shared" si="481"/>
        <v/>
      </c>
      <c r="I2345" s="10"/>
      <c r="J2345" s="10"/>
      <c r="K2345" s="10"/>
      <c r="L2345" s="10"/>
      <c r="N2345" s="10"/>
      <c r="O2345" s="10"/>
      <c r="Q2345" s="67"/>
    </row>
    <row r="2346" ht="12.75" customHeight="1">
      <c r="A2346" s="1" t="s">
        <v>3065</v>
      </c>
      <c r="B2346" s="62" t="s">
        <v>2905</v>
      </c>
      <c r="C2346" s="60" t="str">
        <f t="shared" ref="C2346:C2348" si="525">MID(A2346,1,12)</f>
        <v>M.020.18.101</v>
      </c>
      <c r="D2346" s="51" t="s">
        <v>3064</v>
      </c>
      <c r="E2346" s="62" t="s">
        <v>45</v>
      </c>
      <c r="F2346" s="63" t="str">
        <f t="shared" ref="F2346:F2348" si="526">MID(A2346, 21,85)</f>
        <v>Brown beans, in food can NL</v>
      </c>
      <c r="G2346" s="64">
        <v>0.43362405607468</v>
      </c>
      <c r="H2346" s="10">
        <f t="shared" si="481"/>
        <v>0.4336240561</v>
      </c>
      <c r="I2346" s="65">
        <v>2.9878278E-7</v>
      </c>
      <c r="J2346" s="65">
        <v>0.12006197229190001</v>
      </c>
      <c r="K2346" s="65">
        <v>0.037633985</v>
      </c>
      <c r="L2346" s="65">
        <v>0.2759278</v>
      </c>
      <c r="N2346" s="66">
        <v>1.8395186666666667</v>
      </c>
      <c r="O2346" s="10">
        <f t="shared" ref="O2346:O2348" si="527">N2346</f>
        <v>1.839518667</v>
      </c>
      <c r="Q2346" s="67">
        <v>0.0</v>
      </c>
      <c r="S2346" s="68">
        <v>0.056924166</v>
      </c>
      <c r="T2346" s="68">
        <v>0.052234458</v>
      </c>
      <c r="U2346" s="68">
        <v>0.0046897076</v>
      </c>
      <c r="V2346" s="68">
        <v>0.0</v>
      </c>
      <c r="X2346" s="69">
        <v>1.0147773E-4</v>
      </c>
    </row>
    <row r="2347" ht="12.75" customHeight="1">
      <c r="A2347" s="1" t="s">
        <v>3066</v>
      </c>
      <c r="B2347" s="62" t="s">
        <v>2905</v>
      </c>
      <c r="C2347" s="60" t="str">
        <f t="shared" si="525"/>
        <v>M.020.18.102</v>
      </c>
      <c r="D2347" s="51" t="s">
        <v>3064</v>
      </c>
      <c r="E2347" s="62" t="s">
        <v>45</v>
      </c>
      <c r="F2347" s="63" t="str">
        <f t="shared" si="526"/>
        <v>Brown beans, in glass jarper 720 ml NL</v>
      </c>
      <c r="G2347" s="64">
        <v>0.3266042685147</v>
      </c>
      <c r="H2347" s="10">
        <f t="shared" si="481"/>
        <v>0.3266042685</v>
      </c>
      <c r="I2347" s="65">
        <v>1.866399E-7</v>
      </c>
      <c r="J2347" s="65">
        <v>0.09922029787480001</v>
      </c>
      <c r="K2347" s="65">
        <v>0.019721844</v>
      </c>
      <c r="L2347" s="65">
        <v>0.20766194</v>
      </c>
      <c r="N2347" s="66">
        <v>1.3844129333333333</v>
      </c>
      <c r="O2347" s="10">
        <f t="shared" si="527"/>
        <v>1.384412933</v>
      </c>
      <c r="Q2347" s="67">
        <v>0.0</v>
      </c>
      <c r="S2347" s="68">
        <v>0.045332411</v>
      </c>
      <c r="T2347" s="68">
        <v>0.04112234</v>
      </c>
      <c r="U2347" s="68">
        <v>0.0042100711</v>
      </c>
      <c r="V2347" s="68">
        <v>0.0</v>
      </c>
      <c r="X2347" s="69">
        <v>7.700703E-5</v>
      </c>
    </row>
    <row r="2348" ht="12.75" customHeight="1">
      <c r="A2348" s="1" t="s">
        <v>3067</v>
      </c>
      <c r="B2348" s="62" t="s">
        <v>2905</v>
      </c>
      <c r="C2348" s="60" t="str">
        <f t="shared" si="525"/>
        <v>M.020.18.103</v>
      </c>
      <c r="D2348" s="51" t="s">
        <v>3064</v>
      </c>
      <c r="E2348" s="62" t="s">
        <v>45</v>
      </c>
      <c r="F2348" s="63" t="str">
        <f t="shared" si="526"/>
        <v>Chickpeas, in plastic foil per 500 gram NL</v>
      </c>
      <c r="G2348" s="64">
        <v>0.73394296178706</v>
      </c>
      <c r="H2348" s="10">
        <f t="shared" si="481"/>
        <v>0.7339429618</v>
      </c>
      <c r="I2348" s="65">
        <v>2.5004716E-7</v>
      </c>
      <c r="J2348" s="65">
        <v>0.16302362173989998</v>
      </c>
      <c r="K2348" s="65">
        <v>0.01365684</v>
      </c>
      <c r="L2348" s="65">
        <v>0.55726225</v>
      </c>
      <c r="N2348" s="66">
        <v>3.7150816666666664</v>
      </c>
      <c r="O2348" s="10">
        <f t="shared" si="527"/>
        <v>3.715081667</v>
      </c>
      <c r="Q2348" s="67">
        <v>0.0</v>
      </c>
      <c r="S2348" s="68">
        <v>0.087435359</v>
      </c>
      <c r="T2348" s="68">
        <v>0.072119469</v>
      </c>
      <c r="U2348" s="68">
        <v>0.01531589</v>
      </c>
      <c r="V2348" s="68">
        <v>0.0</v>
      </c>
      <c r="X2348" s="69">
        <v>1.6655374E-4</v>
      </c>
    </row>
    <row r="2349" ht="12.75" customHeight="1">
      <c r="B2349" s="62"/>
      <c r="C2349" s="60"/>
      <c r="D2349" s="75" t="s">
        <v>3068</v>
      </c>
      <c r="E2349" s="62"/>
      <c r="G2349" s="10"/>
      <c r="H2349" s="10" t="str">
        <f t="shared" si="481"/>
        <v/>
      </c>
      <c r="I2349" s="10"/>
      <c r="J2349" s="10"/>
      <c r="K2349" s="10"/>
      <c r="L2349" s="10"/>
      <c r="N2349" s="10"/>
      <c r="O2349" s="10"/>
      <c r="Q2349" s="67"/>
    </row>
    <row r="2350" ht="12.75" customHeight="1">
      <c r="A2350" s="1" t="s">
        <v>3069</v>
      </c>
      <c r="B2350" s="62" t="s">
        <v>2905</v>
      </c>
      <c r="C2350" s="60" t="str">
        <f>MID(A2350,1,12)</f>
        <v>M.020.19.101</v>
      </c>
      <c r="D2350" s="51" t="s">
        <v>3068</v>
      </c>
      <c r="E2350" s="62" t="s">
        <v>45</v>
      </c>
      <c r="F2350" s="63" t="str">
        <f>MID(A2350, 21,85)</f>
        <v>Baby/toddler milkpowder, in cardboard box NL</v>
      </c>
      <c r="G2350" s="64">
        <v>0.82934680998413</v>
      </c>
      <c r="H2350" s="10">
        <f t="shared" si="481"/>
        <v>0.82934681</v>
      </c>
      <c r="I2350" s="65">
        <v>1.9116983E-7</v>
      </c>
      <c r="J2350" s="65">
        <v>0.1748538568143</v>
      </c>
      <c r="K2350" s="65">
        <v>0.017397132</v>
      </c>
      <c r="L2350" s="65">
        <v>0.63709563</v>
      </c>
      <c r="N2350" s="66">
        <v>4.2473042</v>
      </c>
      <c r="O2350" s="10">
        <f t="shared" ref="O2350:O2363" si="528">N2350</f>
        <v>4.2473042</v>
      </c>
      <c r="Q2350" s="67">
        <v>0.0</v>
      </c>
      <c r="S2350" s="68">
        <v>0.11348017</v>
      </c>
      <c r="T2350" s="68">
        <v>0.10566335</v>
      </c>
      <c r="U2350" s="68">
        <v>0.0078168189</v>
      </c>
      <c r="V2350" s="68">
        <v>0.0</v>
      </c>
      <c r="X2350" s="69">
        <v>1.7830984E-4</v>
      </c>
    </row>
    <row r="2351" ht="12.75" customHeight="1">
      <c r="B2351" s="62"/>
      <c r="C2351" s="60"/>
      <c r="D2351" s="75" t="s">
        <v>3070</v>
      </c>
      <c r="E2351" s="62"/>
      <c r="F2351" s="63"/>
      <c r="G2351" s="64"/>
      <c r="H2351" s="10" t="str">
        <f t="shared" si="481"/>
        <v/>
      </c>
      <c r="I2351" s="65"/>
      <c r="J2351" s="65"/>
      <c r="K2351" s="65"/>
      <c r="L2351" s="65"/>
      <c r="N2351" s="66"/>
      <c r="O2351" s="10" t="str">
        <f t="shared" si="528"/>
        <v/>
      </c>
      <c r="Q2351" s="67"/>
      <c r="S2351" s="68"/>
      <c r="T2351" s="68"/>
      <c r="U2351" s="68"/>
      <c r="V2351" s="68"/>
      <c r="X2351" s="69"/>
    </row>
    <row r="2352" ht="12.75" customHeight="1">
      <c r="A2352" s="1" t="s">
        <v>3071</v>
      </c>
      <c r="B2352" s="62" t="s">
        <v>2905</v>
      </c>
      <c r="C2352" s="60" t="str">
        <f t="shared" ref="C2352:C2363" si="529">MID(A2352,1,12)</f>
        <v>M.020.20.101</v>
      </c>
      <c r="D2352" s="51" t="s">
        <v>3070</v>
      </c>
      <c r="E2352" s="62" t="s">
        <v>45</v>
      </c>
      <c r="F2352" s="63" t="str">
        <f t="shared" ref="F2352:F2363" si="530">MID(A2352, 21,85)</f>
        <v>Chocolate, confetti, milk in cardboard box NL</v>
      </c>
      <c r="G2352" s="64">
        <v>1.15643851809801</v>
      </c>
      <c r="H2352" s="10">
        <f t="shared" si="481"/>
        <v>1.156438518</v>
      </c>
      <c r="I2352" s="65">
        <v>7.9908301E-7</v>
      </c>
      <c r="J2352" s="65">
        <v>0.265066095815</v>
      </c>
      <c r="K2352" s="65">
        <v>0.0091172732</v>
      </c>
      <c r="L2352" s="65">
        <v>0.88225435</v>
      </c>
      <c r="N2352" s="66">
        <v>5.881695666666666</v>
      </c>
      <c r="O2352" s="10">
        <f t="shared" si="528"/>
        <v>5.881695667</v>
      </c>
      <c r="Q2352" s="67">
        <v>0.0</v>
      </c>
      <c r="S2352" s="68">
        <v>0.14130994</v>
      </c>
      <c r="T2352" s="68">
        <v>0.12250214</v>
      </c>
      <c r="U2352" s="68">
        <v>0.018807801</v>
      </c>
      <c r="V2352" s="68">
        <v>0.0</v>
      </c>
      <c r="X2352" s="69">
        <v>2.8511865E-4</v>
      </c>
    </row>
    <row r="2353" ht="12.75" customHeight="1">
      <c r="A2353" s="1" t="s">
        <v>3072</v>
      </c>
      <c r="B2353" s="62" t="s">
        <v>2905</v>
      </c>
      <c r="C2353" s="60" t="str">
        <f t="shared" si="529"/>
        <v>M.020.20.102</v>
      </c>
      <c r="D2353" s="51" t="s">
        <v>3070</v>
      </c>
      <c r="E2353" s="62" t="s">
        <v>45</v>
      </c>
      <c r="F2353" s="63" t="str">
        <f t="shared" si="530"/>
        <v>Chocolate, confetti, plain in cardboard box NL</v>
      </c>
      <c r="G2353" s="64">
        <v>1.24839311036666</v>
      </c>
      <c r="H2353" s="10">
        <f t="shared" si="481"/>
        <v>1.24839311</v>
      </c>
      <c r="I2353" s="65">
        <v>9.9639966E-7</v>
      </c>
      <c r="J2353" s="65">
        <v>0.287915650167</v>
      </c>
      <c r="K2353" s="65">
        <v>0.0063023038</v>
      </c>
      <c r="L2353" s="65">
        <v>0.95417416</v>
      </c>
      <c r="N2353" s="66">
        <v>6.361161066666667</v>
      </c>
      <c r="O2353" s="10">
        <f t="shared" si="528"/>
        <v>6.361161067</v>
      </c>
      <c r="Q2353" s="67">
        <v>0.0</v>
      </c>
      <c r="S2353" s="68">
        <v>0.14629712</v>
      </c>
      <c r="T2353" s="68">
        <v>0.12321764</v>
      </c>
      <c r="U2353" s="68">
        <v>0.023079483</v>
      </c>
      <c r="V2353" s="68">
        <v>0.0</v>
      </c>
      <c r="X2353" s="69">
        <v>3.1690293E-4</v>
      </c>
    </row>
    <row r="2354" ht="12.75" customHeight="1">
      <c r="A2354" s="1" t="s">
        <v>3073</v>
      </c>
      <c r="B2354" s="62" t="s">
        <v>2905</v>
      </c>
      <c r="C2354" s="60" t="str">
        <f t="shared" si="529"/>
        <v>M.020.20.103</v>
      </c>
      <c r="D2354" s="51" t="s">
        <v>3070</v>
      </c>
      <c r="E2354" s="62" t="s">
        <v>45</v>
      </c>
      <c r="F2354" s="63" t="str">
        <f t="shared" si="530"/>
        <v>Chocolat, milk in aluminium foil laminated paperper 250 gram NL</v>
      </c>
      <c r="G2354" s="64">
        <v>1.5839599139271</v>
      </c>
      <c r="H2354" s="10">
        <f t="shared" si="481"/>
        <v>1.583959914</v>
      </c>
      <c r="I2354" s="65">
        <v>9.580071E-7</v>
      </c>
      <c r="J2354" s="65">
        <v>0.35080579992</v>
      </c>
      <c r="K2354" s="65">
        <v>0.015536756</v>
      </c>
      <c r="L2354" s="65">
        <v>1.2176164</v>
      </c>
      <c r="N2354" s="66">
        <v>8.117442666666667</v>
      </c>
      <c r="O2354" s="10">
        <f t="shared" si="528"/>
        <v>8.117442667</v>
      </c>
      <c r="Q2354" s="67">
        <v>0.0</v>
      </c>
      <c r="S2354" s="68">
        <v>0.19608612</v>
      </c>
      <c r="T2354" s="68">
        <v>0.17201796</v>
      </c>
      <c r="U2354" s="68">
        <v>0.024068168</v>
      </c>
      <c r="V2354" s="68">
        <v>0.0</v>
      </c>
      <c r="X2354" s="69">
        <v>3.808509E-4</v>
      </c>
    </row>
    <row r="2355" ht="12.75" customHeight="1">
      <c r="A2355" s="1" t="s">
        <v>3074</v>
      </c>
      <c r="B2355" s="62" t="s">
        <v>2905</v>
      </c>
      <c r="C2355" s="60" t="str">
        <f t="shared" si="529"/>
        <v>M.020.20.104</v>
      </c>
      <c r="D2355" s="51" t="s">
        <v>3070</v>
      </c>
      <c r="E2355" s="62" t="s">
        <v>45</v>
      </c>
      <c r="F2355" s="63" t="str">
        <f t="shared" si="530"/>
        <v>Chocolate spread, duo in glass jarper 125 gram NL</v>
      </c>
      <c r="G2355" s="64">
        <v>0.8059809548976901</v>
      </c>
      <c r="H2355" s="10">
        <f t="shared" si="481"/>
        <v>0.8059809549</v>
      </c>
      <c r="I2355" s="65">
        <v>4.0595369E-7</v>
      </c>
      <c r="J2355" s="65">
        <v>0.217652775944</v>
      </c>
      <c r="K2355" s="65">
        <v>0.029730083</v>
      </c>
      <c r="L2355" s="65">
        <v>0.55859769</v>
      </c>
      <c r="N2355" s="66">
        <v>3.7239846000000005</v>
      </c>
      <c r="O2355" s="10">
        <f t="shared" si="528"/>
        <v>3.7239846</v>
      </c>
      <c r="Q2355" s="67">
        <v>0.0</v>
      </c>
      <c r="S2355" s="68">
        <v>0.11059134</v>
      </c>
      <c r="T2355" s="68">
        <v>0.10078798</v>
      </c>
      <c r="U2355" s="68">
        <v>0.0098033664</v>
      </c>
      <c r="V2355" s="68">
        <v>0.0</v>
      </c>
      <c r="X2355" s="69">
        <v>1.8791553E-4</v>
      </c>
    </row>
    <row r="2356" ht="12.75" customHeight="1">
      <c r="A2356" s="1" t="s">
        <v>3075</v>
      </c>
      <c r="B2356" s="62" t="s">
        <v>2905</v>
      </c>
      <c r="C2356" s="60" t="str">
        <f t="shared" si="529"/>
        <v>M.020.20.105</v>
      </c>
      <c r="D2356" s="51" t="s">
        <v>3070</v>
      </c>
      <c r="E2356" s="62" t="s">
        <v>45</v>
      </c>
      <c r="F2356" s="63" t="str">
        <f t="shared" si="530"/>
        <v>Chocolate spread, hazelnut in glass jarper 125 gram NL</v>
      </c>
      <c r="G2356" s="64">
        <v>0.93726320181259</v>
      </c>
      <c r="H2356" s="10">
        <f t="shared" si="481"/>
        <v>0.9372632018</v>
      </c>
      <c r="I2356" s="65">
        <v>4.7405459E-7</v>
      </c>
      <c r="J2356" s="65">
        <v>0.253150720758</v>
      </c>
      <c r="K2356" s="65">
        <v>0.056194467</v>
      </c>
      <c r="L2356" s="65">
        <v>0.62791754</v>
      </c>
      <c r="N2356" s="66">
        <v>4.1861169333333335</v>
      </c>
      <c r="O2356" s="10">
        <f t="shared" si="528"/>
        <v>4.186116933</v>
      </c>
      <c r="Q2356" s="67">
        <v>0.0</v>
      </c>
      <c r="S2356" s="68">
        <v>0.12478752</v>
      </c>
      <c r="T2356" s="68">
        <v>0.11258059</v>
      </c>
      <c r="U2356" s="68">
        <v>0.012206925</v>
      </c>
      <c r="V2356" s="68">
        <v>0.0</v>
      </c>
      <c r="X2356" s="69">
        <v>2.1498027E-4</v>
      </c>
    </row>
    <row r="2357" ht="12.75" customHeight="1">
      <c r="A2357" s="1" t="s">
        <v>3076</v>
      </c>
      <c r="B2357" s="62" t="s">
        <v>2905</v>
      </c>
      <c r="C2357" s="60" t="str">
        <f t="shared" si="529"/>
        <v>M.020.20.106</v>
      </c>
      <c r="D2357" s="51" t="s">
        <v>3070</v>
      </c>
      <c r="E2357" s="62" t="s">
        <v>45</v>
      </c>
      <c r="F2357" s="63" t="str">
        <f t="shared" si="530"/>
        <v>Honey, in glass jarper 125 gram NL</v>
      </c>
      <c r="G2357" s="64">
        <v>0.28180277065941</v>
      </c>
      <c r="H2357" s="10">
        <f t="shared" si="481"/>
        <v>0.2818027707</v>
      </c>
      <c r="I2357" s="65">
        <v>1.0497151E-7</v>
      </c>
      <c r="J2357" s="65">
        <v>0.0863231236879</v>
      </c>
      <c r="K2357" s="65">
        <v>0.004396622</v>
      </c>
      <c r="L2357" s="65">
        <v>0.19108292</v>
      </c>
      <c r="N2357" s="66">
        <v>1.2738861333333333</v>
      </c>
      <c r="O2357" s="10">
        <f t="shared" si="528"/>
        <v>1.273886133</v>
      </c>
      <c r="Q2357" s="67">
        <v>0.0</v>
      </c>
      <c r="S2357" s="68">
        <v>0.044637661</v>
      </c>
      <c r="T2357" s="68">
        <v>0.042784024</v>
      </c>
      <c r="U2357" s="68">
        <v>0.0018536379</v>
      </c>
      <c r="V2357" s="68">
        <v>0.0</v>
      </c>
      <c r="X2357" s="69">
        <v>6.5102659E-5</v>
      </c>
    </row>
    <row r="2358" ht="12.75" customHeight="1">
      <c r="A2358" s="1" t="s">
        <v>3077</v>
      </c>
      <c r="B2358" s="62" t="s">
        <v>2905</v>
      </c>
      <c r="C2358" s="60" t="str">
        <f t="shared" si="529"/>
        <v>M.020.20.107</v>
      </c>
      <c r="D2358" s="51" t="s">
        <v>3070</v>
      </c>
      <c r="E2358" s="62" t="s">
        <v>45</v>
      </c>
      <c r="F2358" s="63" t="str">
        <f t="shared" si="530"/>
        <v>Honey, in PET bottle NL</v>
      </c>
      <c r="G2358" s="64">
        <v>0.08931907863694899</v>
      </c>
      <c r="H2358" s="10">
        <f t="shared" si="481"/>
        <v>0.08931907864</v>
      </c>
      <c r="I2358" s="65">
        <v>4.7952949E-8</v>
      </c>
      <c r="J2358" s="65">
        <v>0.023099707984000004</v>
      </c>
      <c r="K2358" s="65">
        <v>0.0018368977</v>
      </c>
      <c r="L2358" s="65">
        <v>0.064382425</v>
      </c>
      <c r="N2358" s="66">
        <v>0.4292161666666666</v>
      </c>
      <c r="O2358" s="10">
        <f t="shared" si="528"/>
        <v>0.4292161667</v>
      </c>
      <c r="Q2358" s="67">
        <v>0.0</v>
      </c>
      <c r="S2358" s="68">
        <v>0.012704464</v>
      </c>
      <c r="T2358" s="68">
        <v>0.011961771</v>
      </c>
      <c r="U2358" s="68">
        <v>7.4269264E-4</v>
      </c>
      <c r="V2358" s="68">
        <v>0.0</v>
      </c>
      <c r="X2358" s="69">
        <v>2.1024399E-5</v>
      </c>
    </row>
    <row r="2359" ht="12.75" customHeight="1">
      <c r="A2359" s="1" t="s">
        <v>3078</v>
      </c>
      <c r="B2359" s="62" t="s">
        <v>2905</v>
      </c>
      <c r="C2359" s="60" t="str">
        <f t="shared" si="529"/>
        <v>M.020.20.108</v>
      </c>
      <c r="D2359" s="51" t="s">
        <v>3070</v>
      </c>
      <c r="E2359" s="62" t="s">
        <v>45</v>
      </c>
      <c r="F2359" s="63" t="str">
        <f t="shared" si="530"/>
        <v>Ice lolly/Sorbet, frozen in cardboard box NL</v>
      </c>
      <c r="G2359" s="64">
        <v>0.125869964731053</v>
      </c>
      <c r="H2359" s="10">
        <f t="shared" si="481"/>
        <v>0.1258699647</v>
      </c>
      <c r="I2359" s="65">
        <v>8.8968253E-8</v>
      </c>
      <c r="J2359" s="65">
        <v>0.029271431462799997</v>
      </c>
      <c r="K2359" s="65">
        <v>0.0080661443</v>
      </c>
      <c r="L2359" s="65">
        <v>0.0885323</v>
      </c>
      <c r="N2359" s="66">
        <v>0.5902153333333333</v>
      </c>
      <c r="O2359" s="10">
        <f t="shared" si="528"/>
        <v>0.5902153333</v>
      </c>
      <c r="Q2359" s="67">
        <v>0.0</v>
      </c>
      <c r="S2359" s="68">
        <v>0.016181444</v>
      </c>
      <c r="T2359" s="68">
        <v>0.01513251</v>
      </c>
      <c r="U2359" s="68">
        <v>0.0010489349</v>
      </c>
      <c r="V2359" s="68">
        <v>0.0</v>
      </c>
      <c r="X2359" s="69">
        <v>2.9479712E-5</v>
      </c>
    </row>
    <row r="2360" ht="12.75" customHeight="1">
      <c r="A2360" s="1" t="s">
        <v>3079</v>
      </c>
      <c r="B2360" s="62" t="s">
        <v>2905</v>
      </c>
      <c r="C2360" s="60" t="str">
        <f t="shared" si="529"/>
        <v>M.020.20.109</v>
      </c>
      <c r="D2360" s="51" t="s">
        <v>3070</v>
      </c>
      <c r="E2360" s="62" t="s">
        <v>45</v>
      </c>
      <c r="F2360" s="63" t="str">
        <f t="shared" si="530"/>
        <v>Jam, in glass jarper 125 gram NL</v>
      </c>
      <c r="G2360" s="64">
        <v>0.49376533890356</v>
      </c>
      <c r="H2360" s="10">
        <f t="shared" si="481"/>
        <v>0.4937653389</v>
      </c>
      <c r="I2360" s="65">
        <v>2.1992266E-7</v>
      </c>
      <c r="J2360" s="65">
        <v>0.1394001139809</v>
      </c>
      <c r="K2360" s="65">
        <v>0.039680995</v>
      </c>
      <c r="L2360" s="65">
        <v>0.31468401</v>
      </c>
      <c r="N2360" s="66">
        <v>2.0978934000000002</v>
      </c>
      <c r="O2360" s="10">
        <f t="shared" si="528"/>
        <v>2.0978934</v>
      </c>
      <c r="Q2360" s="67">
        <v>0.0</v>
      </c>
      <c r="S2360" s="68">
        <v>0.070242565</v>
      </c>
      <c r="T2360" s="68">
        <v>0.066261557</v>
      </c>
      <c r="U2360" s="68">
        <v>0.0039810081</v>
      </c>
      <c r="V2360" s="68">
        <v>0.0</v>
      </c>
      <c r="X2360" s="69">
        <v>1.0936116E-4</v>
      </c>
    </row>
    <row r="2361" ht="12.75" customHeight="1">
      <c r="A2361" s="1" t="s">
        <v>3080</v>
      </c>
      <c r="B2361" s="62" t="s">
        <v>2905</v>
      </c>
      <c r="C2361" s="60" t="str">
        <f t="shared" si="529"/>
        <v>M.020.20.110</v>
      </c>
      <c r="D2361" s="51" t="s">
        <v>3070</v>
      </c>
      <c r="E2361" s="62" t="s">
        <v>45</v>
      </c>
      <c r="F2361" s="63" t="str">
        <f t="shared" si="530"/>
        <v>Granulated sugar</v>
      </c>
      <c r="G2361" s="64">
        <v>0.225414150261753</v>
      </c>
      <c r="H2361" s="10">
        <f t="shared" si="481"/>
        <v>0.2254141503</v>
      </c>
      <c r="I2361" s="65">
        <v>0.01655949390115</v>
      </c>
      <c r="J2361" s="65">
        <v>0.099922446360603</v>
      </c>
      <c r="K2361" s="65">
        <v>0.0</v>
      </c>
      <c r="L2361" s="65">
        <v>0.10893221</v>
      </c>
      <c r="N2361" s="66">
        <v>0.7262147333333334</v>
      </c>
      <c r="O2361" s="10">
        <f t="shared" si="528"/>
        <v>0.7262147333</v>
      </c>
      <c r="Q2361" s="67">
        <v>0.0</v>
      </c>
      <c r="S2361" s="68">
        <v>0.038575957</v>
      </c>
      <c r="T2361" s="68">
        <v>0.03744092</v>
      </c>
      <c r="U2361" s="68">
        <v>0.001135037</v>
      </c>
      <c r="V2361" s="68">
        <v>0.0</v>
      </c>
      <c r="X2361" s="69">
        <v>5.1259615E-5</v>
      </c>
    </row>
    <row r="2362" ht="12.75" customHeight="1">
      <c r="A2362" s="1" t="s">
        <v>3081</v>
      </c>
      <c r="B2362" s="62" t="s">
        <v>2905</v>
      </c>
      <c r="C2362" s="60" t="str">
        <f t="shared" si="529"/>
        <v>M.020.20.110</v>
      </c>
      <c r="D2362" s="51" t="s">
        <v>3070</v>
      </c>
      <c r="E2362" s="62" t="s">
        <v>45</v>
      </c>
      <c r="F2362" s="63" t="str">
        <f t="shared" si="530"/>
        <v>Sugar, granulated Sugar packaging per 1 kg NL</v>
      </c>
      <c r="G2362" s="64">
        <v>0.256449579202</v>
      </c>
      <c r="H2362" s="10">
        <f t="shared" si="481"/>
        <v>0.2564495792</v>
      </c>
      <c r="I2362" s="65">
        <v>1.802409E-7</v>
      </c>
      <c r="J2362" s="65">
        <v>0.08147409416109999</v>
      </c>
      <c r="K2362" s="65">
        <v>0.0027438648</v>
      </c>
      <c r="L2362" s="65">
        <v>0.17223144</v>
      </c>
      <c r="N2362" s="66">
        <v>1.1482096000000002</v>
      </c>
      <c r="O2362" s="10">
        <f t="shared" si="528"/>
        <v>1.1482096</v>
      </c>
      <c r="Q2362" s="67">
        <v>0.0</v>
      </c>
      <c r="S2362" s="68">
        <v>0.038221134</v>
      </c>
      <c r="T2362" s="68">
        <v>0.035604116</v>
      </c>
      <c r="U2362" s="68">
        <v>0.002617018</v>
      </c>
      <c r="V2362" s="68">
        <v>0.0</v>
      </c>
      <c r="X2362" s="69">
        <v>6.4665568E-5</v>
      </c>
    </row>
    <row r="2363" ht="12.75" customHeight="1">
      <c r="A2363" s="1" t="s">
        <v>3082</v>
      </c>
      <c r="B2363" s="62" t="s">
        <v>2905</v>
      </c>
      <c r="C2363" s="60" t="str">
        <f t="shared" si="529"/>
        <v>M.020.20.111</v>
      </c>
      <c r="D2363" s="51" t="s">
        <v>3070</v>
      </c>
      <c r="E2363" s="62" t="s">
        <v>45</v>
      </c>
      <c r="F2363" s="63" t="str">
        <f t="shared" si="530"/>
        <v>Syrup, apple in glass jarper 125 gram NL</v>
      </c>
      <c r="G2363" s="64">
        <v>0.36815110250759</v>
      </c>
      <c r="H2363" s="10">
        <f t="shared" si="481"/>
        <v>0.3681511025</v>
      </c>
      <c r="I2363" s="65">
        <v>1.6151639E-7</v>
      </c>
      <c r="J2363" s="65">
        <v>0.0979825169912</v>
      </c>
      <c r="K2363" s="65">
        <v>0.027861584</v>
      </c>
      <c r="L2363" s="65">
        <v>0.24230684</v>
      </c>
      <c r="N2363" s="66">
        <v>1.6153789333333333</v>
      </c>
      <c r="O2363" s="10">
        <f t="shared" si="528"/>
        <v>1.615378933</v>
      </c>
      <c r="Q2363" s="67">
        <v>0.0</v>
      </c>
      <c r="S2363" s="68">
        <v>0.052483806</v>
      </c>
      <c r="T2363" s="68">
        <v>0.050187733</v>
      </c>
      <c r="U2363" s="68">
        <v>0.0022960735</v>
      </c>
      <c r="V2363" s="68">
        <v>0.0</v>
      </c>
      <c r="X2363" s="69">
        <v>8.0925109E-5</v>
      </c>
    </row>
    <row r="2364" ht="12.75" customHeight="1">
      <c r="B2364" s="62"/>
      <c r="C2364" s="60"/>
      <c r="D2364" s="75" t="s">
        <v>3083</v>
      </c>
      <c r="E2364" s="62"/>
      <c r="G2364" s="10"/>
      <c r="H2364" s="10" t="str">
        <f t="shared" si="481"/>
        <v/>
      </c>
      <c r="I2364" s="10"/>
      <c r="J2364" s="10"/>
      <c r="K2364" s="10"/>
      <c r="L2364" s="10"/>
      <c r="N2364" s="10"/>
      <c r="O2364" s="10"/>
      <c r="Q2364" s="67"/>
    </row>
    <row r="2365" ht="12.75" customHeight="1">
      <c r="A2365" s="1" t="s">
        <v>3084</v>
      </c>
      <c r="B2365" s="62" t="s">
        <v>2905</v>
      </c>
      <c r="C2365" s="60" t="str">
        <f t="shared" ref="C2365:C2371" si="531">MID(A2365,1,12)</f>
        <v>M.020.21.101</v>
      </c>
      <c r="D2365" s="51" t="s">
        <v>3083</v>
      </c>
      <c r="E2365" s="62" t="s">
        <v>45</v>
      </c>
      <c r="F2365" s="63" t="str">
        <f t="shared" ref="F2365:F2371" si="532">MID(A2365, 21,85)</f>
        <v>Butter, salted in plastic cupper 250 gram NL</v>
      </c>
      <c r="G2365" s="64">
        <v>1.7748258238783001</v>
      </c>
      <c r="H2365" s="10">
        <f t="shared" si="481"/>
        <v>1.774825824</v>
      </c>
      <c r="I2365" s="65">
        <v>3.003443E-7</v>
      </c>
      <c r="J2365" s="65">
        <v>0.394551692534</v>
      </c>
      <c r="K2365" s="65">
        <v>0.040233931</v>
      </c>
      <c r="L2365" s="65">
        <v>1.3400399</v>
      </c>
      <c r="N2365" s="66">
        <v>8.933599333333333</v>
      </c>
      <c r="O2365" s="10">
        <f t="shared" ref="O2365:O2371" si="533">N2365</f>
        <v>8.933599333</v>
      </c>
      <c r="Q2365" s="67">
        <v>0.0</v>
      </c>
      <c r="S2365" s="68">
        <v>0.2527494</v>
      </c>
      <c r="T2365" s="68">
        <v>0.23855669</v>
      </c>
      <c r="U2365" s="68">
        <v>0.014192708</v>
      </c>
      <c r="V2365" s="68">
        <v>0.0</v>
      </c>
      <c r="X2365" s="69">
        <v>3.7599179E-4</v>
      </c>
    </row>
    <row r="2366" ht="12.75" customHeight="1">
      <c r="A2366" s="1" t="s">
        <v>3085</v>
      </c>
      <c r="B2366" s="62" t="s">
        <v>2905</v>
      </c>
      <c r="C2366" s="60" t="str">
        <f t="shared" si="531"/>
        <v>M.020.21.102</v>
      </c>
      <c r="D2366" s="51" t="s">
        <v>3083</v>
      </c>
      <c r="E2366" s="62" t="s">
        <v>45</v>
      </c>
      <c r="F2366" s="63" t="str">
        <f t="shared" si="532"/>
        <v>Butter, unsalted in plastic cupper 250 gram NL</v>
      </c>
      <c r="G2366" s="64">
        <v>1.7745688813015499</v>
      </c>
      <c r="H2366" s="10">
        <f t="shared" si="481"/>
        <v>1.774568881</v>
      </c>
      <c r="I2366" s="65">
        <v>3.0016475E-7</v>
      </c>
      <c r="J2366" s="65">
        <v>0.3944812941368</v>
      </c>
      <c r="K2366" s="65">
        <v>0.040223687</v>
      </c>
      <c r="L2366" s="65">
        <v>1.3398636</v>
      </c>
      <c r="N2366" s="66">
        <v>8.932424</v>
      </c>
      <c r="O2366" s="10">
        <f t="shared" si="533"/>
        <v>8.932424</v>
      </c>
      <c r="Q2366" s="67">
        <v>0.0</v>
      </c>
      <c r="S2366" s="68">
        <v>0.25271234</v>
      </c>
      <c r="T2366" s="68">
        <v>0.23852106</v>
      </c>
      <c r="U2366" s="68">
        <v>0.014191279</v>
      </c>
      <c r="V2366" s="68">
        <v>0.0</v>
      </c>
      <c r="X2366" s="69">
        <v>3.7592992E-4</v>
      </c>
    </row>
    <row r="2367" ht="12.75" customHeight="1">
      <c r="A2367" s="1" t="s">
        <v>3086</v>
      </c>
      <c r="B2367" s="62" t="s">
        <v>2905</v>
      </c>
      <c r="C2367" s="60" t="str">
        <f t="shared" si="531"/>
        <v>M.020.21.103</v>
      </c>
      <c r="D2367" s="51" t="s">
        <v>3083</v>
      </c>
      <c r="E2367" s="62" t="s">
        <v>45</v>
      </c>
      <c r="F2367" s="63" t="str">
        <f t="shared" si="532"/>
        <v>Frying fat horeca, in PET bottle NL</v>
      </c>
      <c r="G2367" s="64">
        <v>0.6783162644221701</v>
      </c>
      <c r="H2367" s="10">
        <f t="shared" si="481"/>
        <v>0.6783162644</v>
      </c>
      <c r="I2367" s="65">
        <v>2.5187667E-7</v>
      </c>
      <c r="J2367" s="65">
        <v>0.23569952854550003</v>
      </c>
      <c r="K2367" s="65">
        <v>0.028080124</v>
      </c>
      <c r="L2367" s="65">
        <v>0.41453636</v>
      </c>
      <c r="N2367" s="66">
        <v>2.7635757333333335</v>
      </c>
      <c r="O2367" s="10">
        <f t="shared" si="533"/>
        <v>2.763575733</v>
      </c>
      <c r="Q2367" s="67">
        <v>0.0</v>
      </c>
      <c r="S2367" s="68">
        <v>0.09223769</v>
      </c>
      <c r="T2367" s="68">
        <v>0.07586949</v>
      </c>
      <c r="U2367" s="68">
        <v>0.0163682</v>
      </c>
      <c r="V2367" s="68">
        <v>0.0</v>
      </c>
      <c r="X2367" s="69">
        <v>1.6068073E-4</v>
      </c>
    </row>
    <row r="2368" ht="12.75" customHeight="1">
      <c r="A2368" s="1" t="s">
        <v>3087</v>
      </c>
      <c r="B2368" s="62" t="s">
        <v>2905</v>
      </c>
      <c r="C2368" s="60" t="str">
        <f t="shared" si="531"/>
        <v>M.020.21.104</v>
      </c>
      <c r="D2368" s="51" t="s">
        <v>3083</v>
      </c>
      <c r="E2368" s="62" t="s">
        <v>45</v>
      </c>
      <c r="F2368" s="63" t="str">
        <f t="shared" si="532"/>
        <v>Low fat w margarine, 40% fat &lt;17 g sat in plastic cupper 250 gram NL</v>
      </c>
      <c r="G2368" s="64">
        <v>0.32573648227492</v>
      </c>
      <c r="H2368" s="10">
        <f t="shared" si="481"/>
        <v>0.3257364823</v>
      </c>
      <c r="I2368" s="65">
        <v>1.3274342E-7</v>
      </c>
      <c r="J2368" s="65">
        <v>0.0990083895315</v>
      </c>
      <c r="K2368" s="65">
        <v>0.01607791</v>
      </c>
      <c r="L2368" s="65">
        <v>0.21065005</v>
      </c>
      <c r="N2368" s="66">
        <v>1.4043336666666668</v>
      </c>
      <c r="O2368" s="10">
        <f t="shared" si="533"/>
        <v>1.404333667</v>
      </c>
      <c r="Q2368" s="67">
        <v>0.0</v>
      </c>
      <c r="S2368" s="68">
        <v>0.042588466</v>
      </c>
      <c r="T2368" s="68">
        <v>0.035794147</v>
      </c>
      <c r="U2368" s="68">
        <v>0.0067943189</v>
      </c>
      <c r="V2368" s="68">
        <v>0.0</v>
      </c>
      <c r="X2368" s="69">
        <v>7.5627898E-5</v>
      </c>
    </row>
    <row r="2369" ht="12.75" customHeight="1">
      <c r="A2369" s="1" t="s">
        <v>3088</v>
      </c>
      <c r="B2369" s="62" t="s">
        <v>2905</v>
      </c>
      <c r="C2369" s="60" t="str">
        <f t="shared" si="531"/>
        <v>M.020.21.105</v>
      </c>
      <c r="D2369" s="51" t="s">
        <v>3083</v>
      </c>
      <c r="E2369" s="62" t="s">
        <v>45</v>
      </c>
      <c r="F2369" s="63" t="str">
        <f t="shared" si="532"/>
        <v>Margarine, 80% fat 17-24 g saturates in plastic cupper 250 gram NL</v>
      </c>
      <c r="G2369" s="64">
        <v>0.60147605080127</v>
      </c>
      <c r="H2369" s="10">
        <f t="shared" si="481"/>
        <v>0.6014760508</v>
      </c>
      <c r="I2369" s="65">
        <v>2.6515147E-7</v>
      </c>
      <c r="J2369" s="65">
        <v>0.1754109286498</v>
      </c>
      <c r="K2369" s="65">
        <v>0.023942727</v>
      </c>
      <c r="L2369" s="65">
        <v>0.40212213</v>
      </c>
      <c r="N2369" s="66">
        <v>2.6808142000000004</v>
      </c>
      <c r="O2369" s="10">
        <f t="shared" si="533"/>
        <v>2.6808142</v>
      </c>
      <c r="Q2369" s="67">
        <v>0.0</v>
      </c>
      <c r="S2369" s="68">
        <v>0.077766396</v>
      </c>
      <c r="T2369" s="68">
        <v>0.065439117</v>
      </c>
      <c r="U2369" s="68">
        <v>0.012327278</v>
      </c>
      <c r="V2369" s="68">
        <v>0.0</v>
      </c>
      <c r="X2369" s="69">
        <v>1.4103373E-4</v>
      </c>
    </row>
    <row r="2370" ht="12.75" customHeight="1">
      <c r="A2370" s="1" t="s">
        <v>3089</v>
      </c>
      <c r="B2370" s="62" t="s">
        <v>2905</v>
      </c>
      <c r="C2370" s="60" t="str">
        <f t="shared" si="531"/>
        <v>M.020.21.106</v>
      </c>
      <c r="D2370" s="51" t="s">
        <v>3083</v>
      </c>
      <c r="E2370" s="62" t="s">
        <v>45</v>
      </c>
      <c r="F2370" s="63" t="str">
        <f t="shared" si="532"/>
        <v>Olive oil, in PET bottle NL</v>
      </c>
      <c r="G2370" s="64">
        <v>2.8697194854749997</v>
      </c>
      <c r="H2370" s="10">
        <f t="shared" si="481"/>
        <v>2.869719485</v>
      </c>
      <c r="I2370" s="65">
        <v>1.311692E-6</v>
      </c>
      <c r="J2370" s="65">
        <v>0.7906137037829999</v>
      </c>
      <c r="K2370" s="65">
        <v>1.146707</v>
      </c>
      <c r="L2370" s="65">
        <v>0.93239747</v>
      </c>
      <c r="N2370" s="66">
        <v>6.215983133333333</v>
      </c>
      <c r="O2370" s="10">
        <f t="shared" si="533"/>
        <v>6.215983133</v>
      </c>
      <c r="Q2370" s="67">
        <v>0.0</v>
      </c>
      <c r="S2370" s="68">
        <v>0.25981652</v>
      </c>
      <c r="T2370" s="68">
        <v>0.2130366</v>
      </c>
      <c r="U2370" s="68">
        <v>0.046779922</v>
      </c>
      <c r="V2370" s="68">
        <v>0.0</v>
      </c>
      <c r="X2370" s="69">
        <v>4.7662611E-4</v>
      </c>
    </row>
    <row r="2371" ht="12.75" customHeight="1">
      <c r="A2371" s="1" t="s">
        <v>3090</v>
      </c>
      <c r="B2371" s="62" t="s">
        <v>2905</v>
      </c>
      <c r="C2371" s="60" t="str">
        <f t="shared" si="531"/>
        <v>M.020.21.107</v>
      </c>
      <c r="D2371" s="51" t="s">
        <v>3083</v>
      </c>
      <c r="E2371" s="62" t="s">
        <v>45</v>
      </c>
      <c r="F2371" s="63" t="str">
        <f t="shared" si="532"/>
        <v>Sunflower oil, in PET bottle NL</v>
      </c>
      <c r="G2371" s="64">
        <v>0.72795649781517</v>
      </c>
      <c r="H2371" s="10">
        <f t="shared" si="481"/>
        <v>0.7279564978</v>
      </c>
      <c r="I2371" s="65">
        <v>2.4377137E-7</v>
      </c>
      <c r="J2371" s="65">
        <v>0.2685528620438</v>
      </c>
      <c r="K2371" s="65">
        <v>0.051926072</v>
      </c>
      <c r="L2371" s="65">
        <v>0.40747732</v>
      </c>
      <c r="N2371" s="66">
        <v>2.7165154666666664</v>
      </c>
      <c r="O2371" s="10">
        <f t="shared" si="533"/>
        <v>2.716515467</v>
      </c>
      <c r="Q2371" s="67">
        <v>0.0</v>
      </c>
      <c r="S2371" s="68">
        <v>0.097913252</v>
      </c>
      <c r="T2371" s="68">
        <v>0.078950266</v>
      </c>
      <c r="U2371" s="68">
        <v>0.018962985</v>
      </c>
      <c r="V2371" s="68">
        <v>0.0</v>
      </c>
      <c r="X2371" s="69">
        <v>1.6895478E-4</v>
      </c>
    </row>
    <row r="2372" ht="12.75" customHeight="1">
      <c r="B2372" s="62"/>
      <c r="C2372" s="60"/>
      <c r="D2372" s="75" t="s">
        <v>3091</v>
      </c>
      <c r="E2372" s="62"/>
      <c r="G2372" s="10"/>
      <c r="H2372" s="10" t="str">
        <f t="shared" si="481"/>
        <v/>
      </c>
      <c r="I2372" s="10"/>
      <c r="J2372" s="10"/>
      <c r="K2372" s="10"/>
      <c r="L2372" s="10"/>
      <c r="N2372" s="10"/>
      <c r="O2372" s="10"/>
      <c r="Q2372" s="67"/>
    </row>
    <row r="2373" ht="12.75" customHeight="1">
      <c r="A2373" s="1" t="s">
        <v>3092</v>
      </c>
      <c r="B2373" s="62" t="s">
        <v>2905</v>
      </c>
      <c r="C2373" s="60" t="str">
        <f t="shared" ref="C2373:C2395" si="534">MID(A2373,1,12)</f>
        <v>M.020.22.101</v>
      </c>
      <c r="D2373" s="51" t="s">
        <v>3091</v>
      </c>
      <c r="E2373" s="62" t="s">
        <v>45</v>
      </c>
      <c r="F2373" s="63" t="str">
        <f t="shared" ref="F2373:F2395" si="535">MID(A2373, 21,85)</f>
        <v>Claresse (catfish) fillet, meat packaging per 1 kg NL</v>
      </c>
      <c r="G2373" s="64">
        <v>2.4798851059602</v>
      </c>
      <c r="H2373" s="10">
        <f t="shared" si="481"/>
        <v>2.479885106</v>
      </c>
      <c r="I2373" s="65">
        <v>2.6277782E-6</v>
      </c>
      <c r="J2373" s="65">
        <v>0.462555442182</v>
      </c>
      <c r="K2373" s="65">
        <v>0.065865036</v>
      </c>
      <c r="L2373" s="65">
        <v>1.951462</v>
      </c>
      <c r="N2373" s="66">
        <v>13.009746666666667</v>
      </c>
      <c r="O2373" s="10">
        <f t="shared" ref="O2373:O2395" si="536">N2373</f>
        <v>13.00974667</v>
      </c>
      <c r="Q2373" s="67">
        <v>0.0</v>
      </c>
      <c r="S2373" s="68">
        <v>0.29289045</v>
      </c>
      <c r="T2373" s="68">
        <v>0.27442428</v>
      </c>
      <c r="U2373" s="68">
        <v>0.018466168</v>
      </c>
      <c r="V2373" s="68">
        <v>0.0</v>
      </c>
      <c r="X2373" s="69">
        <v>6.3392596E-4</v>
      </c>
    </row>
    <row r="2374" ht="12.75" customHeight="1">
      <c r="A2374" s="1" t="s">
        <v>3093</v>
      </c>
      <c r="B2374" s="62" t="s">
        <v>2905</v>
      </c>
      <c r="C2374" s="60" t="str">
        <f t="shared" si="534"/>
        <v>M.020.22.102</v>
      </c>
      <c r="D2374" s="51" t="s">
        <v>3091</v>
      </c>
      <c r="E2374" s="62" t="s">
        <v>45</v>
      </c>
      <c r="F2374" s="63" t="str">
        <f t="shared" si="535"/>
        <v>Cod, in batter (kibbeling) meat packaging per 1 kg NL</v>
      </c>
      <c r="G2374" s="64">
        <v>0.61055445662172</v>
      </c>
      <c r="H2374" s="10">
        <f t="shared" si="481"/>
        <v>0.6105544566</v>
      </c>
      <c r="I2374" s="65">
        <v>9.7647272E-7</v>
      </c>
      <c r="J2374" s="65">
        <v>0.17945824114900003</v>
      </c>
      <c r="K2374" s="65">
        <v>0.015526859</v>
      </c>
      <c r="L2374" s="65">
        <v>0.41556838</v>
      </c>
      <c r="N2374" s="66">
        <v>2.770455866666667</v>
      </c>
      <c r="O2374" s="10">
        <f t="shared" si="536"/>
        <v>2.770455867</v>
      </c>
      <c r="Q2374" s="67">
        <v>0.0</v>
      </c>
      <c r="S2374" s="68">
        <v>0.078559841</v>
      </c>
      <c r="T2374" s="68">
        <v>0.073783708</v>
      </c>
      <c r="U2374" s="68">
        <v>0.004776133</v>
      </c>
      <c r="V2374" s="68">
        <v>0.0</v>
      </c>
      <c r="X2374" s="69">
        <v>1.7987778E-4</v>
      </c>
    </row>
    <row r="2375" ht="12.75" customHeight="1">
      <c r="A2375" s="1" t="s">
        <v>3094</v>
      </c>
      <c r="B2375" s="62" t="s">
        <v>2905</v>
      </c>
      <c r="C2375" s="60" t="str">
        <f t="shared" si="534"/>
        <v>M.020.22.103</v>
      </c>
      <c r="D2375" s="51" t="s">
        <v>3091</v>
      </c>
      <c r="E2375" s="62" t="s">
        <v>45</v>
      </c>
      <c r="F2375" s="63" t="str">
        <f t="shared" si="535"/>
        <v>Cod meat, packaging per 1 kg NL</v>
      </c>
      <c r="G2375" s="64">
        <v>0.8285117016826</v>
      </c>
      <c r="H2375" s="10">
        <f t="shared" si="481"/>
        <v>0.8285117017</v>
      </c>
      <c r="I2375" s="65">
        <v>1.1572456E-6</v>
      </c>
      <c r="J2375" s="65">
        <v>0.234823474437</v>
      </c>
      <c r="K2375" s="65">
        <v>0.01424222</v>
      </c>
      <c r="L2375" s="65">
        <v>0.57944485</v>
      </c>
      <c r="N2375" s="66">
        <v>3.8629656666666667</v>
      </c>
      <c r="O2375" s="10">
        <f t="shared" si="536"/>
        <v>3.862965667</v>
      </c>
      <c r="Q2375" s="67">
        <v>0.0</v>
      </c>
      <c r="S2375" s="68">
        <v>0.11163438</v>
      </c>
      <c r="T2375" s="68">
        <v>0.10685536</v>
      </c>
      <c r="U2375" s="68">
        <v>0.0047790178</v>
      </c>
      <c r="V2375" s="68">
        <v>0.0</v>
      </c>
      <c r="X2375" s="69">
        <v>2.3486255E-4</v>
      </c>
    </row>
    <row r="2376" ht="12.75" customHeight="1">
      <c r="A2376" s="1" t="s">
        <v>3095</v>
      </c>
      <c r="B2376" s="62" t="s">
        <v>2905</v>
      </c>
      <c r="C2376" s="60" t="str">
        <f t="shared" si="534"/>
        <v>M.020.22.104</v>
      </c>
      <c r="D2376" s="51" t="s">
        <v>3091</v>
      </c>
      <c r="E2376" s="62" t="s">
        <v>45</v>
      </c>
      <c r="F2376" s="63" t="str">
        <f t="shared" si="535"/>
        <v>Fish fingers, frozen in cardboard box NL</v>
      </c>
      <c r="G2376" s="64">
        <v>0.7858497180788401</v>
      </c>
      <c r="H2376" s="10">
        <f t="shared" si="481"/>
        <v>0.7858497181</v>
      </c>
      <c r="I2376" s="65">
        <v>9.2615784E-7</v>
      </c>
      <c r="J2376" s="65">
        <v>0.21561944392100002</v>
      </c>
      <c r="K2376" s="65">
        <v>0.013524538</v>
      </c>
      <c r="L2376" s="65">
        <v>0.55670481</v>
      </c>
      <c r="N2376" s="66">
        <v>3.7113654000000005</v>
      </c>
      <c r="O2376" s="10">
        <f t="shared" si="536"/>
        <v>3.7113654</v>
      </c>
      <c r="Q2376" s="67">
        <v>0.0</v>
      </c>
      <c r="S2376" s="68">
        <v>0.10602659</v>
      </c>
      <c r="T2376" s="68">
        <v>0.10035627</v>
      </c>
      <c r="U2376" s="68">
        <v>0.0056703279</v>
      </c>
      <c r="V2376" s="68">
        <v>0.0</v>
      </c>
      <c r="X2376" s="69">
        <v>2.1335623E-4</v>
      </c>
    </row>
    <row r="2377" ht="12.75" customHeight="1">
      <c r="A2377" s="1" t="s">
        <v>3096</v>
      </c>
      <c r="B2377" s="62" t="s">
        <v>2905</v>
      </c>
      <c r="C2377" s="60" t="str">
        <f t="shared" si="534"/>
        <v>M.020.22.105</v>
      </c>
      <c r="D2377" s="51" t="s">
        <v>3091</v>
      </c>
      <c r="E2377" s="62" t="s">
        <v>45</v>
      </c>
      <c r="F2377" s="63" t="str">
        <f t="shared" si="535"/>
        <v>Herring, fillet in tomato sauce in food can NL</v>
      </c>
      <c r="G2377" s="64">
        <v>0.31699429943391</v>
      </c>
      <c r="H2377" s="10">
        <f t="shared" si="481"/>
        <v>0.3169942994</v>
      </c>
      <c r="I2377" s="65">
        <v>8.7415991E-7</v>
      </c>
      <c r="J2377" s="65">
        <v>0.112001110274</v>
      </c>
      <c r="K2377" s="65">
        <v>0.029145895</v>
      </c>
      <c r="L2377" s="65">
        <v>0.17584642</v>
      </c>
      <c r="N2377" s="66">
        <v>1.1723094666666667</v>
      </c>
      <c r="O2377" s="10">
        <f t="shared" si="536"/>
        <v>1.172309467</v>
      </c>
      <c r="Q2377" s="67">
        <v>0.0</v>
      </c>
      <c r="S2377" s="68">
        <v>0.035626011</v>
      </c>
      <c r="T2377" s="68">
        <v>0.03359909</v>
      </c>
      <c r="U2377" s="68">
        <v>0.0020269212</v>
      </c>
      <c r="V2377" s="68">
        <v>0.0</v>
      </c>
      <c r="X2377" s="69">
        <v>1.1077167E-4</v>
      </c>
    </row>
    <row r="2378" ht="12.75" customHeight="1">
      <c r="A2378" s="1" t="s">
        <v>3097</v>
      </c>
      <c r="B2378" s="62" t="s">
        <v>2905</v>
      </c>
      <c r="C2378" s="60" t="str">
        <f t="shared" si="534"/>
        <v>M.020.22.106</v>
      </c>
      <c r="D2378" s="51" t="s">
        <v>3091</v>
      </c>
      <c r="E2378" s="62" t="s">
        <v>45</v>
      </c>
      <c r="F2378" s="63" t="str">
        <f t="shared" si="535"/>
        <v>Herring, pickled (sweet)sour in glass jarper 720 ml NL</v>
      </c>
      <c r="G2378" s="64">
        <v>0.2849915708352</v>
      </c>
      <c r="H2378" s="10">
        <f t="shared" si="481"/>
        <v>0.2849915708</v>
      </c>
      <c r="I2378" s="65">
        <v>1.2500392E-6</v>
      </c>
      <c r="J2378" s="65">
        <v>0.131835720796</v>
      </c>
      <c r="K2378" s="65">
        <v>0.01346382</v>
      </c>
      <c r="L2378" s="65">
        <v>0.13969078</v>
      </c>
      <c r="N2378" s="66">
        <v>0.9312718666666666</v>
      </c>
      <c r="O2378" s="10">
        <f t="shared" si="536"/>
        <v>0.9312718667</v>
      </c>
      <c r="Q2378" s="67">
        <v>0.0</v>
      </c>
      <c r="S2378" s="68">
        <v>0.030418574</v>
      </c>
      <c r="T2378" s="68">
        <v>0.028444923</v>
      </c>
      <c r="U2378" s="68">
        <v>0.0019736505</v>
      </c>
      <c r="V2378" s="68">
        <v>0.0</v>
      </c>
      <c r="X2378" s="69">
        <v>1.2974525E-4</v>
      </c>
    </row>
    <row r="2379" ht="12.75" customHeight="1">
      <c r="A2379" s="1" t="s">
        <v>3098</v>
      </c>
      <c r="B2379" s="62" t="s">
        <v>2905</v>
      </c>
      <c r="C2379" s="60" t="str">
        <f t="shared" si="534"/>
        <v>M.020.22.107</v>
      </c>
      <c r="D2379" s="51" t="s">
        <v>3091</v>
      </c>
      <c r="E2379" s="62" t="s">
        <v>45</v>
      </c>
      <c r="F2379" s="63" t="str">
        <f t="shared" si="535"/>
        <v>Herring, salted meat packaging per 1 kg NL</v>
      </c>
      <c r="G2379" s="64">
        <v>0.1985888904045</v>
      </c>
      <c r="H2379" s="10">
        <f t="shared" si="481"/>
        <v>0.1985888904</v>
      </c>
      <c r="I2379" s="65">
        <v>1.2238885E-6</v>
      </c>
      <c r="J2379" s="65">
        <v>0.104921227516</v>
      </c>
      <c r="K2379" s="65">
        <v>0.011543305</v>
      </c>
      <c r="L2379" s="65">
        <v>0.082123134</v>
      </c>
      <c r="N2379" s="66">
        <v>0.54748756</v>
      </c>
      <c r="O2379" s="10">
        <f t="shared" si="536"/>
        <v>0.54748756</v>
      </c>
      <c r="Q2379" s="67">
        <v>0.0</v>
      </c>
      <c r="S2379" s="68">
        <v>0.016457188</v>
      </c>
      <c r="T2379" s="68">
        <v>0.014967702</v>
      </c>
      <c r="U2379" s="68">
        <v>0.001489486</v>
      </c>
      <c r="V2379" s="68">
        <v>0.0</v>
      </c>
      <c r="X2379" s="69">
        <v>1.1020784E-4</v>
      </c>
    </row>
    <row r="2380" ht="12.75" customHeight="1">
      <c r="A2380" s="1" t="s">
        <v>3099</v>
      </c>
      <c r="B2380" s="62" t="s">
        <v>2905</v>
      </c>
      <c r="C2380" s="60" t="str">
        <f t="shared" si="534"/>
        <v>M.020.22.108</v>
      </c>
      <c r="D2380" s="51" t="s">
        <v>3091</v>
      </c>
      <c r="E2380" s="62" t="s">
        <v>45</v>
      </c>
      <c r="F2380" s="63" t="str">
        <f t="shared" si="535"/>
        <v>Lemon sole, meat packaging per 1 kg NL</v>
      </c>
      <c r="G2380" s="64">
        <v>0.8933989405487</v>
      </c>
      <c r="H2380" s="10">
        <f t="shared" si="481"/>
        <v>0.8933989405</v>
      </c>
      <c r="I2380" s="65">
        <v>1.1363677E-6</v>
      </c>
      <c r="J2380" s="65">
        <v>0.247888690181</v>
      </c>
      <c r="K2380" s="65">
        <v>0.014123424</v>
      </c>
      <c r="L2380" s="65">
        <v>0.63138569</v>
      </c>
      <c r="N2380" s="66">
        <v>4.209237933333333</v>
      </c>
      <c r="O2380" s="10">
        <f t="shared" si="536"/>
        <v>4.209237933</v>
      </c>
      <c r="Q2380" s="67">
        <v>0.0</v>
      </c>
      <c r="S2380" s="68">
        <v>0.12170082</v>
      </c>
      <c r="T2380" s="68">
        <v>0.11658569</v>
      </c>
      <c r="U2380" s="68">
        <v>0.0051151292</v>
      </c>
      <c r="V2380" s="68">
        <v>0.0</v>
      </c>
      <c r="X2380" s="69">
        <v>2.4699269E-4</v>
      </c>
    </row>
    <row r="2381" ht="12.75" customHeight="1">
      <c r="A2381" s="1" t="s">
        <v>3100</v>
      </c>
      <c r="B2381" s="62" t="s">
        <v>2905</v>
      </c>
      <c r="C2381" s="60" t="str">
        <f t="shared" si="534"/>
        <v>M.020.22.109</v>
      </c>
      <c r="D2381" s="51" t="s">
        <v>3091</v>
      </c>
      <c r="E2381" s="62" t="s">
        <v>45</v>
      </c>
      <c r="F2381" s="63" t="str">
        <f t="shared" si="535"/>
        <v>Mackerel fillet, smoked meat packaging per 1 kg NL</v>
      </c>
      <c r="G2381" s="64">
        <v>0.12061452073217599</v>
      </c>
      <c r="H2381" s="10">
        <f t="shared" si="481"/>
        <v>0.1206145207</v>
      </c>
      <c r="I2381" s="65">
        <v>3.9253386E-8</v>
      </c>
      <c r="J2381" s="65">
        <v>0.02606727747879</v>
      </c>
      <c r="K2381" s="65">
        <v>0.00171981</v>
      </c>
      <c r="L2381" s="65">
        <v>0.092827394</v>
      </c>
      <c r="N2381" s="66">
        <v>0.6188492933333333</v>
      </c>
      <c r="O2381" s="10">
        <f t="shared" si="536"/>
        <v>0.6188492933</v>
      </c>
      <c r="Q2381" s="67">
        <v>0.0</v>
      </c>
      <c r="S2381" s="68">
        <v>0.01726458</v>
      </c>
      <c r="T2381" s="68">
        <v>0.016610933</v>
      </c>
      <c r="U2381" s="68">
        <v>6.5364742E-4</v>
      </c>
      <c r="V2381" s="68">
        <v>0.0</v>
      </c>
      <c r="X2381" s="69">
        <v>2.6561823E-5</v>
      </c>
    </row>
    <row r="2382" ht="12.75" customHeight="1">
      <c r="A2382" s="1" t="s">
        <v>3101</v>
      </c>
      <c r="B2382" s="62" t="s">
        <v>2905</v>
      </c>
      <c r="C2382" s="60" t="str">
        <f t="shared" si="534"/>
        <v>M.020.22.110</v>
      </c>
      <c r="D2382" s="51" t="s">
        <v>3091</v>
      </c>
      <c r="E2382" s="62" t="s">
        <v>45</v>
      </c>
      <c r="F2382" s="63" t="str">
        <f t="shared" si="535"/>
        <v>Pangasius, meat packaging per 1 kg NL</v>
      </c>
      <c r="G2382" s="64">
        <v>1.7421713479161</v>
      </c>
      <c r="H2382" s="10">
        <f t="shared" si="481"/>
        <v>1.742171348</v>
      </c>
      <c r="I2382" s="65">
        <v>1.9135451E-6</v>
      </c>
      <c r="J2382" s="65">
        <v>0.38401834337100005</v>
      </c>
      <c r="K2382" s="65">
        <v>0.080206191</v>
      </c>
      <c r="L2382" s="65">
        <v>1.2779449</v>
      </c>
      <c r="N2382" s="66">
        <v>8.519632666666668</v>
      </c>
      <c r="O2382" s="10">
        <f t="shared" si="536"/>
        <v>8.519632667</v>
      </c>
      <c r="Q2382" s="67">
        <v>0.0</v>
      </c>
      <c r="S2382" s="68">
        <v>0.19710527</v>
      </c>
      <c r="T2382" s="68">
        <v>0.17445868</v>
      </c>
      <c r="U2382" s="68">
        <v>0.02264659</v>
      </c>
      <c r="V2382" s="68">
        <v>0.0</v>
      </c>
      <c r="X2382" s="69">
        <v>4.5186424E-4</v>
      </c>
    </row>
    <row r="2383" ht="12.75" customHeight="1">
      <c r="A2383" s="1" t="s">
        <v>3102</v>
      </c>
      <c r="B2383" s="62" t="s">
        <v>2905</v>
      </c>
      <c r="C2383" s="60" t="str">
        <f t="shared" si="534"/>
        <v>M.020.22.111</v>
      </c>
      <c r="D2383" s="51" t="s">
        <v>3091</v>
      </c>
      <c r="E2383" s="62" t="s">
        <v>45</v>
      </c>
      <c r="F2383" s="63" t="str">
        <f t="shared" si="535"/>
        <v>Plaice fillet, meat packaging per 1 kg NL</v>
      </c>
      <c r="G2383" s="64">
        <v>0.8933989405487</v>
      </c>
      <c r="H2383" s="10">
        <f t="shared" si="481"/>
        <v>0.8933989405</v>
      </c>
      <c r="I2383" s="65">
        <v>1.1363677E-6</v>
      </c>
      <c r="J2383" s="65">
        <v>0.247888690181</v>
      </c>
      <c r="K2383" s="65">
        <v>0.014123424</v>
      </c>
      <c r="L2383" s="65">
        <v>0.63138569</v>
      </c>
      <c r="N2383" s="66">
        <v>4.209237933333333</v>
      </c>
      <c r="O2383" s="10">
        <f t="shared" si="536"/>
        <v>4.209237933</v>
      </c>
      <c r="Q2383" s="67">
        <v>0.0</v>
      </c>
      <c r="S2383" s="68">
        <v>0.12170082</v>
      </c>
      <c r="T2383" s="68">
        <v>0.11658569</v>
      </c>
      <c r="U2383" s="68">
        <v>0.0051151292</v>
      </c>
      <c r="V2383" s="68">
        <v>0.0</v>
      </c>
      <c r="X2383" s="69">
        <v>2.4699269E-4</v>
      </c>
    </row>
    <row r="2384" ht="12.75" customHeight="1">
      <c r="A2384" s="1" t="s">
        <v>3103</v>
      </c>
      <c r="B2384" s="62" t="s">
        <v>2905</v>
      </c>
      <c r="C2384" s="60" t="str">
        <f t="shared" si="534"/>
        <v>M.020.22.112</v>
      </c>
      <c r="D2384" s="51" t="s">
        <v>3091</v>
      </c>
      <c r="E2384" s="62" t="s">
        <v>45</v>
      </c>
      <c r="F2384" s="63" t="str">
        <f t="shared" si="535"/>
        <v>Pollack, fillet meat packaging per 1 kg NL</v>
      </c>
      <c r="G2384" s="64">
        <v>0.28193025825859996</v>
      </c>
      <c r="H2384" s="10">
        <f t="shared" si="481"/>
        <v>0.2819302583</v>
      </c>
      <c r="I2384" s="65">
        <v>1.1406356E-6</v>
      </c>
      <c r="J2384" s="65">
        <v>0.11692451162300001</v>
      </c>
      <c r="K2384" s="65">
        <v>0.016006506</v>
      </c>
      <c r="L2384" s="65">
        <v>0.1489981</v>
      </c>
      <c r="N2384" s="66">
        <v>0.9933206666666666</v>
      </c>
      <c r="O2384" s="10">
        <f t="shared" si="536"/>
        <v>0.9933206667</v>
      </c>
      <c r="Q2384" s="67">
        <v>0.0</v>
      </c>
      <c r="S2384" s="68">
        <v>0.029079251</v>
      </c>
      <c r="T2384" s="68">
        <v>0.027210175</v>
      </c>
      <c r="U2384" s="68">
        <v>0.001869076</v>
      </c>
      <c r="V2384" s="68">
        <v>0.0</v>
      </c>
      <c r="X2384" s="69">
        <v>1.2145511E-4</v>
      </c>
    </row>
    <row r="2385" ht="12.75" customHeight="1">
      <c r="A2385" s="1" t="s">
        <v>3104</v>
      </c>
      <c r="B2385" s="62" t="s">
        <v>2905</v>
      </c>
      <c r="C2385" s="60" t="str">
        <f t="shared" si="534"/>
        <v>M.020.22.113</v>
      </c>
      <c r="D2385" s="51" t="s">
        <v>3091</v>
      </c>
      <c r="E2385" s="62" t="s">
        <v>45</v>
      </c>
      <c r="F2385" s="63" t="str">
        <f t="shared" si="535"/>
        <v>Salmon, (aquaculture) meat packaging per 1 kg NL</v>
      </c>
      <c r="G2385" s="64">
        <v>0.96163678650304</v>
      </c>
      <c r="H2385" s="10">
        <f t="shared" si="481"/>
        <v>0.9616367865</v>
      </c>
      <c r="I2385" s="65">
        <v>4.0315284E-7</v>
      </c>
      <c r="J2385" s="65">
        <v>0.2120534793502</v>
      </c>
      <c r="K2385" s="65">
        <v>0.031799564</v>
      </c>
      <c r="L2385" s="65">
        <v>0.71778334</v>
      </c>
      <c r="N2385" s="66">
        <v>4.785222266666667</v>
      </c>
      <c r="O2385" s="10">
        <f t="shared" si="536"/>
        <v>4.785222267</v>
      </c>
      <c r="Q2385" s="67">
        <v>0.0</v>
      </c>
      <c r="S2385" s="68">
        <v>0.12436355</v>
      </c>
      <c r="T2385" s="68">
        <v>0.11264857</v>
      </c>
      <c r="U2385" s="68">
        <v>0.011714982</v>
      </c>
      <c r="V2385" s="68">
        <v>0.0</v>
      </c>
      <c r="X2385" s="69">
        <v>2.1626417E-4</v>
      </c>
    </row>
    <row r="2386" ht="12.75" customHeight="1">
      <c r="A2386" s="1" t="s">
        <v>3105</v>
      </c>
      <c r="B2386" s="62" t="s">
        <v>2905</v>
      </c>
      <c r="C2386" s="60" t="str">
        <f t="shared" si="534"/>
        <v>M.020.22.114</v>
      </c>
      <c r="D2386" s="51" t="s">
        <v>3091</v>
      </c>
      <c r="E2386" s="62" t="s">
        <v>45</v>
      </c>
      <c r="F2386" s="63" t="str">
        <f t="shared" si="535"/>
        <v>Salmon, (wild caught) meat packaging per 1 kg NL</v>
      </c>
      <c r="G2386" s="64">
        <v>0.5184571669822</v>
      </c>
      <c r="H2386" s="10">
        <f t="shared" si="481"/>
        <v>0.518457167</v>
      </c>
      <c r="I2386" s="65">
        <v>1.2827162E-6</v>
      </c>
      <c r="J2386" s="65">
        <v>0.175707570266</v>
      </c>
      <c r="K2386" s="65">
        <v>0.009154034</v>
      </c>
      <c r="L2386" s="65">
        <v>0.33359428</v>
      </c>
      <c r="N2386" s="66">
        <v>2.223961866666667</v>
      </c>
      <c r="O2386" s="10">
        <f t="shared" si="536"/>
        <v>2.223961867</v>
      </c>
      <c r="Q2386" s="67">
        <v>0.0</v>
      </c>
      <c r="S2386" s="68">
        <v>0.064289324</v>
      </c>
      <c r="T2386" s="68">
        <v>0.061075926</v>
      </c>
      <c r="U2386" s="68">
        <v>0.0032133987</v>
      </c>
      <c r="V2386" s="68">
        <v>0.0</v>
      </c>
      <c r="X2386" s="69">
        <v>1.7963564E-4</v>
      </c>
    </row>
    <row r="2387" ht="12.75" customHeight="1">
      <c r="A2387" s="1" t="s">
        <v>3106</v>
      </c>
      <c r="B2387" s="62" t="s">
        <v>2905</v>
      </c>
      <c r="C2387" s="60" t="str">
        <f t="shared" si="534"/>
        <v>M.020.22.115</v>
      </c>
      <c r="D2387" s="51" t="s">
        <v>3091</v>
      </c>
      <c r="E2387" s="62" t="s">
        <v>45</v>
      </c>
      <c r="F2387" s="63" t="str">
        <f t="shared" si="535"/>
        <v>Salmon, fillet (aquaculture) meat packaging per 1 kg NL</v>
      </c>
      <c r="G2387" s="64">
        <v>0.96163678650304</v>
      </c>
      <c r="H2387" s="10">
        <f t="shared" si="481"/>
        <v>0.9616367865</v>
      </c>
      <c r="I2387" s="65">
        <v>4.0315284E-7</v>
      </c>
      <c r="J2387" s="65">
        <v>0.2120534793502</v>
      </c>
      <c r="K2387" s="65">
        <v>0.031799564</v>
      </c>
      <c r="L2387" s="65">
        <v>0.71778334</v>
      </c>
      <c r="N2387" s="66">
        <v>4.785222266666667</v>
      </c>
      <c r="O2387" s="10">
        <f t="shared" si="536"/>
        <v>4.785222267</v>
      </c>
      <c r="Q2387" s="67">
        <v>0.0</v>
      </c>
      <c r="S2387" s="68">
        <v>0.12436355</v>
      </c>
      <c r="T2387" s="68">
        <v>0.11264857</v>
      </c>
      <c r="U2387" s="68">
        <v>0.011714982</v>
      </c>
      <c r="V2387" s="68">
        <v>0.0</v>
      </c>
      <c r="X2387" s="69">
        <v>2.1626417E-4</v>
      </c>
    </row>
    <row r="2388" ht="12.75" customHeight="1">
      <c r="A2388" s="1" t="s">
        <v>3107</v>
      </c>
      <c r="B2388" s="62" t="s">
        <v>2905</v>
      </c>
      <c r="C2388" s="60" t="str">
        <f t="shared" si="534"/>
        <v>M.020.22.116</v>
      </c>
      <c r="D2388" s="51" t="s">
        <v>3091</v>
      </c>
      <c r="E2388" s="62" t="s">
        <v>45</v>
      </c>
      <c r="F2388" s="63" t="str">
        <f t="shared" si="535"/>
        <v>Salmon, fillet (wild caught) meat packaging per 1 kg NL</v>
      </c>
      <c r="G2388" s="64">
        <v>0.5184571669822</v>
      </c>
      <c r="H2388" s="10">
        <f t="shared" si="481"/>
        <v>0.518457167</v>
      </c>
      <c r="I2388" s="65">
        <v>1.2827162E-6</v>
      </c>
      <c r="J2388" s="65">
        <v>0.175707570266</v>
      </c>
      <c r="K2388" s="65">
        <v>0.009154034</v>
      </c>
      <c r="L2388" s="65">
        <v>0.33359428</v>
      </c>
      <c r="N2388" s="66">
        <v>2.223961866666667</v>
      </c>
      <c r="O2388" s="10">
        <f t="shared" si="536"/>
        <v>2.223961867</v>
      </c>
      <c r="Q2388" s="67">
        <v>0.0</v>
      </c>
      <c r="S2388" s="68">
        <v>0.064289324</v>
      </c>
      <c r="T2388" s="68">
        <v>0.061075926</v>
      </c>
      <c r="U2388" s="68">
        <v>0.0032133987</v>
      </c>
      <c r="V2388" s="68">
        <v>0.0</v>
      </c>
      <c r="X2388" s="69">
        <v>1.7963564E-4</v>
      </c>
    </row>
    <row r="2389" ht="12.75" customHeight="1">
      <c r="A2389" s="1" t="s">
        <v>3108</v>
      </c>
      <c r="B2389" s="62" t="s">
        <v>2905</v>
      </c>
      <c r="C2389" s="60" t="str">
        <f t="shared" si="534"/>
        <v>M.020.22.117</v>
      </c>
      <c r="D2389" s="51" t="s">
        <v>3091</v>
      </c>
      <c r="E2389" s="62" t="s">
        <v>45</v>
      </c>
      <c r="F2389" s="63" t="str">
        <f t="shared" si="535"/>
        <v>Salmon, smoked (aquaculture) meat packaging per 1 kg NL</v>
      </c>
      <c r="G2389" s="64">
        <v>1.08920109268073</v>
      </c>
      <c r="H2389" s="10">
        <f t="shared" si="481"/>
        <v>1.089201093</v>
      </c>
      <c r="I2389" s="65">
        <v>4.5470873E-7</v>
      </c>
      <c r="J2389" s="65">
        <v>0.24685131697200002</v>
      </c>
      <c r="K2389" s="65">
        <v>0.035420341</v>
      </c>
      <c r="L2389" s="65">
        <v>0.80692898</v>
      </c>
      <c r="N2389" s="66">
        <v>5.379526533333333</v>
      </c>
      <c r="O2389" s="10">
        <f t="shared" si="536"/>
        <v>5.379526533</v>
      </c>
      <c r="Q2389" s="67">
        <v>0.0</v>
      </c>
      <c r="S2389" s="68">
        <v>0.14081223</v>
      </c>
      <c r="T2389" s="68">
        <v>0.12659466</v>
      </c>
      <c r="U2389" s="68">
        <v>0.014217564</v>
      </c>
      <c r="V2389" s="68">
        <v>0.0</v>
      </c>
      <c r="X2389" s="69">
        <v>2.4593202E-4</v>
      </c>
    </row>
    <row r="2390" ht="12.75" customHeight="1">
      <c r="A2390" s="1" t="s">
        <v>3109</v>
      </c>
      <c r="B2390" s="62" t="s">
        <v>2905</v>
      </c>
      <c r="C2390" s="60" t="str">
        <f t="shared" si="534"/>
        <v>M.020.22.118</v>
      </c>
      <c r="D2390" s="51" t="s">
        <v>3091</v>
      </c>
      <c r="E2390" s="62" t="s">
        <v>45</v>
      </c>
      <c r="F2390" s="63" t="str">
        <f t="shared" si="535"/>
        <v>Salmon, smoked (wild caught) meat packaging per 1 kg NL</v>
      </c>
      <c r="G2390" s="64">
        <v>0.5967792757003</v>
      </c>
      <c r="H2390" s="10">
        <f t="shared" si="481"/>
        <v>0.5967792757</v>
      </c>
      <c r="I2390" s="65">
        <v>1.4320013E-6</v>
      </c>
      <c r="J2390" s="65">
        <v>0.206466952699</v>
      </c>
      <c r="K2390" s="65">
        <v>0.010258641</v>
      </c>
      <c r="L2390" s="65">
        <v>0.38005225</v>
      </c>
      <c r="N2390" s="66">
        <v>2.533681666666667</v>
      </c>
      <c r="O2390" s="10">
        <f t="shared" si="536"/>
        <v>2.533681667</v>
      </c>
      <c r="Q2390" s="67">
        <v>0.0</v>
      </c>
      <c r="S2390" s="68">
        <v>0.074063078</v>
      </c>
      <c r="T2390" s="68">
        <v>0.069291718</v>
      </c>
      <c r="U2390" s="68">
        <v>0.0047713604</v>
      </c>
      <c r="V2390" s="68">
        <v>0.0</v>
      </c>
      <c r="X2390" s="69">
        <v>2.0523364E-4</v>
      </c>
    </row>
    <row r="2391" ht="12.75" customHeight="1">
      <c r="A2391" s="1" t="s">
        <v>3110</v>
      </c>
      <c r="B2391" s="62" t="s">
        <v>2905</v>
      </c>
      <c r="C2391" s="60" t="str">
        <f t="shared" si="534"/>
        <v>M.020.22.119</v>
      </c>
      <c r="D2391" s="51" t="s">
        <v>3091</v>
      </c>
      <c r="E2391" s="62" t="s">
        <v>45</v>
      </c>
      <c r="F2391" s="63" t="str">
        <f t="shared" si="535"/>
        <v>Shrimps, Dutch peeled meat packaging per 1 kg NL</v>
      </c>
      <c r="G2391" s="64">
        <v>1.452289293393</v>
      </c>
      <c r="H2391" s="10">
        <f t="shared" si="481"/>
        <v>1.452289293</v>
      </c>
      <c r="I2391" s="65">
        <v>4.009495E-6</v>
      </c>
      <c r="J2391" s="65">
        <v>0.501128221898</v>
      </c>
      <c r="K2391" s="65">
        <v>0.068725332</v>
      </c>
      <c r="L2391" s="65">
        <v>0.88243173</v>
      </c>
      <c r="N2391" s="66">
        <v>5.8828782</v>
      </c>
      <c r="O2391" s="10">
        <f t="shared" si="536"/>
        <v>5.8828782</v>
      </c>
      <c r="Q2391" s="67">
        <v>0.0</v>
      </c>
      <c r="S2391" s="68">
        <v>0.16017379</v>
      </c>
      <c r="T2391" s="68">
        <v>0.14578008</v>
      </c>
      <c r="U2391" s="68">
        <v>0.014393717</v>
      </c>
      <c r="V2391" s="68">
        <v>0.0</v>
      </c>
      <c r="X2391" s="69">
        <v>5.206186E-4</v>
      </c>
    </row>
    <row r="2392" ht="12.75" customHeight="1">
      <c r="A2392" s="1" t="s">
        <v>3111</v>
      </c>
      <c r="B2392" s="62" t="s">
        <v>2905</v>
      </c>
      <c r="C2392" s="60" t="str">
        <f t="shared" si="534"/>
        <v>M.020.22.120</v>
      </c>
      <c r="D2392" s="51" t="s">
        <v>3091</v>
      </c>
      <c r="E2392" s="62" t="s">
        <v>45</v>
      </c>
      <c r="F2392" s="63" t="str">
        <f t="shared" si="535"/>
        <v>Tilapia, meat packaging per 1 kg NL</v>
      </c>
      <c r="G2392" s="64">
        <v>3.2183217509985003</v>
      </c>
      <c r="H2392" s="10">
        <f t="shared" si="481"/>
        <v>3.218321751</v>
      </c>
      <c r="I2392" s="65">
        <v>2.9005105E-6</v>
      </c>
      <c r="J2392" s="65">
        <v>0.611095118488</v>
      </c>
      <c r="K2392" s="65">
        <v>0.089269532</v>
      </c>
      <c r="L2392" s="65">
        <v>2.5179542</v>
      </c>
      <c r="N2392" s="66">
        <v>16.786361333333335</v>
      </c>
      <c r="O2392" s="10">
        <f t="shared" si="536"/>
        <v>16.78636133</v>
      </c>
      <c r="Q2392" s="67">
        <v>0.0</v>
      </c>
      <c r="S2392" s="68">
        <v>0.38406709</v>
      </c>
      <c r="T2392" s="68">
        <v>0.35516791</v>
      </c>
      <c r="U2392" s="68">
        <v>0.028899178</v>
      </c>
      <c r="V2392" s="68">
        <v>0.0</v>
      </c>
      <c r="X2392" s="69">
        <v>7.9749603E-4</v>
      </c>
    </row>
    <row r="2393" ht="12.75" customHeight="1">
      <c r="A2393" s="1" t="s">
        <v>3112</v>
      </c>
      <c r="B2393" s="62" t="s">
        <v>2905</v>
      </c>
      <c r="C2393" s="60" t="str">
        <f t="shared" si="534"/>
        <v>M.020.22.121</v>
      </c>
      <c r="D2393" s="51" t="s">
        <v>3091</v>
      </c>
      <c r="E2393" s="62" t="s">
        <v>45</v>
      </c>
      <c r="F2393" s="63" t="str">
        <f t="shared" si="535"/>
        <v>Trout meat packaging, per 1 kg NL</v>
      </c>
      <c r="G2393" s="64">
        <v>1.7507283319047</v>
      </c>
      <c r="H2393" s="10">
        <f t="shared" si="481"/>
        <v>1.750728332</v>
      </c>
      <c r="I2393" s="65">
        <v>1.6159417E-6</v>
      </c>
      <c r="J2393" s="65">
        <v>0.316436005963</v>
      </c>
      <c r="K2393" s="65">
        <v>0.04116821</v>
      </c>
      <c r="L2393" s="65">
        <v>1.3931225</v>
      </c>
      <c r="N2393" s="66">
        <v>9.287483333333334</v>
      </c>
      <c r="O2393" s="10">
        <f t="shared" si="536"/>
        <v>9.287483333</v>
      </c>
      <c r="Q2393" s="67">
        <v>0.0</v>
      </c>
      <c r="S2393" s="68">
        <v>0.20838461</v>
      </c>
      <c r="T2393" s="68">
        <v>0.19428935</v>
      </c>
      <c r="U2393" s="68">
        <v>0.014095257</v>
      </c>
      <c r="V2393" s="68">
        <v>0.0</v>
      </c>
      <c r="X2393" s="69">
        <v>4.3516214E-4</v>
      </c>
    </row>
    <row r="2394" ht="12.75" customHeight="1">
      <c r="A2394" s="1" t="s">
        <v>3113</v>
      </c>
      <c r="B2394" s="62" t="s">
        <v>2905</v>
      </c>
      <c r="C2394" s="60" t="str">
        <f t="shared" si="534"/>
        <v>M.020.22.122</v>
      </c>
      <c r="D2394" s="51" t="s">
        <v>3091</v>
      </c>
      <c r="E2394" s="62" t="s">
        <v>45</v>
      </c>
      <c r="F2394" s="63" t="str">
        <f t="shared" si="535"/>
        <v>Tuna in oil, in food can NL</v>
      </c>
      <c r="G2394" s="64">
        <v>2.8061249618401</v>
      </c>
      <c r="H2394" s="10">
        <f t="shared" si="481"/>
        <v>2.806124962</v>
      </c>
      <c r="I2394" s="65">
        <v>2.0482441E-6</v>
      </c>
      <c r="J2394" s="65">
        <v>0.711127440596</v>
      </c>
      <c r="K2394" s="65">
        <v>0.036408073</v>
      </c>
      <c r="L2394" s="65">
        <v>2.0585874</v>
      </c>
      <c r="N2394" s="66">
        <v>13.723916000000001</v>
      </c>
      <c r="O2394" s="10">
        <f t="shared" si="536"/>
        <v>13.723916</v>
      </c>
      <c r="Q2394" s="67">
        <v>0.0</v>
      </c>
      <c r="S2394" s="68">
        <v>0.40041984</v>
      </c>
      <c r="T2394" s="68">
        <v>0.38493875</v>
      </c>
      <c r="U2394" s="68">
        <v>0.015481092</v>
      </c>
      <c r="V2394" s="68">
        <v>0.0</v>
      </c>
      <c r="X2394" s="69">
        <v>6.8915523E-4</v>
      </c>
    </row>
    <row r="2395" ht="12.75" customHeight="1">
      <c r="A2395" s="1" t="s">
        <v>3114</v>
      </c>
      <c r="B2395" s="62" t="s">
        <v>2905</v>
      </c>
      <c r="C2395" s="60" t="str">
        <f t="shared" si="534"/>
        <v>M.020.22.123</v>
      </c>
      <c r="D2395" s="51" t="s">
        <v>3091</v>
      </c>
      <c r="E2395" s="62" t="s">
        <v>45</v>
      </c>
      <c r="F2395" s="63" t="str">
        <f t="shared" si="535"/>
        <v>Gourmet fish Obsolete</v>
      </c>
      <c r="G2395" s="64">
        <v>0.0</v>
      </c>
      <c r="H2395" s="10">
        <f t="shared" si="481"/>
        <v>0</v>
      </c>
      <c r="I2395" s="65">
        <v>0.0</v>
      </c>
      <c r="J2395" s="65">
        <v>0.0</v>
      </c>
      <c r="K2395" s="65">
        <v>0.0</v>
      </c>
      <c r="L2395" s="65">
        <v>0.0</v>
      </c>
      <c r="N2395" s="66">
        <v>0.0</v>
      </c>
      <c r="O2395" s="10">
        <f t="shared" si="536"/>
        <v>0</v>
      </c>
      <c r="Q2395" s="67">
        <v>0.0</v>
      </c>
      <c r="S2395" s="68">
        <v>0.0</v>
      </c>
      <c r="T2395" s="68">
        <v>0.0</v>
      </c>
      <c r="U2395" s="68">
        <v>0.0</v>
      </c>
      <c r="V2395" s="68">
        <v>0.0</v>
      </c>
      <c r="X2395" s="69">
        <v>0.0</v>
      </c>
    </row>
    <row r="2396" ht="12.75" customHeight="1">
      <c r="B2396" s="62"/>
      <c r="C2396" s="60"/>
      <c r="D2396" s="75" t="s">
        <v>3115</v>
      </c>
      <c r="E2396" s="62"/>
      <c r="G2396" s="10"/>
      <c r="H2396" s="10" t="str">
        <f t="shared" si="481"/>
        <v/>
      </c>
      <c r="I2396" s="10"/>
      <c r="J2396" s="10"/>
      <c r="K2396" s="10"/>
      <c r="L2396" s="10"/>
      <c r="N2396" s="10"/>
      <c r="O2396" s="10"/>
      <c r="Q2396" s="67"/>
    </row>
    <row r="2397" ht="12.75" customHeight="1">
      <c r="A2397" s="1" t="s">
        <v>3116</v>
      </c>
      <c r="B2397" s="62" t="s">
        <v>2905</v>
      </c>
      <c r="C2397" s="60" t="str">
        <f t="shared" ref="C2397:C2412" si="537">MID(A2397,1,12)</f>
        <v>M.020.23.101</v>
      </c>
      <c r="D2397" s="51" t="s">
        <v>3115</v>
      </c>
      <c r="E2397" s="62" t="s">
        <v>45</v>
      </c>
      <c r="F2397" s="63" t="str">
        <f t="shared" ref="F2397:F2412" si="538">MID(A2397, 21,85)</f>
        <v>Minced beef shallow fried, meat packaging per 1 kg NL</v>
      </c>
      <c r="G2397" s="64">
        <v>3.6967223145883503</v>
      </c>
      <c r="H2397" s="10">
        <f t="shared" si="481"/>
        <v>3.696722315</v>
      </c>
      <c r="I2397" s="65">
        <v>7.6784335E-7</v>
      </c>
      <c r="J2397" s="65">
        <v>0.7827151947450001</v>
      </c>
      <c r="K2397" s="65">
        <v>0.066556052</v>
      </c>
      <c r="L2397" s="65">
        <v>2.8474503</v>
      </c>
      <c r="N2397" s="66">
        <v>18.983002000000003</v>
      </c>
      <c r="O2397" s="10">
        <f t="shared" ref="O2397:O2412" si="539">N2397</f>
        <v>18.983002</v>
      </c>
      <c r="Q2397" s="67">
        <v>0.0</v>
      </c>
      <c r="S2397" s="68">
        <v>0.51298085</v>
      </c>
      <c r="T2397" s="68">
        <v>0.48038311</v>
      </c>
      <c r="U2397" s="68">
        <v>0.032597742</v>
      </c>
      <c r="V2397" s="68">
        <v>0.0</v>
      </c>
      <c r="X2397" s="69">
        <v>7.9168475E-4</v>
      </c>
    </row>
    <row r="2398" ht="12.75" customHeight="1">
      <c r="A2398" s="1" t="s">
        <v>3117</v>
      </c>
      <c r="B2398" s="62" t="s">
        <v>2905</v>
      </c>
      <c r="C2398" s="60" t="str">
        <f t="shared" si="537"/>
        <v>M.020.23.102</v>
      </c>
      <c r="D2398" s="51" t="s">
        <v>3115</v>
      </c>
      <c r="E2398" s="62" t="s">
        <v>45</v>
      </c>
      <c r="F2398" s="63" t="str">
        <f t="shared" si="538"/>
        <v>Beef roast, meat packaging per 1 kg NL</v>
      </c>
      <c r="G2398" s="64">
        <v>4.43379275764112</v>
      </c>
      <c r="H2398" s="10">
        <f t="shared" si="481"/>
        <v>4.433792758</v>
      </c>
      <c r="I2398" s="65">
        <v>9.4136212E-7</v>
      </c>
      <c r="J2398" s="65">
        <v>0.9299213702789999</v>
      </c>
      <c r="K2398" s="65">
        <v>0.080050546</v>
      </c>
      <c r="L2398" s="65">
        <v>3.4238199</v>
      </c>
      <c r="N2398" s="66">
        <v>22.825466</v>
      </c>
      <c r="O2398" s="10">
        <f t="shared" si="539"/>
        <v>22.825466</v>
      </c>
      <c r="Q2398" s="67">
        <v>0.0</v>
      </c>
      <c r="S2398" s="68">
        <v>0.61322781</v>
      </c>
      <c r="T2398" s="68">
        <v>0.57424342</v>
      </c>
      <c r="U2398" s="68">
        <v>0.038984395</v>
      </c>
      <c r="V2398" s="68">
        <v>0.0</v>
      </c>
      <c r="X2398" s="69">
        <v>9.4975664E-4</v>
      </c>
    </row>
    <row r="2399" ht="12.75" customHeight="1">
      <c r="A2399" s="1" t="s">
        <v>3118</v>
      </c>
      <c r="B2399" s="62" t="s">
        <v>2905</v>
      </c>
      <c r="C2399" s="60" t="str">
        <f t="shared" si="537"/>
        <v>M.020.23.103</v>
      </c>
      <c r="D2399" s="51" t="s">
        <v>3115</v>
      </c>
      <c r="E2399" s="62" t="s">
        <v>45</v>
      </c>
      <c r="F2399" s="63" t="str">
        <f t="shared" si="538"/>
        <v>Beef frying steak, meat packaging per 1 kg NL</v>
      </c>
      <c r="G2399" s="64">
        <v>3.61740917780393</v>
      </c>
      <c r="H2399" s="10">
        <f t="shared" si="481"/>
        <v>3.617409178</v>
      </c>
      <c r="I2399" s="65">
        <v>7.7365793E-7</v>
      </c>
      <c r="J2399" s="65">
        <v>0.754909944146</v>
      </c>
      <c r="K2399" s="65">
        <v>0.06524216</v>
      </c>
      <c r="L2399" s="65">
        <v>2.7972563</v>
      </c>
      <c r="N2399" s="66">
        <v>18.648375333333334</v>
      </c>
      <c r="O2399" s="10">
        <f t="shared" si="539"/>
        <v>18.64837533</v>
      </c>
      <c r="Q2399" s="67">
        <v>0.0</v>
      </c>
      <c r="S2399" s="68">
        <v>0.49984665</v>
      </c>
      <c r="T2399" s="68">
        <v>0.46829139</v>
      </c>
      <c r="U2399" s="68">
        <v>0.031555259</v>
      </c>
      <c r="V2399" s="68">
        <v>0.0</v>
      </c>
      <c r="X2399" s="69">
        <v>7.7475748E-4</v>
      </c>
    </row>
    <row r="2400" ht="12.75" customHeight="1">
      <c r="A2400" s="1" t="s">
        <v>3119</v>
      </c>
      <c r="B2400" s="62" t="s">
        <v>2905</v>
      </c>
      <c r="C2400" s="60" t="str">
        <f t="shared" si="537"/>
        <v>M.020.23.104</v>
      </c>
      <c r="D2400" s="51" t="s">
        <v>3115</v>
      </c>
      <c r="E2400" s="62" t="s">
        <v>45</v>
      </c>
      <c r="F2400" s="63" t="str">
        <f t="shared" si="538"/>
        <v>Chicken fillet, meat packaging per 1 kg NL</v>
      </c>
      <c r="G2400" s="64">
        <v>0.89096243400965</v>
      </c>
      <c r="H2400" s="10">
        <f t="shared" si="481"/>
        <v>0.890962434</v>
      </c>
      <c r="I2400" s="65">
        <v>2.9983945E-7</v>
      </c>
      <c r="J2400" s="65">
        <v>0.3069287391702</v>
      </c>
      <c r="K2400" s="65">
        <v>0.025801585</v>
      </c>
      <c r="L2400" s="65">
        <v>0.55823181</v>
      </c>
      <c r="N2400" s="66">
        <v>3.7215454</v>
      </c>
      <c r="O2400" s="10">
        <f t="shared" si="539"/>
        <v>3.7215454</v>
      </c>
      <c r="Q2400" s="67">
        <v>0.0</v>
      </c>
      <c r="S2400" s="68">
        <v>0.13862983</v>
      </c>
      <c r="T2400" s="68">
        <v>0.12732851</v>
      </c>
      <c r="U2400" s="68">
        <v>0.011301323</v>
      </c>
      <c r="V2400" s="68">
        <v>0.0</v>
      </c>
      <c r="X2400" s="69">
        <v>2.0712303E-4</v>
      </c>
    </row>
    <row r="2401" ht="12.75" customHeight="1">
      <c r="A2401" s="1" t="s">
        <v>3120</v>
      </c>
      <c r="B2401" s="62" t="s">
        <v>2905</v>
      </c>
      <c r="C2401" s="60" t="str">
        <f t="shared" si="537"/>
        <v>M.020.23.105</v>
      </c>
      <c r="D2401" s="51" t="s">
        <v>3115</v>
      </c>
      <c r="E2401" s="62" t="s">
        <v>45</v>
      </c>
      <c r="F2401" s="63" t="str">
        <f t="shared" si="538"/>
        <v>Chicken, w skin meat packaging per 1 kg NL</v>
      </c>
      <c r="G2401" s="64">
        <v>0.734938982639</v>
      </c>
      <c r="H2401" s="10">
        <f t="shared" si="481"/>
        <v>0.7349389826</v>
      </c>
      <c r="I2401" s="65">
        <v>2.483152E-7</v>
      </c>
      <c r="J2401" s="65">
        <v>0.2522393813238</v>
      </c>
      <c r="K2401" s="65">
        <v>0.021392373</v>
      </c>
      <c r="L2401" s="65">
        <v>0.46130698</v>
      </c>
      <c r="N2401" s="66">
        <v>3.0753798666666667</v>
      </c>
      <c r="O2401" s="10">
        <f t="shared" si="539"/>
        <v>3.075379867</v>
      </c>
      <c r="Q2401" s="67">
        <v>0.0</v>
      </c>
      <c r="S2401" s="68">
        <v>0.11418611</v>
      </c>
      <c r="T2401" s="68">
        <v>0.10489826</v>
      </c>
      <c r="U2401" s="68">
        <v>0.0092878553</v>
      </c>
      <c r="V2401" s="68">
        <v>0.0</v>
      </c>
      <c r="X2401" s="69">
        <v>1.7078722E-4</v>
      </c>
    </row>
    <row r="2402" ht="12.75" customHeight="1">
      <c r="A2402" s="1" t="s">
        <v>3121</v>
      </c>
      <c r="B2402" s="62" t="s">
        <v>2905</v>
      </c>
      <c r="C2402" s="60" t="str">
        <f t="shared" si="537"/>
        <v>M.020.23.106</v>
      </c>
      <c r="D2402" s="51" t="s">
        <v>3115</v>
      </c>
      <c r="E2402" s="62" t="s">
        <v>45</v>
      </c>
      <c r="F2402" s="63" t="str">
        <f t="shared" si="538"/>
        <v>Hamburger, meat packaging per 1 kg NL</v>
      </c>
      <c r="G2402" s="64">
        <v>3.31189809106794</v>
      </c>
      <c r="H2402" s="10">
        <f t="shared" si="481"/>
        <v>3.311898091</v>
      </c>
      <c r="I2402" s="65">
        <v>7.1592094E-7</v>
      </c>
      <c r="J2402" s="65">
        <v>0.690924886147</v>
      </c>
      <c r="K2402" s="65">
        <v>0.060403289</v>
      </c>
      <c r="L2402" s="65">
        <v>2.5605692</v>
      </c>
      <c r="N2402" s="66">
        <v>17.070461333333334</v>
      </c>
      <c r="O2402" s="10">
        <f t="shared" si="539"/>
        <v>17.07046133</v>
      </c>
      <c r="Q2402" s="67">
        <v>0.0</v>
      </c>
      <c r="S2402" s="68">
        <v>0.45741257</v>
      </c>
      <c r="T2402" s="68">
        <v>0.42855678</v>
      </c>
      <c r="U2402" s="68">
        <v>0.028855789</v>
      </c>
      <c r="V2402" s="68">
        <v>0.0</v>
      </c>
      <c r="X2402" s="69">
        <v>7.0957628E-4</v>
      </c>
    </row>
    <row r="2403" ht="12.75" customHeight="1">
      <c r="A2403" s="1" t="s">
        <v>3122</v>
      </c>
      <c r="B2403" s="62" t="s">
        <v>2905</v>
      </c>
      <c r="C2403" s="60" t="str">
        <f t="shared" si="537"/>
        <v>M.020.23.108</v>
      </c>
      <c r="D2403" s="51" t="s">
        <v>3115</v>
      </c>
      <c r="E2403" s="62" t="s">
        <v>45</v>
      </c>
      <c r="F2403" s="63" t="str">
        <f t="shared" si="538"/>
        <v>Minced beef, meat packaging per 1 kg NL</v>
      </c>
      <c r="G2403" s="64">
        <v>3.6967223145883503</v>
      </c>
      <c r="H2403" s="10">
        <f t="shared" si="481"/>
        <v>3.696722315</v>
      </c>
      <c r="I2403" s="65">
        <v>7.6784335E-7</v>
      </c>
      <c r="J2403" s="65">
        <v>0.7827151947450001</v>
      </c>
      <c r="K2403" s="65">
        <v>0.066556052</v>
      </c>
      <c r="L2403" s="65">
        <v>2.8474503</v>
      </c>
      <c r="N2403" s="66">
        <v>18.983002000000003</v>
      </c>
      <c r="O2403" s="10">
        <f t="shared" si="539"/>
        <v>18.983002</v>
      </c>
      <c r="Q2403" s="67">
        <v>0.0</v>
      </c>
      <c r="S2403" s="68">
        <v>0.51298085</v>
      </c>
      <c r="T2403" s="68">
        <v>0.48038311</v>
      </c>
      <c r="U2403" s="68">
        <v>0.032597742</v>
      </c>
      <c r="V2403" s="68">
        <v>0.0</v>
      </c>
      <c r="X2403" s="69">
        <v>7.9168475E-4</v>
      </c>
    </row>
    <row r="2404" ht="12.75" customHeight="1">
      <c r="A2404" s="1" t="s">
        <v>3123</v>
      </c>
      <c r="B2404" s="62" t="s">
        <v>2905</v>
      </c>
      <c r="C2404" s="60" t="str">
        <f t="shared" si="537"/>
        <v>M.020.23.109</v>
      </c>
      <c r="D2404" s="51" t="s">
        <v>3115</v>
      </c>
      <c r="E2404" s="62" t="s">
        <v>45</v>
      </c>
      <c r="F2404" s="63" t="str">
        <f t="shared" si="538"/>
        <v>Minced beef/pork, meat packaging per 1 kg NL</v>
      </c>
      <c r="G2404" s="64">
        <v>2.69377980698783</v>
      </c>
      <c r="H2404" s="10">
        <f t="shared" si="481"/>
        <v>2.693779807</v>
      </c>
      <c r="I2404" s="65">
        <v>6.5279583E-7</v>
      </c>
      <c r="J2404" s="65">
        <v>0.6647560911920001</v>
      </c>
      <c r="K2404" s="65">
        <v>0.045423563</v>
      </c>
      <c r="L2404" s="65">
        <v>1.9835995</v>
      </c>
      <c r="N2404" s="66">
        <v>13.223996666666666</v>
      </c>
      <c r="O2404" s="10">
        <f t="shared" si="539"/>
        <v>13.22399667</v>
      </c>
      <c r="Q2404" s="67">
        <v>0.0</v>
      </c>
      <c r="S2404" s="68">
        <v>0.38777482</v>
      </c>
      <c r="T2404" s="68">
        <v>0.36176099</v>
      </c>
      <c r="U2404" s="68">
        <v>0.026013827</v>
      </c>
      <c r="V2404" s="68">
        <v>0.0</v>
      </c>
      <c r="X2404" s="69">
        <v>5.9180991E-4</v>
      </c>
    </row>
    <row r="2405" ht="12.75" customHeight="1">
      <c r="A2405" s="1" t="s">
        <v>3124</v>
      </c>
      <c r="B2405" s="62" t="s">
        <v>2905</v>
      </c>
      <c r="C2405" s="60" t="str">
        <f t="shared" si="537"/>
        <v>M.020.23.110</v>
      </c>
      <c r="D2405" s="51" t="s">
        <v>3115</v>
      </c>
      <c r="E2405" s="62" t="s">
        <v>45</v>
      </c>
      <c r="F2405" s="63" t="str">
        <f t="shared" si="538"/>
        <v>Pork &lt;5% fat, meat packaging per 1 kg NL</v>
      </c>
      <c r="G2405" s="64">
        <v>1.60908283492578</v>
      </c>
      <c r="H2405" s="10">
        <f t="shared" si="481"/>
        <v>1.609082835</v>
      </c>
      <c r="I2405" s="65">
        <v>5.0379578E-7</v>
      </c>
      <c r="J2405" s="65">
        <v>0.52005660613</v>
      </c>
      <c r="K2405" s="65">
        <v>0.023195125</v>
      </c>
      <c r="L2405" s="65">
        <v>1.0658306</v>
      </c>
      <c r="N2405" s="66">
        <v>7.105537333333333</v>
      </c>
      <c r="O2405" s="10">
        <f t="shared" si="539"/>
        <v>7.105537333</v>
      </c>
      <c r="Q2405" s="67">
        <v>0.0</v>
      </c>
      <c r="S2405" s="68">
        <v>0.24995246</v>
      </c>
      <c r="T2405" s="68">
        <v>0.2314575</v>
      </c>
      <c r="U2405" s="68">
        <v>0.018494961</v>
      </c>
      <c r="V2405" s="68">
        <v>0.0</v>
      </c>
      <c r="X2405" s="69">
        <v>3.7251699E-4</v>
      </c>
    </row>
    <row r="2406" ht="12.75" customHeight="1">
      <c r="A2406" s="1" t="s">
        <v>3125</v>
      </c>
      <c r="B2406" s="62" t="s">
        <v>2905</v>
      </c>
      <c r="C2406" s="60" t="str">
        <f t="shared" si="537"/>
        <v>M.020.23.111</v>
      </c>
      <c r="D2406" s="51" t="s">
        <v>3115</v>
      </c>
      <c r="E2406" s="62" t="s">
        <v>45</v>
      </c>
      <c r="F2406" s="63" t="str">
        <f t="shared" si="538"/>
        <v>Pork 5-14% fat, meat packaging per 1 kg NL</v>
      </c>
      <c r="G2406" s="64">
        <v>1.60908283492578</v>
      </c>
      <c r="H2406" s="10">
        <f t="shared" si="481"/>
        <v>1.609082835</v>
      </c>
      <c r="I2406" s="65">
        <v>5.0379578E-7</v>
      </c>
      <c r="J2406" s="65">
        <v>0.52005660613</v>
      </c>
      <c r="K2406" s="65">
        <v>0.023195125</v>
      </c>
      <c r="L2406" s="65">
        <v>1.0658306</v>
      </c>
      <c r="N2406" s="66">
        <v>7.105537333333333</v>
      </c>
      <c r="O2406" s="10">
        <f t="shared" si="539"/>
        <v>7.105537333</v>
      </c>
      <c r="Q2406" s="67">
        <v>0.0</v>
      </c>
      <c r="S2406" s="68">
        <v>0.24995246</v>
      </c>
      <c r="T2406" s="68">
        <v>0.2314575</v>
      </c>
      <c r="U2406" s="68">
        <v>0.018494961</v>
      </c>
      <c r="V2406" s="68">
        <v>0.0</v>
      </c>
      <c r="X2406" s="69">
        <v>3.7251699E-4</v>
      </c>
    </row>
    <row r="2407" ht="12.75" customHeight="1">
      <c r="A2407" s="1" t="s">
        <v>3126</v>
      </c>
      <c r="B2407" s="62" t="s">
        <v>2905</v>
      </c>
      <c r="C2407" s="60" t="str">
        <f t="shared" si="537"/>
        <v>M.020.23.112</v>
      </c>
      <c r="D2407" s="51" t="s">
        <v>3115</v>
      </c>
      <c r="E2407" s="62" t="s">
        <v>45</v>
      </c>
      <c r="F2407" s="63" t="str">
        <f t="shared" si="538"/>
        <v>Pork shoulder chop, meat packaging per 1 kg NL</v>
      </c>
      <c r="G2407" s="64">
        <v>1.60908283492578</v>
      </c>
      <c r="H2407" s="10">
        <f t="shared" si="481"/>
        <v>1.609082835</v>
      </c>
      <c r="I2407" s="65">
        <v>5.0379578E-7</v>
      </c>
      <c r="J2407" s="65">
        <v>0.52005660613</v>
      </c>
      <c r="K2407" s="65">
        <v>0.023195125</v>
      </c>
      <c r="L2407" s="65">
        <v>1.0658306</v>
      </c>
      <c r="N2407" s="66">
        <v>7.105537333333333</v>
      </c>
      <c r="O2407" s="10">
        <f t="shared" si="539"/>
        <v>7.105537333</v>
      </c>
      <c r="Q2407" s="67">
        <v>0.0</v>
      </c>
      <c r="S2407" s="68">
        <v>0.24995246</v>
      </c>
      <c r="T2407" s="68">
        <v>0.2314575</v>
      </c>
      <c r="U2407" s="68">
        <v>0.018494961</v>
      </c>
      <c r="V2407" s="68">
        <v>0.0</v>
      </c>
      <c r="X2407" s="69">
        <v>3.7251699E-4</v>
      </c>
    </row>
    <row r="2408" ht="12.75" customHeight="1">
      <c r="A2408" s="1" t="s">
        <v>3127</v>
      </c>
      <c r="B2408" s="62" t="s">
        <v>2905</v>
      </c>
      <c r="C2408" s="60" t="str">
        <f t="shared" si="537"/>
        <v>M.020.23.113</v>
      </c>
      <c r="D2408" s="51" t="s">
        <v>3115</v>
      </c>
      <c r="E2408" s="62" t="s">
        <v>45</v>
      </c>
      <c r="F2408" s="63" t="str">
        <f t="shared" si="538"/>
        <v>Sausage, frankfurter in food can NL</v>
      </c>
      <c r="G2408" s="64">
        <v>2.3182221591736702</v>
      </c>
      <c r="H2408" s="10">
        <f t="shared" si="481"/>
        <v>2.318222159</v>
      </c>
      <c r="I2408" s="65">
        <v>6.6735767E-7</v>
      </c>
      <c r="J2408" s="65">
        <v>0.5630231778160001</v>
      </c>
      <c r="K2408" s="65">
        <v>0.054699214</v>
      </c>
      <c r="L2408" s="65">
        <v>1.7004991</v>
      </c>
      <c r="N2408" s="66">
        <v>11.336660666666667</v>
      </c>
      <c r="O2408" s="10">
        <f t="shared" si="539"/>
        <v>11.33666067</v>
      </c>
      <c r="Q2408" s="67">
        <v>0.0</v>
      </c>
      <c r="S2408" s="68">
        <v>0.32982133</v>
      </c>
      <c r="T2408" s="68">
        <v>0.30858823</v>
      </c>
      <c r="U2408" s="68">
        <v>0.021233107</v>
      </c>
      <c r="V2408" s="68">
        <v>0.0</v>
      </c>
      <c r="X2408" s="69">
        <v>5.1084412E-4</v>
      </c>
    </row>
    <row r="2409" ht="12.75" customHeight="1">
      <c r="A2409" s="1" t="s">
        <v>3128</v>
      </c>
      <c r="B2409" s="62" t="s">
        <v>2905</v>
      </c>
      <c r="C2409" s="60" t="str">
        <f t="shared" si="537"/>
        <v>M.020.23.114</v>
      </c>
      <c r="D2409" s="51" t="s">
        <v>3115</v>
      </c>
      <c r="E2409" s="62" t="s">
        <v>45</v>
      </c>
      <c r="F2409" s="63" t="str">
        <f t="shared" si="538"/>
        <v>Sausage, frankfurter in glass jarper 720 ml NL</v>
      </c>
      <c r="G2409" s="64">
        <v>2.21120231360755</v>
      </c>
      <c r="H2409" s="10">
        <f t="shared" si="481"/>
        <v>2.211202314</v>
      </c>
      <c r="I2409" s="65">
        <v>5.5521455E-7</v>
      </c>
      <c r="J2409" s="65">
        <v>0.5421814863929999</v>
      </c>
      <c r="K2409" s="65">
        <v>0.036787072</v>
      </c>
      <c r="L2409" s="65">
        <v>1.6322332</v>
      </c>
      <c r="N2409" s="66">
        <v>10.881554666666666</v>
      </c>
      <c r="O2409" s="10">
        <f t="shared" si="539"/>
        <v>10.88155467</v>
      </c>
      <c r="Q2409" s="67">
        <v>0.0</v>
      </c>
      <c r="S2409" s="68">
        <v>0.31822958</v>
      </c>
      <c r="T2409" s="68">
        <v>0.29747611</v>
      </c>
      <c r="U2409" s="68">
        <v>0.02075347</v>
      </c>
      <c r="V2409" s="68">
        <v>0.0</v>
      </c>
      <c r="X2409" s="69">
        <v>4.863734E-4</v>
      </c>
    </row>
    <row r="2410" ht="12.75" customHeight="1">
      <c r="A2410" s="1" t="s">
        <v>3129</v>
      </c>
      <c r="B2410" s="62" t="s">
        <v>2905</v>
      </c>
      <c r="C2410" s="60" t="str">
        <f t="shared" si="537"/>
        <v>M.020.23.115</v>
      </c>
      <c r="D2410" s="51" t="s">
        <v>3115</v>
      </c>
      <c r="E2410" s="62" t="s">
        <v>45</v>
      </c>
      <c r="F2410" s="63" t="str">
        <f t="shared" si="538"/>
        <v>Sausage, pork (braadworst), meat packaging per 1 kg NL</v>
      </c>
      <c r="G2410" s="64">
        <v>1.89479010182488</v>
      </c>
      <c r="H2410" s="10">
        <f t="shared" si="481"/>
        <v>1.894790102</v>
      </c>
      <c r="I2410" s="65">
        <v>5.3239088E-7</v>
      </c>
      <c r="J2410" s="65">
        <v>0.503042924434</v>
      </c>
      <c r="K2410" s="65">
        <v>0.030835745</v>
      </c>
      <c r="L2410" s="65">
        <v>1.3609109</v>
      </c>
      <c r="N2410" s="66">
        <v>9.072739333333333</v>
      </c>
      <c r="O2410" s="10">
        <f t="shared" si="539"/>
        <v>9.072739333</v>
      </c>
      <c r="Q2410" s="67">
        <v>0.0</v>
      </c>
      <c r="S2410" s="68">
        <v>0.27741107</v>
      </c>
      <c r="T2410" s="68">
        <v>0.25836625</v>
      </c>
      <c r="U2410" s="68">
        <v>0.019044818</v>
      </c>
      <c r="V2410" s="68">
        <v>0.0</v>
      </c>
      <c r="X2410" s="69">
        <v>4.238843E-4</v>
      </c>
    </row>
    <row r="2411" ht="12.75" customHeight="1">
      <c r="A2411" s="1" t="s">
        <v>3130</v>
      </c>
      <c r="B2411" s="62" t="s">
        <v>2905</v>
      </c>
      <c r="C2411" s="60" t="str">
        <f t="shared" si="537"/>
        <v>M.020.23.116</v>
      </c>
      <c r="D2411" s="51" t="s">
        <v>3115</v>
      </c>
      <c r="E2411" s="62" t="s">
        <v>45</v>
      </c>
      <c r="F2411" s="63" t="str">
        <f t="shared" si="538"/>
        <v>Sausage, smoke-cooked beef meat packaging per 1 kg NL</v>
      </c>
      <c r="G2411" s="64">
        <v>3.09253508197828</v>
      </c>
      <c r="H2411" s="10">
        <f t="shared" si="481"/>
        <v>3.092535082</v>
      </c>
      <c r="I2411" s="65">
        <v>6.7029228E-7</v>
      </c>
      <c r="J2411" s="65">
        <v>0.6447780236859999</v>
      </c>
      <c r="K2411" s="65">
        <v>0.056604088</v>
      </c>
      <c r="L2411" s="65">
        <v>2.3911523</v>
      </c>
      <c r="N2411" s="66">
        <v>15.941015333333333</v>
      </c>
      <c r="O2411" s="10">
        <f t="shared" si="539"/>
        <v>15.94101533</v>
      </c>
      <c r="Q2411" s="67">
        <v>0.0</v>
      </c>
      <c r="S2411" s="68">
        <v>0.4267258</v>
      </c>
      <c r="T2411" s="68">
        <v>0.39962042</v>
      </c>
      <c r="U2411" s="68">
        <v>0.027105376</v>
      </c>
      <c r="V2411" s="68">
        <v>0.0</v>
      </c>
      <c r="X2411" s="69">
        <v>6.6266669E-4</v>
      </c>
    </row>
    <row r="2412" ht="12.75" customHeight="1">
      <c r="A2412" s="1" t="s">
        <v>3131</v>
      </c>
      <c r="B2412" s="62" t="s">
        <v>2905</v>
      </c>
      <c r="C2412" s="60" t="str">
        <f t="shared" si="537"/>
        <v>M.020.23.117</v>
      </c>
      <c r="D2412" s="51" t="s">
        <v>3115</v>
      </c>
      <c r="E2412" s="62" t="s">
        <v>45</v>
      </c>
      <c r="F2412" s="63" t="str">
        <f t="shared" si="538"/>
        <v>Veal &lt;5% fat, meat packaging per 1 kg NL</v>
      </c>
      <c r="G2412" s="64">
        <v>3.8852305133849</v>
      </c>
      <c r="H2412" s="10">
        <f t="shared" si="481"/>
        <v>3.885230513</v>
      </c>
      <c r="I2412" s="65">
        <v>5.963979E-7</v>
      </c>
      <c r="J2412" s="65">
        <v>1.3570254429870001</v>
      </c>
      <c r="K2412" s="65">
        <v>0.089437874</v>
      </c>
      <c r="L2412" s="65">
        <v>2.4387666</v>
      </c>
      <c r="N2412" s="66">
        <v>16.258444</v>
      </c>
      <c r="O2412" s="10">
        <f t="shared" si="539"/>
        <v>16.258444</v>
      </c>
      <c r="Q2412" s="67">
        <v>0.0</v>
      </c>
      <c r="S2412" s="68">
        <v>0.65099298</v>
      </c>
      <c r="T2412" s="68">
        <v>0.61820083</v>
      </c>
      <c r="U2412" s="68">
        <v>0.032792151</v>
      </c>
      <c r="V2412" s="68">
        <v>0.0</v>
      </c>
      <c r="X2412" s="69">
        <v>8.6427771E-4</v>
      </c>
    </row>
    <row r="2413" ht="12.75" customHeight="1">
      <c r="B2413" s="62"/>
      <c r="C2413" s="60"/>
      <c r="D2413" s="75" t="s">
        <v>3132</v>
      </c>
      <c r="E2413" s="62"/>
      <c r="G2413" s="10"/>
      <c r="H2413" s="10" t="str">
        <f t="shared" si="481"/>
        <v/>
      </c>
      <c r="I2413" s="10"/>
      <c r="J2413" s="10"/>
      <c r="K2413" s="10"/>
      <c r="L2413" s="10"/>
      <c r="N2413" s="10"/>
      <c r="O2413" s="10"/>
      <c r="Q2413" s="67"/>
    </row>
    <row r="2414" ht="12.75" customHeight="1">
      <c r="A2414" s="1" t="s">
        <v>3133</v>
      </c>
      <c r="B2414" s="62" t="s">
        <v>2905</v>
      </c>
      <c r="C2414" s="60" t="str">
        <f t="shared" ref="C2414:C2420" si="540">MID(A2414,1,12)</f>
        <v>M.020.24.101</v>
      </c>
      <c r="D2414" s="51" t="s">
        <v>3132</v>
      </c>
      <c r="E2414" s="62" t="s">
        <v>45</v>
      </c>
      <c r="F2414" s="63" t="str">
        <f t="shared" ref="F2414:F2420" si="541">MID(A2414, 21,85)</f>
        <v>Mincemeat, vegetarian unprepared, meat packaging per 1 kg NL</v>
      </c>
      <c r="G2414" s="64">
        <v>0.7161335830703199</v>
      </c>
      <c r="H2414" s="10">
        <f t="shared" si="481"/>
        <v>0.7161335831</v>
      </c>
      <c r="I2414" s="65">
        <v>3.2487092E-7</v>
      </c>
      <c r="J2414" s="65">
        <v>0.21313945619939997</v>
      </c>
      <c r="K2414" s="65">
        <v>0.028268752</v>
      </c>
      <c r="L2414" s="65">
        <v>0.47472505</v>
      </c>
      <c r="N2414" s="66">
        <v>3.1648336666666665</v>
      </c>
      <c r="O2414" s="10">
        <f t="shared" ref="O2414:O2433" si="542">N2414</f>
        <v>3.164833667</v>
      </c>
      <c r="Q2414" s="67">
        <v>0.0</v>
      </c>
      <c r="S2414" s="68">
        <v>0.100921</v>
      </c>
      <c r="T2414" s="68">
        <v>0.091065101</v>
      </c>
      <c r="U2414" s="68">
        <v>0.0098558949</v>
      </c>
      <c r="V2414" s="68">
        <v>0.0</v>
      </c>
      <c r="X2414" s="69">
        <v>1.6691886E-4</v>
      </c>
    </row>
    <row r="2415" ht="12.75" customHeight="1">
      <c r="A2415" s="1" t="s">
        <v>3134</v>
      </c>
      <c r="B2415" s="62" t="s">
        <v>2905</v>
      </c>
      <c r="C2415" s="60" t="str">
        <f t="shared" si="540"/>
        <v>M.020.24.102</v>
      </c>
      <c r="D2415" s="51" t="s">
        <v>3132</v>
      </c>
      <c r="E2415" s="62" t="s">
        <v>45</v>
      </c>
      <c r="F2415" s="63" t="str">
        <f t="shared" si="541"/>
        <v>Sausage, luncheon vegetarian, sandwich meat, meat packaging per 1 kg NL</v>
      </c>
      <c r="G2415" s="64">
        <v>0.7161335830703199</v>
      </c>
      <c r="H2415" s="10">
        <f t="shared" si="481"/>
        <v>0.7161335831</v>
      </c>
      <c r="I2415" s="65">
        <v>3.2487092E-7</v>
      </c>
      <c r="J2415" s="65">
        <v>0.21313945619939997</v>
      </c>
      <c r="K2415" s="65">
        <v>0.028268752</v>
      </c>
      <c r="L2415" s="65">
        <v>0.47472505</v>
      </c>
      <c r="N2415" s="66">
        <v>3.1648336666666665</v>
      </c>
      <c r="O2415" s="10">
        <f t="shared" si="542"/>
        <v>3.164833667</v>
      </c>
      <c r="Q2415" s="67">
        <v>0.0</v>
      </c>
      <c r="S2415" s="68">
        <v>0.100921</v>
      </c>
      <c r="T2415" s="68">
        <v>0.091065101</v>
      </c>
      <c r="U2415" s="68">
        <v>0.0098558949</v>
      </c>
      <c r="V2415" s="68">
        <v>0.0</v>
      </c>
      <c r="X2415" s="69">
        <v>1.6691886E-4</v>
      </c>
    </row>
    <row r="2416" ht="12.75" customHeight="1">
      <c r="A2416" s="1" t="s">
        <v>3135</v>
      </c>
      <c r="B2416" s="62" t="s">
        <v>2905</v>
      </c>
      <c r="C2416" s="60" t="str">
        <f t="shared" si="540"/>
        <v>M.020.24.103</v>
      </c>
      <c r="D2416" s="51" t="s">
        <v>3132</v>
      </c>
      <c r="E2416" s="62" t="s">
        <v>45</v>
      </c>
      <c r="F2416" s="63" t="str">
        <f t="shared" si="541"/>
        <v>Drink soya, natural in multilayer carton per 1000 ml NL</v>
      </c>
      <c r="G2416" s="64">
        <v>0.098336875337989</v>
      </c>
      <c r="H2416" s="10">
        <f t="shared" si="481"/>
        <v>0.09833687534</v>
      </c>
      <c r="I2416" s="65">
        <v>4.1401489E-8</v>
      </c>
      <c r="J2416" s="65">
        <v>0.0204418654365</v>
      </c>
      <c r="K2416" s="65">
        <v>0.0033403755</v>
      </c>
      <c r="L2416" s="65">
        <v>0.074554593</v>
      </c>
      <c r="N2416" s="66">
        <v>0.49703062000000003</v>
      </c>
      <c r="O2416" s="10">
        <f t="shared" si="542"/>
        <v>0.49703062</v>
      </c>
      <c r="Q2416" s="67">
        <v>0.0</v>
      </c>
      <c r="S2416" s="68">
        <v>0.012806879</v>
      </c>
      <c r="T2416" s="68">
        <v>0.011833772</v>
      </c>
      <c r="U2416" s="68">
        <v>9.7310702E-4</v>
      </c>
      <c r="V2416" s="68">
        <v>0.0</v>
      </c>
      <c r="X2416" s="69">
        <v>2.190803E-5</v>
      </c>
    </row>
    <row r="2417" ht="12.75" customHeight="1">
      <c r="A2417" s="1" t="s">
        <v>3136</v>
      </c>
      <c r="B2417" s="62" t="s">
        <v>2905</v>
      </c>
      <c r="C2417" s="60" t="str">
        <f t="shared" si="540"/>
        <v>M.020.24.104</v>
      </c>
      <c r="D2417" s="51" t="s">
        <v>3132</v>
      </c>
      <c r="E2417" s="62" t="s">
        <v>45</v>
      </c>
      <c r="F2417" s="63" t="str">
        <f t="shared" si="541"/>
        <v>Tahoe soya curd, meat packaging per 1 kg NL</v>
      </c>
      <c r="G2417" s="64">
        <v>0.39797449964743</v>
      </c>
      <c r="H2417" s="10">
        <f t="shared" si="481"/>
        <v>0.3979744996</v>
      </c>
      <c r="I2417" s="65">
        <v>1.7369903E-7</v>
      </c>
      <c r="J2417" s="65">
        <v>0.061011813948399995</v>
      </c>
      <c r="K2417" s="65">
        <v>0.013716352</v>
      </c>
      <c r="L2417" s="65">
        <v>0.32324616</v>
      </c>
      <c r="N2417" s="66">
        <v>2.1549744</v>
      </c>
      <c r="O2417" s="10">
        <f t="shared" si="542"/>
        <v>2.1549744</v>
      </c>
      <c r="Q2417" s="67">
        <v>0.0</v>
      </c>
      <c r="S2417" s="68">
        <v>0.045903862</v>
      </c>
      <c r="T2417" s="68">
        <v>0.041075206</v>
      </c>
      <c r="U2417" s="68">
        <v>0.0048286561</v>
      </c>
      <c r="V2417" s="68">
        <v>0.0</v>
      </c>
      <c r="X2417" s="69">
        <v>8.7372549E-5</v>
      </c>
    </row>
    <row r="2418" ht="12.75" customHeight="1">
      <c r="A2418" s="1" t="s">
        <v>3137</v>
      </c>
      <c r="B2418" s="62" t="s">
        <v>2905</v>
      </c>
      <c r="C2418" s="60" t="str">
        <f t="shared" si="540"/>
        <v>M.020.24.105</v>
      </c>
      <c r="D2418" s="51" t="s">
        <v>3132</v>
      </c>
      <c r="E2418" s="62" t="s">
        <v>45</v>
      </c>
      <c r="F2418" s="63" t="str">
        <f t="shared" si="541"/>
        <v>Vegetable burger vegetarian, meat packaging per 1 kg NL</v>
      </c>
      <c r="G2418" s="64">
        <v>0.5391774125892299</v>
      </c>
      <c r="H2418" s="10">
        <f t="shared" si="481"/>
        <v>0.5391774126</v>
      </c>
      <c r="I2418" s="65">
        <v>2.7718693E-7</v>
      </c>
      <c r="J2418" s="65">
        <v>0.1462749684023</v>
      </c>
      <c r="K2418" s="65">
        <v>0.019769147</v>
      </c>
      <c r="L2418" s="65">
        <v>0.37313302</v>
      </c>
      <c r="N2418" s="66">
        <v>2.4875534666666668</v>
      </c>
      <c r="O2418" s="10">
        <f t="shared" si="542"/>
        <v>2.487553467</v>
      </c>
      <c r="Q2418" s="67">
        <v>0.0</v>
      </c>
      <c r="S2418" s="68">
        <v>0.074962799</v>
      </c>
      <c r="T2418" s="68">
        <v>0.069000755</v>
      </c>
      <c r="U2418" s="68">
        <v>0.0059620444</v>
      </c>
      <c r="V2418" s="68">
        <v>0.0</v>
      </c>
      <c r="X2418" s="69">
        <v>1.2585666E-4</v>
      </c>
    </row>
    <row r="2419" ht="12.75" customHeight="1">
      <c r="A2419" s="1" t="s">
        <v>3138</v>
      </c>
      <c r="B2419" s="62" t="s">
        <v>2905</v>
      </c>
      <c r="C2419" s="60" t="str">
        <f t="shared" si="540"/>
        <v>M.020.24.106</v>
      </c>
      <c r="D2419" s="51" t="s">
        <v>3132</v>
      </c>
      <c r="E2419" s="62" t="s">
        <v>45</v>
      </c>
      <c r="F2419" s="63" t="str">
        <f t="shared" si="541"/>
        <v>Vegetarian hamburger, meat packaging per 1 kg NL</v>
      </c>
      <c r="G2419" s="64">
        <v>0.34931565233999</v>
      </c>
      <c r="H2419" s="10">
        <f t="shared" si="481"/>
        <v>0.3493156523</v>
      </c>
      <c r="I2419" s="65">
        <v>1.4360499E-7</v>
      </c>
      <c r="J2419" s="65">
        <v>0.05898762893500001</v>
      </c>
      <c r="K2419" s="65">
        <v>0.0076182598</v>
      </c>
      <c r="L2419" s="65">
        <v>0.28270962</v>
      </c>
      <c r="N2419" s="66">
        <v>1.8847308</v>
      </c>
      <c r="O2419" s="10">
        <f t="shared" si="542"/>
        <v>1.8847308</v>
      </c>
      <c r="Q2419" s="67">
        <v>0.0</v>
      </c>
      <c r="S2419" s="68">
        <v>0.042063416</v>
      </c>
      <c r="T2419" s="68">
        <v>0.03781815</v>
      </c>
      <c r="U2419" s="68">
        <v>0.0042452658</v>
      </c>
      <c r="V2419" s="68">
        <v>0.0</v>
      </c>
      <c r="X2419" s="69">
        <v>7.7514374E-5</v>
      </c>
    </row>
    <row r="2420" ht="12.75" customHeight="1">
      <c r="A2420" s="1" t="s">
        <v>3139</v>
      </c>
      <c r="B2420" s="62" t="s">
        <v>2905</v>
      </c>
      <c r="C2420" s="60" t="str">
        <f t="shared" si="540"/>
        <v>M.020.24.107</v>
      </c>
      <c r="D2420" s="51" t="s">
        <v>3132</v>
      </c>
      <c r="E2420" s="62" t="s">
        <v>45</v>
      </c>
      <c r="F2420" s="63" t="str">
        <f t="shared" si="541"/>
        <v>Vegetarian schnitzel Valles, meat packaging per 1 kg NL</v>
      </c>
      <c r="G2420" s="64">
        <v>3.45548256802755</v>
      </c>
      <c r="H2420" s="10">
        <f t="shared" si="481"/>
        <v>3.455482568</v>
      </c>
      <c r="I2420" s="65">
        <v>3.0368475E-7</v>
      </c>
      <c r="J2420" s="65">
        <v>0.1923602543428</v>
      </c>
      <c r="K2420" s="65">
        <v>2.7849072</v>
      </c>
      <c r="L2420" s="65">
        <v>0.47821481</v>
      </c>
      <c r="N2420" s="66">
        <v>3.1880987333333333</v>
      </c>
      <c r="O2420" s="10">
        <f t="shared" si="542"/>
        <v>3.188098733</v>
      </c>
      <c r="Q2420" s="67">
        <v>0.0</v>
      </c>
      <c r="S2420" s="68">
        <v>0.098677943</v>
      </c>
      <c r="T2420" s="68">
        <v>0.091059741</v>
      </c>
      <c r="U2420" s="68">
        <v>0.0076182017</v>
      </c>
      <c r="V2420" s="68">
        <v>0.0</v>
      </c>
      <c r="X2420" s="69">
        <v>1.5985303E-4</v>
      </c>
    </row>
    <row r="2421" ht="12.75" customHeight="1">
      <c r="B2421" s="62"/>
      <c r="C2421" s="60"/>
      <c r="D2421" s="75" t="s">
        <v>3140</v>
      </c>
      <c r="E2421" s="62"/>
      <c r="F2421" s="63"/>
      <c r="G2421" s="64"/>
      <c r="H2421" s="10" t="str">
        <f t="shared" si="481"/>
        <v/>
      </c>
      <c r="I2421" s="65"/>
      <c r="J2421" s="65"/>
      <c r="K2421" s="65"/>
      <c r="L2421" s="65"/>
      <c r="N2421" s="66"/>
      <c r="O2421" s="10" t="str">
        <f t="shared" si="542"/>
        <v/>
      </c>
      <c r="Q2421" s="67"/>
      <c r="S2421" s="68"/>
      <c r="T2421" s="68"/>
      <c r="U2421" s="68"/>
      <c r="V2421" s="68"/>
      <c r="X2421" s="69"/>
    </row>
    <row r="2422" ht="12.75" customHeight="1">
      <c r="A2422" s="1" t="s">
        <v>3141</v>
      </c>
      <c r="B2422" s="62" t="s">
        <v>2905</v>
      </c>
      <c r="C2422" s="60" t="str">
        <f t="shared" ref="C2422:C2433" si="543">MID(A2422,1,12)</f>
        <v>M.020.25.101</v>
      </c>
      <c r="D2422" s="51" t="s">
        <v>3140</v>
      </c>
      <c r="E2422" s="62" t="s">
        <v>45</v>
      </c>
      <c r="F2422" s="63" t="str">
        <f t="shared" ref="F2422:F2433" si="544">MID(A2422, 21,85)</f>
        <v>Breakfast bacon</v>
      </c>
      <c r="G2422" s="64">
        <v>2.5818637140846743</v>
      </c>
      <c r="H2422" s="10">
        <f t="shared" si="481"/>
        <v>2.581863714</v>
      </c>
      <c r="I2422" s="65">
        <v>0.07533778961888</v>
      </c>
      <c r="J2422" s="65">
        <v>1.0858400244657942</v>
      </c>
      <c r="K2422" s="65">
        <v>0.0</v>
      </c>
      <c r="L2422" s="65">
        <v>1.4206859</v>
      </c>
      <c r="N2422" s="66">
        <v>9.471239333333335</v>
      </c>
      <c r="O2422" s="10">
        <f t="shared" si="542"/>
        <v>9.471239333</v>
      </c>
      <c r="Q2422" s="67">
        <v>0.0</v>
      </c>
      <c r="S2422" s="68">
        <v>0.47203693</v>
      </c>
      <c r="T2422" s="68">
        <v>0.45856359</v>
      </c>
      <c r="U2422" s="68">
        <v>0.013473344</v>
      </c>
      <c r="V2422" s="68">
        <v>0.0</v>
      </c>
      <c r="X2422" s="69">
        <v>5.8044643E-4</v>
      </c>
    </row>
    <row r="2423" ht="12.75" customHeight="1">
      <c r="A2423" s="1" t="s">
        <v>3142</v>
      </c>
      <c r="B2423" s="62" t="s">
        <v>2905</v>
      </c>
      <c r="C2423" s="60" t="str">
        <f t="shared" si="543"/>
        <v>M.020.25.102</v>
      </c>
      <c r="D2423" s="51" t="s">
        <v>3140</v>
      </c>
      <c r="E2423" s="62" t="s">
        <v>45</v>
      </c>
      <c r="F2423" s="63" t="str">
        <f t="shared" si="544"/>
        <v>Beef smoked meat</v>
      </c>
      <c r="G2423" s="64">
        <v>8.964681546487121</v>
      </c>
      <c r="H2423" s="10">
        <f t="shared" si="481"/>
        <v>8.964681546</v>
      </c>
      <c r="I2423" s="65">
        <v>0.4389067761594</v>
      </c>
      <c r="J2423" s="65">
        <v>4.87565077032772</v>
      </c>
      <c r="K2423" s="65">
        <v>0.0</v>
      </c>
      <c r="L2423" s="65">
        <v>3.650124</v>
      </c>
      <c r="N2423" s="66">
        <v>24.33416</v>
      </c>
      <c r="O2423" s="10">
        <f t="shared" si="542"/>
        <v>24.33416</v>
      </c>
      <c r="Q2423" s="67">
        <v>0.0</v>
      </c>
      <c r="S2423" s="68">
        <v>1.822074</v>
      </c>
      <c r="T2423" s="68">
        <v>1.77485</v>
      </c>
      <c r="U2423" s="68">
        <v>0.047223997</v>
      </c>
      <c r="V2423" s="68">
        <v>0.0</v>
      </c>
      <c r="X2423" s="69">
        <v>0.0021403677</v>
      </c>
    </row>
    <row r="2424" ht="12.75" customHeight="1">
      <c r="A2424" s="1" t="s">
        <v>3143</v>
      </c>
      <c r="B2424" s="62" t="s">
        <v>2905</v>
      </c>
      <c r="C2424" s="60" t="str">
        <f t="shared" si="543"/>
        <v>M.020.25.103</v>
      </c>
      <c r="D2424" s="51" t="s">
        <v>3140</v>
      </c>
      <c r="E2424" s="62" t="s">
        <v>45</v>
      </c>
      <c r="F2424" s="63" t="str">
        <f t="shared" si="544"/>
        <v>Chicken breast</v>
      </c>
      <c r="G2424" s="64">
        <v>2.0904849289068252</v>
      </c>
      <c r="H2424" s="10">
        <f t="shared" si="481"/>
        <v>2.090484929</v>
      </c>
      <c r="I2424" s="65">
        <v>0.03932009028905</v>
      </c>
      <c r="J2424" s="65">
        <v>0.784649938617775</v>
      </c>
      <c r="K2424" s="65">
        <v>0.0</v>
      </c>
      <c r="L2424" s="65">
        <v>1.2665149</v>
      </c>
      <c r="N2424" s="66">
        <v>8.443432666666666</v>
      </c>
      <c r="O2424" s="10">
        <f t="shared" si="542"/>
        <v>8.443432667</v>
      </c>
      <c r="Q2424" s="67">
        <v>0.0</v>
      </c>
      <c r="S2424" s="68">
        <v>0.36921557</v>
      </c>
      <c r="T2424" s="68">
        <v>0.35830986</v>
      </c>
      <c r="U2424" s="68">
        <v>0.010905717</v>
      </c>
      <c r="V2424" s="68">
        <v>0.0</v>
      </c>
      <c r="X2424" s="69">
        <v>4.5946139E-4</v>
      </c>
    </row>
    <row r="2425" ht="12.75" customHeight="1">
      <c r="A2425" s="1" t="s">
        <v>3144</v>
      </c>
      <c r="B2425" s="62" t="s">
        <v>2905</v>
      </c>
      <c r="C2425" s="60" t="str">
        <f t="shared" si="543"/>
        <v>M.020.25.104</v>
      </c>
      <c r="D2425" s="51" t="s">
        <v>3140</v>
      </c>
      <c r="E2425" s="62" t="s">
        <v>45</v>
      </c>
      <c r="F2425" s="63" t="str">
        <f t="shared" si="544"/>
        <v>Filet Americain</v>
      </c>
      <c r="G2425" s="64">
        <v>5.584216679129398</v>
      </c>
      <c r="H2425" s="10">
        <f t="shared" si="481"/>
        <v>5.584216679</v>
      </c>
      <c r="I2425" s="65">
        <v>0.27268969858320996</v>
      </c>
      <c r="J2425" s="65">
        <v>2.9595776805461873</v>
      </c>
      <c r="K2425" s="65">
        <v>0.0</v>
      </c>
      <c r="L2425" s="65">
        <v>2.3519493</v>
      </c>
      <c r="N2425" s="66">
        <v>15.679661999999999</v>
      </c>
      <c r="O2425" s="10">
        <f t="shared" si="542"/>
        <v>15.679662</v>
      </c>
      <c r="Q2425" s="67">
        <v>0.0</v>
      </c>
      <c r="S2425" s="68">
        <v>1.1192861</v>
      </c>
      <c r="T2425" s="68">
        <v>1.0899266</v>
      </c>
      <c r="U2425" s="68">
        <v>0.029359489</v>
      </c>
      <c r="V2425" s="68">
        <v>0.0</v>
      </c>
      <c r="X2425" s="69">
        <v>0.0013259251</v>
      </c>
    </row>
    <row r="2426" ht="12.75" customHeight="1">
      <c r="A2426" s="1" t="s">
        <v>3145</v>
      </c>
      <c r="B2426" s="62" t="s">
        <v>2905</v>
      </c>
      <c r="C2426" s="60" t="str">
        <f t="shared" si="543"/>
        <v>M.020.25.105</v>
      </c>
      <c r="D2426" s="51" t="s">
        <v>3140</v>
      </c>
      <c r="E2426" s="62" t="s">
        <v>45</v>
      </c>
      <c r="F2426" s="63" t="str">
        <f t="shared" si="544"/>
        <v>Gammon</v>
      </c>
      <c r="G2426" s="64">
        <v>2.5818637140846743</v>
      </c>
      <c r="H2426" s="10">
        <f t="shared" si="481"/>
        <v>2.581863714</v>
      </c>
      <c r="I2426" s="65">
        <v>0.07533778961888</v>
      </c>
      <c r="J2426" s="65">
        <v>1.0858400244657942</v>
      </c>
      <c r="K2426" s="65">
        <v>0.0</v>
      </c>
      <c r="L2426" s="65">
        <v>1.4206859</v>
      </c>
      <c r="N2426" s="66">
        <v>9.471239333333335</v>
      </c>
      <c r="O2426" s="10">
        <f t="shared" si="542"/>
        <v>9.471239333</v>
      </c>
      <c r="Q2426" s="67">
        <v>0.0</v>
      </c>
      <c r="S2426" s="68">
        <v>0.47203693</v>
      </c>
      <c r="T2426" s="68">
        <v>0.45856359</v>
      </c>
      <c r="U2426" s="68">
        <v>0.013473344</v>
      </c>
      <c r="V2426" s="68">
        <v>0.0</v>
      </c>
      <c r="X2426" s="69">
        <v>5.8044643E-4</v>
      </c>
    </row>
    <row r="2427" ht="12.75" customHeight="1">
      <c r="A2427" s="1" t="s">
        <v>3146</v>
      </c>
      <c r="B2427" s="62" t="s">
        <v>2905</v>
      </c>
      <c r="C2427" s="60" t="str">
        <f t="shared" si="543"/>
        <v>M.020.25.106</v>
      </c>
      <c r="D2427" s="51" t="s">
        <v>3140</v>
      </c>
      <c r="E2427" s="62" t="s">
        <v>45</v>
      </c>
      <c r="F2427" s="63" t="str">
        <f t="shared" si="544"/>
        <v>Shoulder ham</v>
      </c>
      <c r="G2427" s="64">
        <v>2.5833264711950017</v>
      </c>
      <c r="H2427" s="10">
        <f t="shared" si="481"/>
        <v>2.583326471</v>
      </c>
      <c r="I2427" s="65">
        <v>0.07541716663119</v>
      </c>
      <c r="J2427" s="65">
        <v>1.0863703045638118</v>
      </c>
      <c r="K2427" s="65">
        <v>0.0</v>
      </c>
      <c r="L2427" s="65">
        <v>1.421539</v>
      </c>
      <c r="N2427" s="66">
        <v>9.476926666666667</v>
      </c>
      <c r="O2427" s="10">
        <f t="shared" si="542"/>
        <v>9.476926667</v>
      </c>
      <c r="Q2427" s="67">
        <v>0.0</v>
      </c>
      <c r="S2427" s="68">
        <v>0.47227523</v>
      </c>
      <c r="T2427" s="68">
        <v>0.45879445</v>
      </c>
      <c r="U2427" s="68">
        <v>0.013480781</v>
      </c>
      <c r="V2427" s="68">
        <v>0.0</v>
      </c>
      <c r="X2427" s="69">
        <v>5.8076934E-4</v>
      </c>
    </row>
    <row r="2428" ht="12.75" customHeight="1">
      <c r="A2428" s="1" t="s">
        <v>3147</v>
      </c>
      <c r="B2428" s="62" t="s">
        <v>2905</v>
      </c>
      <c r="C2428" s="60" t="str">
        <f t="shared" si="543"/>
        <v>M.020.25.107</v>
      </c>
      <c r="D2428" s="51" t="s">
        <v>3140</v>
      </c>
      <c r="E2428" s="62" t="s">
        <v>45</v>
      </c>
      <c r="F2428" s="63" t="str">
        <f t="shared" si="544"/>
        <v>Spread liver sausage</v>
      </c>
      <c r="G2428" s="64">
        <v>1.261651872762896</v>
      </c>
      <c r="H2428" s="10">
        <f t="shared" si="481"/>
        <v>1.261651873</v>
      </c>
      <c r="I2428" s="65">
        <v>0.033807719085820004</v>
      </c>
      <c r="J2428" s="65">
        <v>0.496913433677076</v>
      </c>
      <c r="K2428" s="65">
        <v>0.0</v>
      </c>
      <c r="L2428" s="65">
        <v>0.73093072</v>
      </c>
      <c r="N2428" s="66">
        <v>4.872871466666667</v>
      </c>
      <c r="O2428" s="10">
        <f t="shared" si="542"/>
        <v>4.872871467</v>
      </c>
      <c r="Q2428" s="67">
        <v>0.0</v>
      </c>
      <c r="S2428" s="68">
        <v>0.2248538</v>
      </c>
      <c r="T2428" s="68">
        <v>0.21828213</v>
      </c>
      <c r="U2428" s="68">
        <v>0.0065716732</v>
      </c>
      <c r="V2428" s="68">
        <v>0.0</v>
      </c>
      <c r="X2428" s="69">
        <v>2.8044043E-4</v>
      </c>
    </row>
    <row r="2429" ht="12.75" customHeight="1">
      <c r="A2429" s="1" t="s">
        <v>3148</v>
      </c>
      <c r="B2429" s="62" t="s">
        <v>2905</v>
      </c>
      <c r="C2429" s="60" t="str">
        <f t="shared" si="543"/>
        <v>M.020.25.108</v>
      </c>
      <c r="D2429" s="51" t="s">
        <v>3140</v>
      </c>
      <c r="E2429" s="62" t="s">
        <v>45</v>
      </c>
      <c r="F2429" s="63" t="str">
        <f t="shared" si="544"/>
        <v>Roast minced meat</v>
      </c>
      <c r="G2429" s="64">
        <v>2.133087313661753</v>
      </c>
      <c r="H2429" s="10">
        <f t="shared" si="481"/>
        <v>2.133087314</v>
      </c>
      <c r="I2429" s="65">
        <v>0.07579352677628</v>
      </c>
      <c r="J2429" s="65">
        <v>0.987901586885473</v>
      </c>
      <c r="K2429" s="65">
        <v>0.0</v>
      </c>
      <c r="L2429" s="65">
        <v>1.0693922</v>
      </c>
      <c r="N2429" s="66">
        <v>7.129281333333334</v>
      </c>
      <c r="O2429" s="10">
        <f t="shared" si="542"/>
        <v>7.129281333</v>
      </c>
      <c r="Q2429" s="67">
        <v>0.0</v>
      </c>
      <c r="S2429" s="68">
        <v>0.40496265</v>
      </c>
      <c r="T2429" s="68">
        <v>0.39379844</v>
      </c>
      <c r="U2429" s="68">
        <v>0.011164211</v>
      </c>
      <c r="V2429" s="68">
        <v>0.0</v>
      </c>
      <c r="X2429" s="69">
        <v>4.8941633E-4</v>
      </c>
    </row>
    <row r="2430" ht="12.75" customHeight="1">
      <c r="A2430" s="1" t="s">
        <v>3149</v>
      </c>
      <c r="B2430" s="62" t="s">
        <v>2905</v>
      </c>
      <c r="C2430" s="60" t="str">
        <f t="shared" si="543"/>
        <v>M.020.25.109</v>
      </c>
      <c r="D2430" s="51" t="s">
        <v>3140</v>
      </c>
      <c r="E2430" s="62" t="s">
        <v>45</v>
      </c>
      <c r="F2430" s="63" t="str">
        <f t="shared" si="544"/>
        <v>Cooked sausage</v>
      </c>
      <c r="G2430" s="64">
        <v>4.466650192255527</v>
      </c>
      <c r="H2430" s="10">
        <f t="shared" si="481"/>
        <v>4.466650192</v>
      </c>
      <c r="I2430" s="65">
        <v>0.19348715172269998</v>
      </c>
      <c r="J2430" s="65">
        <v>2.260361540532826</v>
      </c>
      <c r="K2430" s="65">
        <v>0.0</v>
      </c>
      <c r="L2430" s="65">
        <v>2.0128015</v>
      </c>
      <c r="N2430" s="66">
        <v>13.418676666666668</v>
      </c>
      <c r="O2430" s="10">
        <f t="shared" si="542"/>
        <v>13.41867667</v>
      </c>
      <c r="Q2430" s="67">
        <v>0.0</v>
      </c>
      <c r="S2430" s="68">
        <v>0.87954009</v>
      </c>
      <c r="T2430" s="68">
        <v>0.85608003</v>
      </c>
      <c r="U2430" s="68">
        <v>0.023460065</v>
      </c>
      <c r="V2430" s="68">
        <v>0.0</v>
      </c>
      <c r="X2430" s="69">
        <v>0.0010476933</v>
      </c>
    </row>
    <row r="2431" ht="12.75" customHeight="1">
      <c r="A2431" s="1" t="s">
        <v>3150</v>
      </c>
      <c r="B2431" s="62" t="s">
        <v>2905</v>
      </c>
      <c r="C2431" s="60" t="str">
        <f t="shared" si="543"/>
        <v>M.020.25.110</v>
      </c>
      <c r="D2431" s="51" t="s">
        <v>3140</v>
      </c>
      <c r="E2431" s="62" t="s">
        <v>45</v>
      </c>
      <c r="F2431" s="63" t="str">
        <f t="shared" si="544"/>
        <v>Sandwich sausage</v>
      </c>
      <c r="G2431" s="64">
        <v>1.489468186832381</v>
      </c>
      <c r="H2431" s="10">
        <f t="shared" si="481"/>
        <v>1.489468187</v>
      </c>
      <c r="I2431" s="65">
        <v>0.04196853190883</v>
      </c>
      <c r="J2431" s="65">
        <v>0.6077749249235509</v>
      </c>
      <c r="K2431" s="65">
        <v>0.0</v>
      </c>
      <c r="L2431" s="65">
        <v>0.83972473</v>
      </c>
      <c r="N2431" s="66">
        <v>5.598164866666667</v>
      </c>
      <c r="O2431" s="10">
        <f t="shared" si="542"/>
        <v>5.598164867</v>
      </c>
      <c r="Q2431" s="67">
        <v>0.0</v>
      </c>
      <c r="S2431" s="68">
        <v>0.26901765</v>
      </c>
      <c r="T2431" s="68">
        <v>0.26125282</v>
      </c>
      <c r="U2431" s="68">
        <v>0.007764825</v>
      </c>
      <c r="V2431" s="68">
        <v>0.0</v>
      </c>
      <c r="X2431" s="69">
        <v>3.3307035E-4</v>
      </c>
    </row>
    <row r="2432" ht="12.75" customHeight="1">
      <c r="A2432" s="1" t="s">
        <v>3151</v>
      </c>
      <c r="B2432" s="62" t="s">
        <v>2905</v>
      </c>
      <c r="C2432" s="60" t="str">
        <f t="shared" si="543"/>
        <v>M.020.25.111</v>
      </c>
      <c r="D2432" s="51" t="s">
        <v>3140</v>
      </c>
      <c r="E2432" s="62" t="s">
        <v>45</v>
      </c>
      <c r="F2432" s="63" t="str">
        <f t="shared" si="544"/>
        <v>Beef sausage</v>
      </c>
      <c r="G2432" s="64">
        <v>7.886011908763541</v>
      </c>
      <c r="H2432" s="10">
        <f t="shared" si="481"/>
        <v>7.886011909</v>
      </c>
      <c r="I2432" s="65">
        <v>0.38493509059389003</v>
      </c>
      <c r="J2432" s="65">
        <v>4.27894421816965</v>
      </c>
      <c r="K2432" s="65">
        <v>0.0</v>
      </c>
      <c r="L2432" s="65">
        <v>3.2221326</v>
      </c>
      <c r="N2432" s="66">
        <v>21.480884000000003</v>
      </c>
      <c r="O2432" s="10">
        <f t="shared" si="542"/>
        <v>21.480884</v>
      </c>
      <c r="Q2432" s="67">
        <v>0.0</v>
      </c>
      <c r="S2432" s="68">
        <v>1.601144</v>
      </c>
      <c r="T2432" s="68">
        <v>1.5596056</v>
      </c>
      <c r="U2432" s="68">
        <v>0.041538343</v>
      </c>
      <c r="V2432" s="68">
        <v>0.0</v>
      </c>
      <c r="X2432" s="69">
        <v>0.0018818236</v>
      </c>
    </row>
    <row r="2433" ht="12.75" customHeight="1">
      <c r="A2433" s="1" t="s">
        <v>3152</v>
      </c>
      <c r="B2433" s="62" t="s">
        <v>2905</v>
      </c>
      <c r="C2433" s="60" t="str">
        <f t="shared" si="543"/>
        <v>M.020.25.112</v>
      </c>
      <c r="D2433" s="51" t="s">
        <v>3140</v>
      </c>
      <c r="E2433" s="62" t="s">
        <v>45</v>
      </c>
      <c r="F2433" s="63" t="str">
        <f t="shared" si="544"/>
        <v>Saveloy</v>
      </c>
      <c r="G2433" s="64">
        <v>4.269084904711092</v>
      </c>
      <c r="H2433" s="10">
        <f t="shared" si="481"/>
        <v>4.269084905</v>
      </c>
      <c r="I2433" s="65">
        <v>0.18081914484428</v>
      </c>
      <c r="J2433" s="65">
        <v>2.136038059866812</v>
      </c>
      <c r="K2433" s="65">
        <v>0.0</v>
      </c>
      <c r="L2433" s="65">
        <v>1.9522277</v>
      </c>
      <c r="N2433" s="66">
        <v>13.014851333333333</v>
      </c>
      <c r="O2433" s="10">
        <f t="shared" si="542"/>
        <v>13.01485133</v>
      </c>
      <c r="Q2433" s="67">
        <v>0.0</v>
      </c>
      <c r="S2433" s="68">
        <v>0.83675766</v>
      </c>
      <c r="T2433" s="68">
        <v>0.81434265</v>
      </c>
      <c r="U2433" s="68">
        <v>0.022415015</v>
      </c>
      <c r="V2433" s="68">
        <v>0.0</v>
      </c>
      <c r="X2433" s="69">
        <v>9.9866735E-4</v>
      </c>
    </row>
    <row r="2434" ht="12.75" customHeight="1">
      <c r="B2434" s="62"/>
      <c r="C2434" s="60"/>
      <c r="D2434" s="75" t="s">
        <v>3153</v>
      </c>
      <c r="E2434" s="62"/>
      <c r="F2434" s="63"/>
      <c r="G2434" s="64"/>
      <c r="H2434" s="10"/>
      <c r="I2434" s="65"/>
      <c r="J2434" s="65"/>
      <c r="K2434" s="65"/>
      <c r="L2434" s="65"/>
      <c r="N2434" s="66"/>
      <c r="O2434" s="10"/>
      <c r="Q2434" s="67"/>
      <c r="S2434" s="68"/>
      <c r="T2434" s="68"/>
      <c r="U2434" s="68"/>
      <c r="V2434" s="68"/>
      <c r="X2434" s="69"/>
    </row>
    <row r="2435" ht="12.75" customHeight="1">
      <c r="A2435" s="1" t="s">
        <v>3154</v>
      </c>
      <c r="B2435" s="62" t="s">
        <v>2905</v>
      </c>
      <c r="C2435" s="60" t="str">
        <f t="shared" ref="C2435:C2437" si="545">MID(A2435,1,12)</f>
        <v>N.010.10.101</v>
      </c>
      <c r="D2435" s="51" t="s">
        <v>3153</v>
      </c>
      <c r="E2435" s="62" t="s">
        <v>45</v>
      </c>
      <c r="F2435" s="63" t="str">
        <f t="shared" ref="F2435:F2437" si="546">MID(A2435, 21,85)</f>
        <v>Baking (1.5 MJe per kg product)</v>
      </c>
      <c r="G2435" s="64">
        <v>0.03784793754</v>
      </c>
      <c r="H2435" s="10">
        <f t="shared" ref="H2435:H2437" si="547">G2435</f>
        <v>0.03784793754</v>
      </c>
      <c r="I2435" s="65">
        <v>0.00119925995</v>
      </c>
      <c r="J2435" s="65">
        <v>0.002484448</v>
      </c>
      <c r="K2435" s="65">
        <v>0.0060059095900000005</v>
      </c>
      <c r="L2435" s="65">
        <v>0.02815832</v>
      </c>
      <c r="N2435" s="66">
        <v>0.18772213333333335</v>
      </c>
      <c r="O2435" s="10">
        <f t="shared" ref="O2435:O2437" si="548">N2435</f>
        <v>0.1877221333</v>
      </c>
      <c r="Q2435" s="67">
        <v>3.5829717</v>
      </c>
      <c r="S2435" s="68">
        <v>0.0035755576</v>
      </c>
      <c r="T2435" s="68">
        <v>0.0033583915</v>
      </c>
      <c r="U2435" s="68">
        <v>1.5159039E-4</v>
      </c>
      <c r="V2435" s="68">
        <v>6.5575644E-5</v>
      </c>
      <c r="X2435" s="69">
        <v>9.5095726E-6</v>
      </c>
    </row>
    <row r="2436" ht="12.75" customHeight="1">
      <c r="A2436" s="1" t="s">
        <v>3155</v>
      </c>
      <c r="B2436" s="62" t="s">
        <v>2905</v>
      </c>
      <c r="C2436" s="60" t="str">
        <f t="shared" si="545"/>
        <v>N.010.10.102</v>
      </c>
      <c r="D2436" s="51" t="s">
        <v>3153</v>
      </c>
      <c r="E2436" s="62" t="s">
        <v>45</v>
      </c>
      <c r="F2436" s="63" t="str">
        <f t="shared" si="546"/>
        <v>Boiling (1.1 MJe per kg product)</v>
      </c>
      <c r="G2436" s="64">
        <v>0.027755154415</v>
      </c>
      <c r="H2436" s="10">
        <f t="shared" si="547"/>
        <v>0.02775515442</v>
      </c>
      <c r="I2436" s="65">
        <v>8.7945726E-4</v>
      </c>
      <c r="J2436" s="65">
        <v>0.00182192849</v>
      </c>
      <c r="K2436" s="65">
        <v>0.004404333665</v>
      </c>
      <c r="L2436" s="65">
        <v>0.020649435</v>
      </c>
      <c r="N2436" s="66">
        <v>0.1376629</v>
      </c>
      <c r="O2436" s="10">
        <f t="shared" si="548"/>
        <v>0.1376629</v>
      </c>
      <c r="Q2436" s="67">
        <v>2.6275126</v>
      </c>
      <c r="S2436" s="68">
        <v>0.0026220756</v>
      </c>
      <c r="T2436" s="68">
        <v>0.0024628205</v>
      </c>
      <c r="U2436" s="68">
        <v>1.1116629E-4</v>
      </c>
      <c r="V2436" s="68">
        <v>4.8088806E-5</v>
      </c>
      <c r="X2436" s="69">
        <v>6.9736865E-6</v>
      </c>
    </row>
    <row r="2437" ht="12.75" customHeight="1">
      <c r="A2437" s="1" t="s">
        <v>3156</v>
      </c>
      <c r="B2437" s="62" t="s">
        <v>2905</v>
      </c>
      <c r="C2437" s="60" t="str">
        <f t="shared" si="545"/>
        <v>N.010.10.103</v>
      </c>
      <c r="D2437" s="51" t="s">
        <v>3153</v>
      </c>
      <c r="E2437" s="62" t="s">
        <v>45</v>
      </c>
      <c r="F2437" s="63" t="str">
        <f t="shared" si="546"/>
        <v>Roasting chicken (3 MJe per kg product)</v>
      </c>
      <c r="G2437" s="64">
        <v>0.07569587488</v>
      </c>
      <c r="H2437" s="10">
        <f t="shared" si="547"/>
        <v>0.07569587488</v>
      </c>
      <c r="I2437" s="65">
        <v>0.0023985198</v>
      </c>
      <c r="J2437" s="65">
        <v>0.0049688959</v>
      </c>
      <c r="K2437" s="65">
        <v>0.012011819180000001</v>
      </c>
      <c r="L2437" s="65">
        <v>0.05631664</v>
      </c>
      <c r="N2437" s="66">
        <v>0.3754442666666667</v>
      </c>
      <c r="O2437" s="10">
        <f t="shared" si="548"/>
        <v>0.3754442667</v>
      </c>
      <c r="Q2437" s="67">
        <v>7.1659434</v>
      </c>
      <c r="S2437" s="68">
        <v>0.0071511151</v>
      </c>
      <c r="T2437" s="68">
        <v>0.0067167831</v>
      </c>
      <c r="U2437" s="68">
        <v>3.0318079E-4</v>
      </c>
      <c r="V2437" s="68">
        <v>1.3115129E-4</v>
      </c>
      <c r="X2437" s="69">
        <v>1.9019145E-5</v>
      </c>
    </row>
    <row r="2438" ht="12.75" customHeight="1">
      <c r="B2438" s="62"/>
      <c r="C2438" s="60"/>
      <c r="D2438" s="75" t="s">
        <v>3157</v>
      </c>
      <c r="E2438" s="62"/>
      <c r="F2438" s="63"/>
      <c r="G2438" s="64"/>
      <c r="H2438" s="10"/>
      <c r="I2438" s="65"/>
      <c r="J2438" s="65"/>
      <c r="K2438" s="65"/>
      <c r="L2438" s="65"/>
      <c r="N2438" s="66"/>
      <c r="O2438" s="10"/>
      <c r="Q2438" s="67"/>
      <c r="S2438" s="68"/>
      <c r="T2438" s="68"/>
      <c r="U2438" s="68"/>
      <c r="V2438" s="68"/>
      <c r="X2438" s="69"/>
    </row>
    <row r="2439" ht="12.75" customHeight="1">
      <c r="B2439" s="62"/>
      <c r="C2439" s="60"/>
      <c r="D2439" s="75" t="s">
        <v>3158</v>
      </c>
      <c r="E2439" s="62"/>
      <c r="F2439" s="63"/>
      <c r="G2439" s="64"/>
      <c r="H2439" s="10"/>
      <c r="I2439" s="65"/>
      <c r="J2439" s="65"/>
      <c r="K2439" s="65"/>
      <c r="L2439" s="65"/>
      <c r="N2439" s="66"/>
      <c r="O2439" s="10"/>
      <c r="Q2439" s="67"/>
      <c r="S2439" s="68"/>
      <c r="T2439" s="68"/>
      <c r="U2439" s="68"/>
      <c r="V2439" s="68"/>
      <c r="X2439" s="69"/>
    </row>
    <row r="2440" ht="12.75" customHeight="1">
      <c r="A2440" s="1" t="s">
        <v>3159</v>
      </c>
      <c r="B2440" s="62" t="s">
        <v>3160</v>
      </c>
      <c r="C2440" s="60" t="str">
        <f t="shared" ref="C2440:C2534" si="549">MID(A2440,1,12)</f>
        <v>P.030.00.100</v>
      </c>
      <c r="D2440" s="1" t="s">
        <v>3158</v>
      </c>
      <c r="E2440" s="62" t="s">
        <v>45</v>
      </c>
      <c r="F2440" s="63" t="str">
        <f t="shared" ref="F2440:F2534" si="550">MID(A2440, 21,85)</f>
        <v>1,4-dioxanes (n=1, std= -)</v>
      </c>
      <c r="G2440" s="64">
        <v>0.7200843662959254</v>
      </c>
      <c r="H2440" s="10"/>
      <c r="I2440" s="65">
        <v>0.020352690779999995</v>
      </c>
      <c r="J2440" s="65">
        <v>0.072458738052</v>
      </c>
      <c r="K2440" s="65">
        <v>0.009918387463925479</v>
      </c>
      <c r="L2440" s="65">
        <v>0.61735455</v>
      </c>
      <c r="N2440" s="66">
        <v>4.115697</v>
      </c>
      <c r="O2440" s="10"/>
      <c r="Q2440" s="67">
        <v>60.523572</v>
      </c>
      <c r="S2440" s="68">
        <v>0.088158745</v>
      </c>
      <c r="T2440" s="68">
        <v>0.080736995</v>
      </c>
      <c r="U2440" s="68">
        <v>0.0034800699</v>
      </c>
      <c r="V2440" s="68">
        <v>0.0039416806</v>
      </c>
      <c r="X2440" s="69">
        <v>2.0731718E-4</v>
      </c>
    </row>
    <row r="2441" ht="12.75" customHeight="1">
      <c r="A2441" s="1" t="s">
        <v>3161</v>
      </c>
      <c r="B2441" s="62" t="s">
        <v>3160</v>
      </c>
      <c r="C2441" s="60" t="str">
        <f t="shared" si="549"/>
        <v>P.030.00.200</v>
      </c>
      <c r="D2441" s="1" t="s">
        <v>3158</v>
      </c>
      <c r="E2441" s="62" t="s">
        <v>45</v>
      </c>
      <c r="F2441" s="63" t="str">
        <f t="shared" si="550"/>
        <v>1-hydroxy-4-unsubstituted benzenoids (n=1, std=-)</v>
      </c>
      <c r="G2441" s="64">
        <v>0.3187041701814804</v>
      </c>
      <c r="H2441" s="10"/>
      <c r="I2441" s="65">
        <v>0.01088692646365</v>
      </c>
      <c r="J2441" s="65">
        <v>0.0393172437178304</v>
      </c>
      <c r="K2441" s="65">
        <v>0.0</v>
      </c>
      <c r="L2441" s="65">
        <v>0.2685</v>
      </c>
      <c r="N2441" s="66">
        <v>1.7900000000000003</v>
      </c>
      <c r="O2441" s="10"/>
      <c r="Q2441" s="67">
        <v>38.805</v>
      </c>
      <c r="S2441" s="68">
        <v>0.043321169</v>
      </c>
      <c r="T2441" s="68">
        <v>0.03903593</v>
      </c>
      <c r="U2441" s="68">
        <v>0.0015878604</v>
      </c>
      <c r="V2441" s="68">
        <v>0.0026973778</v>
      </c>
      <c r="X2441" s="69">
        <v>1.0887988E-4</v>
      </c>
    </row>
    <row r="2442" ht="12.75" customHeight="1">
      <c r="A2442" s="1" t="s">
        <v>3162</v>
      </c>
      <c r="B2442" s="62" t="s">
        <v>3160</v>
      </c>
      <c r="C2442" s="60" t="str">
        <f t="shared" si="549"/>
        <v>P.030.00.300</v>
      </c>
      <c r="D2442" s="1" t="s">
        <v>3158</v>
      </c>
      <c r="E2442" s="62" t="s">
        <v>45</v>
      </c>
      <c r="F2442" s="63" t="str">
        <f t="shared" si="550"/>
        <v>2-benzimidazolylcarbamic acid esters (n=1, std=-)</v>
      </c>
      <c r="G2442" s="64">
        <v>3.050881497704</v>
      </c>
      <c r="H2442" s="10"/>
      <c r="I2442" s="65">
        <v>0.1250309163</v>
      </c>
      <c r="J2442" s="65">
        <v>0.257930998304</v>
      </c>
      <c r="K2442" s="65">
        <v>0.17719518310000001</v>
      </c>
      <c r="L2442" s="65">
        <v>2.4907244</v>
      </c>
      <c r="N2442" s="66">
        <v>16.604829333333335</v>
      </c>
      <c r="O2442" s="10"/>
      <c r="Q2442" s="67">
        <v>263.32814</v>
      </c>
      <c r="S2442" s="68">
        <v>0.33174194</v>
      </c>
      <c r="T2442" s="68">
        <v>0.3046802</v>
      </c>
      <c r="U2442" s="68">
        <v>0.01355524</v>
      </c>
      <c r="V2442" s="68">
        <v>0.013506493</v>
      </c>
      <c r="X2442" s="69">
        <v>8.4023983E-4</v>
      </c>
    </row>
    <row r="2443" ht="12.75" customHeight="1">
      <c r="A2443" s="1" t="s">
        <v>3163</v>
      </c>
      <c r="B2443" s="62" t="s">
        <v>3160</v>
      </c>
      <c r="C2443" s="60" t="str">
        <f t="shared" si="549"/>
        <v>P.030.00.400</v>
      </c>
      <c r="D2443" s="1" t="s">
        <v>3158</v>
      </c>
      <c r="E2443" s="62" t="s">
        <v>45</v>
      </c>
      <c r="F2443" s="63" t="str">
        <f t="shared" si="550"/>
        <v>2-phenoxypropionic acids (n=1, std=-)</v>
      </c>
      <c r="G2443" s="64">
        <v>5.482656391192</v>
      </c>
      <c r="H2443" s="10"/>
      <c r="I2443" s="65">
        <v>0.19157665528</v>
      </c>
      <c r="J2443" s="65">
        <v>0.39384303191199993</v>
      </c>
      <c r="K2443" s="65">
        <v>0.671547004</v>
      </c>
      <c r="L2443" s="65">
        <v>4.2256897</v>
      </c>
      <c r="N2443" s="66">
        <v>28.17126466666667</v>
      </c>
      <c r="O2443" s="10"/>
      <c r="Q2443" s="67">
        <v>503.10311</v>
      </c>
      <c r="S2443" s="68">
        <v>0.54561564</v>
      </c>
      <c r="T2443" s="68">
        <v>0.50793312</v>
      </c>
      <c r="U2443" s="68">
        <v>0.022825588</v>
      </c>
      <c r="V2443" s="68">
        <v>0.014856941</v>
      </c>
      <c r="X2443" s="69">
        <v>0.0014255583</v>
      </c>
    </row>
    <row r="2444" ht="12.75" customHeight="1">
      <c r="A2444" s="1" t="s">
        <v>3164</v>
      </c>
      <c r="B2444" s="62" t="s">
        <v>3160</v>
      </c>
      <c r="C2444" s="60" t="str">
        <f t="shared" si="549"/>
        <v>P.030.11.100</v>
      </c>
      <c r="D2444" s="1" t="s">
        <v>3158</v>
      </c>
      <c r="E2444" s="62" t="s">
        <v>45</v>
      </c>
      <c r="F2444" s="63" t="str">
        <f t="shared" si="550"/>
        <v>Acetylides (n=1, std=-)</v>
      </c>
      <c r="G2444" s="64">
        <v>0.2915432013178786</v>
      </c>
      <c r="H2444" s="10"/>
      <c r="I2444" s="65">
        <v>0.009648065118990001</v>
      </c>
      <c r="J2444" s="65">
        <v>0.0358951361988886</v>
      </c>
      <c r="K2444" s="65">
        <v>0.0</v>
      </c>
      <c r="L2444" s="65">
        <v>0.246</v>
      </c>
      <c r="N2444" s="66">
        <v>1.6400000000000001</v>
      </c>
      <c r="O2444" s="10"/>
      <c r="Q2444" s="67">
        <v>34.089</v>
      </c>
      <c r="S2444" s="68">
        <v>0.039563901</v>
      </c>
      <c r="T2444" s="68">
        <v>0.035742191</v>
      </c>
      <c r="U2444" s="68">
        <v>0.0014543143</v>
      </c>
      <c r="V2444" s="68">
        <v>0.0023673955</v>
      </c>
      <c r="X2444" s="69">
        <v>9.7704041E-5</v>
      </c>
    </row>
    <row r="2445" ht="12.75" customHeight="1">
      <c r="A2445" s="1" t="s">
        <v>3165</v>
      </c>
      <c r="B2445" s="62" t="s">
        <v>3160</v>
      </c>
      <c r="C2445" s="60" t="str">
        <f t="shared" si="549"/>
        <v>P.030.11.200</v>
      </c>
      <c r="D2445" s="1" t="s">
        <v>3158</v>
      </c>
      <c r="E2445" s="62" t="s">
        <v>45</v>
      </c>
      <c r="F2445" s="63" t="str">
        <f t="shared" si="550"/>
        <v>Alcohols and polyols (n=11, std=0.24)</v>
      </c>
      <c r="G2445" s="64">
        <v>0.4979901061385271</v>
      </c>
      <c r="H2445" s="10"/>
      <c r="I2445" s="65">
        <v>0.037390141339999995</v>
      </c>
      <c r="J2445" s="65">
        <v>0.057234901801</v>
      </c>
      <c r="K2445" s="65">
        <v>0.00956352299752709</v>
      </c>
      <c r="L2445" s="65">
        <v>0.39380154</v>
      </c>
      <c r="N2445" s="66">
        <v>2.6253436000000003</v>
      </c>
      <c r="O2445" s="10"/>
      <c r="Q2445" s="67">
        <v>64.280246</v>
      </c>
      <c r="S2445" s="68">
        <v>0.057829624</v>
      </c>
      <c r="T2445" s="68">
        <v>0.051368948</v>
      </c>
      <c r="U2445" s="68">
        <v>0.0022743635</v>
      </c>
      <c r="V2445" s="68">
        <v>0.004186313</v>
      </c>
      <c r="X2445" s="69">
        <v>1.6706105E-4</v>
      </c>
    </row>
    <row r="2446" ht="12.75" customHeight="1">
      <c r="A2446" s="1" t="s">
        <v>3166</v>
      </c>
      <c r="B2446" s="62" t="s">
        <v>3160</v>
      </c>
      <c r="C2446" s="60" t="str">
        <f t="shared" si="549"/>
        <v>P.030.11.300</v>
      </c>
      <c r="D2446" s="1" t="s">
        <v>3158</v>
      </c>
      <c r="E2446" s="62" t="s">
        <v>45</v>
      </c>
      <c r="F2446" s="63" t="str">
        <f t="shared" si="550"/>
        <v>Alkali metal chlorides (n=3, std=0.006)</v>
      </c>
      <c r="G2446" s="64">
        <v>0.0241508479852</v>
      </c>
      <c r="H2446" s="10"/>
      <c r="I2446" s="65">
        <v>8.854173947999999E-4</v>
      </c>
      <c r="J2446" s="65">
        <v>0.0076722637435</v>
      </c>
      <c r="K2446" s="65">
        <v>0.0016487008469</v>
      </c>
      <c r="L2446" s="65">
        <v>0.013944466</v>
      </c>
      <c r="N2446" s="66">
        <v>0.09296310666666667</v>
      </c>
      <c r="O2446" s="10"/>
      <c r="Q2446" s="67">
        <v>3.3585456</v>
      </c>
      <c r="S2446" s="68">
        <v>0.0037171941</v>
      </c>
      <c r="T2446" s="68">
        <v>0.0035521595</v>
      </c>
      <c r="U2446" s="68">
        <v>1.114958E-4</v>
      </c>
      <c r="V2446" s="68">
        <v>5.3538753E-5</v>
      </c>
      <c r="X2446" s="69">
        <v>6.9889464E-6</v>
      </c>
    </row>
    <row r="2447" ht="12.75" customHeight="1">
      <c r="A2447" s="1" t="s">
        <v>3167</v>
      </c>
      <c r="B2447" s="62" t="s">
        <v>3160</v>
      </c>
      <c r="C2447" s="60" t="str">
        <f t="shared" si="549"/>
        <v>P.030.11.400</v>
      </c>
      <c r="D2447" s="1" t="s">
        <v>3158</v>
      </c>
      <c r="E2447" s="62" t="s">
        <v>45</v>
      </c>
      <c r="F2447" s="63" t="str">
        <f t="shared" si="550"/>
        <v>Alkali metal hydroxides (n=4, std=0.1)</v>
      </c>
      <c r="G2447" s="64">
        <v>0.15281924391649998</v>
      </c>
      <c r="H2447" s="10"/>
      <c r="I2447" s="65">
        <v>0.012519766554999999</v>
      </c>
      <c r="J2447" s="65">
        <v>0.024429362091499998</v>
      </c>
      <c r="K2447" s="65">
        <v>0.005970935270000001</v>
      </c>
      <c r="L2447" s="65">
        <v>0.10989918</v>
      </c>
      <c r="N2447" s="66">
        <v>0.7326612</v>
      </c>
      <c r="O2447" s="10"/>
      <c r="Q2447" s="67">
        <v>5.1831951</v>
      </c>
      <c r="S2447" s="68">
        <v>0.017983284</v>
      </c>
      <c r="T2447" s="68">
        <v>0.017112778</v>
      </c>
      <c r="U2447" s="68">
        <v>6.6694248E-4</v>
      </c>
      <c r="V2447" s="68">
        <v>2.0356408E-4</v>
      </c>
      <c r="X2447" s="69">
        <v>4.0977058E-5</v>
      </c>
    </row>
    <row r="2448" ht="12.75" customHeight="1">
      <c r="A2448" s="1" t="s">
        <v>3168</v>
      </c>
      <c r="B2448" s="62" t="s">
        <v>3160</v>
      </c>
      <c r="C2448" s="60" t="str">
        <f t="shared" si="549"/>
        <v>P.030.11.500</v>
      </c>
      <c r="D2448" s="1" t="s">
        <v>3158</v>
      </c>
      <c r="E2448" s="62" t="s">
        <v>45</v>
      </c>
      <c r="F2448" s="63" t="str">
        <f t="shared" si="550"/>
        <v>Alkali metal hypochlorites (n=2, std=0.015)</v>
      </c>
      <c r="G2448" s="64">
        <v>0.16821968125179138</v>
      </c>
      <c r="H2448" s="10"/>
      <c r="I2448" s="65">
        <v>0.017760642752007</v>
      </c>
      <c r="J2448" s="65">
        <v>0.03345903849978437</v>
      </c>
      <c r="K2448" s="65">
        <v>0.0</v>
      </c>
      <c r="L2448" s="65">
        <v>0.117</v>
      </c>
      <c r="N2448" s="66">
        <v>0.78</v>
      </c>
      <c r="O2448" s="10"/>
      <c r="Q2448" s="67">
        <v>0.0</v>
      </c>
      <c r="S2448" s="68">
        <v>0.022038158</v>
      </c>
      <c r="T2448" s="68">
        <v>0.021272406</v>
      </c>
      <c r="U2448" s="68">
        <v>7.6575221E-4</v>
      </c>
      <c r="V2448" s="68">
        <v>0.0</v>
      </c>
      <c r="X2448" s="69">
        <v>4.5611842E-5</v>
      </c>
    </row>
    <row r="2449" ht="12.75" customHeight="1">
      <c r="A2449" s="1" t="s">
        <v>3169</v>
      </c>
      <c r="B2449" s="62" t="s">
        <v>3160</v>
      </c>
      <c r="C2449" s="60" t="str">
        <f t="shared" si="549"/>
        <v>P.030.11.600</v>
      </c>
      <c r="D2449" s="1" t="s">
        <v>3158</v>
      </c>
      <c r="E2449" s="62" t="s">
        <v>45</v>
      </c>
      <c r="F2449" s="63" t="str">
        <f t="shared" si="550"/>
        <v>Alkali metal silicates (n=2, std=0.22)</v>
      </c>
      <c r="G2449" s="64">
        <v>0.4007179584089</v>
      </c>
      <c r="H2449" s="10"/>
      <c r="I2449" s="65">
        <v>0.01685091892</v>
      </c>
      <c r="J2449" s="65">
        <v>0.022928682008899998</v>
      </c>
      <c r="K2449" s="65">
        <v>0.00403487748</v>
      </c>
      <c r="L2449" s="65">
        <v>0.35690348</v>
      </c>
      <c r="N2449" s="66">
        <v>2.3793565333333335</v>
      </c>
      <c r="O2449" s="10"/>
      <c r="Q2449" s="67">
        <v>35.295451</v>
      </c>
      <c r="S2449" s="68">
        <v>0.044149799</v>
      </c>
      <c r="T2449" s="68">
        <v>0.039799336</v>
      </c>
      <c r="U2449" s="68">
        <v>0.0018728486</v>
      </c>
      <c r="V2449" s="68">
        <v>0.0024776148</v>
      </c>
      <c r="X2449" s="69">
        <v>1.1646562E-4</v>
      </c>
    </row>
    <row r="2450" ht="12.75" customHeight="1">
      <c r="A2450" s="1" t="s">
        <v>3170</v>
      </c>
      <c r="B2450" s="62" t="s">
        <v>3160</v>
      </c>
      <c r="C2450" s="60" t="str">
        <f t="shared" si="549"/>
        <v>P.030.11.700</v>
      </c>
      <c r="D2450" s="1" t="s">
        <v>3158</v>
      </c>
      <c r="E2450" s="62" t="s">
        <v>45</v>
      </c>
      <c r="F2450" s="63" t="str">
        <f t="shared" si="550"/>
        <v>Alkaline earth metal oxides (n=2, std=0.23)</v>
      </c>
      <c r="G2450" s="64">
        <v>0.20471451355186926</v>
      </c>
      <c r="H2450" s="10"/>
      <c r="I2450" s="65">
        <v>0.007353844180000001</v>
      </c>
      <c r="J2450" s="65">
        <v>0.027597728267860003</v>
      </c>
      <c r="K2450" s="65">
        <v>0.0012947211040092454</v>
      </c>
      <c r="L2450" s="65">
        <v>0.16846822</v>
      </c>
      <c r="N2450" s="66">
        <v>1.1231214666666667</v>
      </c>
      <c r="O2450" s="10"/>
      <c r="Q2450" s="67">
        <v>5.6642458</v>
      </c>
      <c r="S2450" s="68">
        <v>0.025458718</v>
      </c>
      <c r="T2450" s="68">
        <v>0.02410419</v>
      </c>
      <c r="U2450" s="68">
        <v>9.7726071E-4</v>
      </c>
      <c r="V2450" s="68">
        <v>3.7726733E-4</v>
      </c>
      <c r="X2450" s="69">
        <v>4.6719714E-5</v>
      </c>
    </row>
    <row r="2451" ht="12.75" customHeight="1">
      <c r="A2451" s="1" t="s">
        <v>3171</v>
      </c>
      <c r="B2451" s="62" t="s">
        <v>3160</v>
      </c>
      <c r="C2451" s="60" t="str">
        <f t="shared" si="549"/>
        <v>P.030.11.800</v>
      </c>
      <c r="D2451" s="1" t="s">
        <v>3158</v>
      </c>
      <c r="E2451" s="62" t="s">
        <v>45</v>
      </c>
      <c r="F2451" s="63" t="str">
        <f t="shared" si="550"/>
        <v>Alkanes (n=7, std=0.22)</v>
      </c>
      <c r="G2451" s="64">
        <v>0.34590405166251276</v>
      </c>
      <c r="H2451" s="10"/>
      <c r="I2451" s="65">
        <v>0.02532726191</v>
      </c>
      <c r="J2451" s="65">
        <v>0.0557297255847</v>
      </c>
      <c r="K2451" s="65">
        <v>0.004962144167812719</v>
      </c>
      <c r="L2451" s="65">
        <v>0.25988492</v>
      </c>
      <c r="N2451" s="66">
        <v>1.7325661333333335</v>
      </c>
      <c r="O2451" s="10"/>
      <c r="Q2451" s="67">
        <v>75.313929</v>
      </c>
      <c r="S2451" s="68">
        <v>0.044768323</v>
      </c>
      <c r="T2451" s="68">
        <v>0.037800613</v>
      </c>
      <c r="U2451" s="68">
        <v>0.0016662339</v>
      </c>
      <c r="V2451" s="68">
        <v>0.0053014764</v>
      </c>
      <c r="X2451" s="69">
        <v>1.6055301E-4</v>
      </c>
    </row>
    <row r="2452" ht="12.75" customHeight="1">
      <c r="A2452" s="1" t="s">
        <v>3172</v>
      </c>
      <c r="B2452" s="62" t="s">
        <v>3160</v>
      </c>
      <c r="C2452" s="60" t="str">
        <f t="shared" si="549"/>
        <v>P.030.11.900</v>
      </c>
      <c r="D2452" s="1" t="s">
        <v>3158</v>
      </c>
      <c r="E2452" s="62" t="s">
        <v>45</v>
      </c>
      <c r="F2452" s="63" t="str">
        <f t="shared" si="550"/>
        <v>Alpha-halocarboxylic acids and derivatives (n=2, std=0.12)</v>
      </c>
      <c r="G2452" s="64">
        <v>0.22578143594803393</v>
      </c>
      <c r="H2452" s="10"/>
      <c r="I2452" s="65">
        <v>0.013540898921000001</v>
      </c>
      <c r="J2452" s="65">
        <v>0.02428877560205</v>
      </c>
      <c r="K2452" s="65">
        <v>0.0018596814249839456</v>
      </c>
      <c r="L2452" s="65">
        <v>0.18609208</v>
      </c>
      <c r="N2452" s="66">
        <v>1.2406138666666666</v>
      </c>
      <c r="O2452" s="10"/>
      <c r="Q2452" s="67">
        <v>20.524116</v>
      </c>
      <c r="S2452" s="68">
        <v>0.02735857</v>
      </c>
      <c r="T2452" s="68">
        <v>0.024994558</v>
      </c>
      <c r="U2452" s="68">
        <v>0.0010586405</v>
      </c>
      <c r="V2452" s="68">
        <v>0.001305371</v>
      </c>
      <c r="X2452" s="69">
        <v>8.2771473E-5</v>
      </c>
    </row>
    <row r="2453" ht="12.75" customHeight="1">
      <c r="A2453" s="1" t="s">
        <v>3173</v>
      </c>
      <c r="B2453" s="62" t="s">
        <v>3160</v>
      </c>
      <c r="C2453" s="60" t="str">
        <f t="shared" si="549"/>
        <v>P.030.11.910</v>
      </c>
      <c r="D2453" s="1" t="s">
        <v>3158</v>
      </c>
      <c r="E2453" s="62" t="s">
        <v>45</v>
      </c>
      <c r="F2453" s="63" t="str">
        <f t="shared" si="550"/>
        <v>Amines (n=6, std=0.13)</v>
      </c>
      <c r="G2453" s="64">
        <v>0.49336334387862746</v>
      </c>
      <c r="H2453" s="10"/>
      <c r="I2453" s="65">
        <v>0.02061898311</v>
      </c>
      <c r="J2453" s="65">
        <v>0.066260309206</v>
      </c>
      <c r="K2453" s="65">
        <v>0.010184811562627433</v>
      </c>
      <c r="L2453" s="65">
        <v>0.39629924</v>
      </c>
      <c r="N2453" s="66">
        <v>2.6419949333333332</v>
      </c>
      <c r="O2453" s="10"/>
      <c r="Q2453" s="67">
        <v>67.204488</v>
      </c>
      <c r="S2453" s="68">
        <v>0.053697742</v>
      </c>
      <c r="T2453" s="68">
        <v>0.046947175</v>
      </c>
      <c r="U2453" s="68">
        <v>0.0021774115</v>
      </c>
      <c r="V2453" s="68">
        <v>0.0045731553</v>
      </c>
      <c r="X2453" s="69">
        <v>1.7529263E-4</v>
      </c>
    </row>
    <row r="2454" ht="12.75" customHeight="1">
      <c r="A2454" s="1" t="s">
        <v>3174</v>
      </c>
      <c r="B2454" s="62" t="s">
        <v>3160</v>
      </c>
      <c r="C2454" s="60" t="str">
        <f t="shared" si="549"/>
        <v>P.030.11.920</v>
      </c>
      <c r="D2454" s="1" t="s">
        <v>3158</v>
      </c>
      <c r="E2454" s="62" t="s">
        <v>45</v>
      </c>
      <c r="F2454" s="63" t="str">
        <f t="shared" si="550"/>
        <v>Amino acids, peptides, and analogues (n=1, std=-)</v>
      </c>
      <c r="G2454" s="64">
        <v>3.575727876751</v>
      </c>
      <c r="H2454" s="10"/>
      <c r="I2454" s="65">
        <v>0.12838568774</v>
      </c>
      <c r="J2454" s="65">
        <v>0.226701361711</v>
      </c>
      <c r="K2454" s="65">
        <v>0.31755532729999997</v>
      </c>
      <c r="L2454" s="65">
        <v>2.9030855</v>
      </c>
      <c r="N2454" s="66">
        <v>19.353903333333335</v>
      </c>
      <c r="O2454" s="10"/>
      <c r="Q2454" s="67">
        <v>326.91371</v>
      </c>
      <c r="S2454" s="68">
        <v>0.36531873</v>
      </c>
      <c r="T2454" s="68">
        <v>0.33628845</v>
      </c>
      <c r="U2454" s="68">
        <v>0.015450101</v>
      </c>
      <c r="V2454" s="68">
        <v>0.013580185</v>
      </c>
      <c r="X2454" s="69">
        <v>9.6426005E-4</v>
      </c>
    </row>
    <row r="2455" ht="12.75" customHeight="1">
      <c r="A2455" s="1" t="s">
        <v>3175</v>
      </c>
      <c r="B2455" s="62" t="s">
        <v>3160</v>
      </c>
      <c r="C2455" s="60" t="str">
        <f t="shared" si="549"/>
        <v>P.030.11.930</v>
      </c>
      <c r="D2455" s="1" t="s">
        <v>3158</v>
      </c>
      <c r="E2455" s="62" t="s">
        <v>45</v>
      </c>
      <c r="F2455" s="63" t="str">
        <f t="shared" si="550"/>
        <v>Aminotriazines (n=1, std=-)</v>
      </c>
      <c r="G2455" s="64">
        <v>1.3276320473149998</v>
      </c>
      <c r="H2455" s="10"/>
      <c r="I2455" s="65">
        <v>0.06226181417</v>
      </c>
      <c r="J2455" s="65">
        <v>0.15759495934499998</v>
      </c>
      <c r="K2455" s="65">
        <v>0.0578975738</v>
      </c>
      <c r="L2455" s="65">
        <v>1.0498777</v>
      </c>
      <c r="N2455" s="66">
        <v>6.999184666666666</v>
      </c>
      <c r="O2455" s="10"/>
      <c r="Q2455" s="67">
        <v>106.03831</v>
      </c>
      <c r="S2455" s="68">
        <v>0.15309664</v>
      </c>
      <c r="T2455" s="68">
        <v>0.14127976</v>
      </c>
      <c r="U2455" s="68">
        <v>0.005951134</v>
      </c>
      <c r="V2455" s="68">
        <v>0.0058657413</v>
      </c>
      <c r="X2455" s="69">
        <v>3.6581012E-4</v>
      </c>
    </row>
    <row r="2456" ht="12.75" customHeight="1">
      <c r="A2456" s="1" t="s">
        <v>3176</v>
      </c>
      <c r="B2456" s="62" t="s">
        <v>3160</v>
      </c>
      <c r="C2456" s="60" t="str">
        <f t="shared" si="549"/>
        <v>P.030.11.940</v>
      </c>
      <c r="D2456" s="1" t="s">
        <v>3158</v>
      </c>
      <c r="E2456" s="62" t="s">
        <v>45</v>
      </c>
      <c r="F2456" s="63" t="str">
        <f t="shared" si="550"/>
        <v>Aminoxides (n=1, std=-)</v>
      </c>
      <c r="G2456" s="64">
        <v>0.4191054730548</v>
      </c>
      <c r="H2456" s="10"/>
      <c r="I2456" s="65">
        <v>0.01282108569</v>
      </c>
      <c r="J2456" s="65">
        <v>0.0155494855848</v>
      </c>
      <c r="K2456" s="65">
        <v>0.00236134178</v>
      </c>
      <c r="L2456" s="65">
        <v>0.38837356</v>
      </c>
      <c r="N2456" s="66">
        <v>2.589157066666667</v>
      </c>
      <c r="O2456" s="10"/>
      <c r="Q2456" s="67">
        <v>44.079315</v>
      </c>
      <c r="S2456" s="68">
        <v>0.050180895</v>
      </c>
      <c r="T2456" s="68">
        <v>0.04491663</v>
      </c>
      <c r="U2456" s="68">
        <v>0.0021431751</v>
      </c>
      <c r="V2456" s="68">
        <v>0.0031210899</v>
      </c>
      <c r="X2456" s="69">
        <v>1.3113808E-4</v>
      </c>
    </row>
    <row r="2457" ht="12.75" customHeight="1">
      <c r="A2457" s="1" t="s">
        <v>3177</v>
      </c>
      <c r="B2457" s="62" t="s">
        <v>3160</v>
      </c>
      <c r="C2457" s="60" t="str">
        <f t="shared" si="549"/>
        <v>P.030.11.950</v>
      </c>
      <c r="D2457" s="1" t="s">
        <v>3158</v>
      </c>
      <c r="E2457" s="62" t="s">
        <v>45</v>
      </c>
      <c r="F2457" s="63" t="str">
        <f t="shared" si="550"/>
        <v>Anilides (n=4, std=0.24)</v>
      </c>
      <c r="G2457" s="64">
        <v>1.9235686437989998</v>
      </c>
      <c r="H2457" s="10"/>
      <c r="I2457" s="65">
        <v>0.08025521617</v>
      </c>
      <c r="J2457" s="65">
        <v>0.17322681642899998</v>
      </c>
      <c r="K2457" s="65">
        <v>0.11356541120000001</v>
      </c>
      <c r="L2457" s="65">
        <v>1.5565212</v>
      </c>
      <c r="N2457" s="66">
        <v>10.376808</v>
      </c>
      <c r="O2457" s="10"/>
      <c r="Q2457" s="67">
        <v>164.35581</v>
      </c>
      <c r="S2457" s="68">
        <v>0.21047697</v>
      </c>
      <c r="T2457" s="68">
        <v>0.19361832</v>
      </c>
      <c r="U2457" s="68">
        <v>0.0085303108</v>
      </c>
      <c r="V2457" s="68">
        <v>0.0083283405</v>
      </c>
      <c r="X2457" s="69">
        <v>5.2815959E-4</v>
      </c>
    </row>
    <row r="2458" ht="12.75" customHeight="1">
      <c r="A2458" s="1" t="s">
        <v>3178</v>
      </c>
      <c r="B2458" s="62" t="s">
        <v>3160</v>
      </c>
      <c r="C2458" s="60" t="str">
        <f t="shared" si="549"/>
        <v>P.030.11.960</v>
      </c>
      <c r="D2458" s="1" t="s">
        <v>3158</v>
      </c>
      <c r="E2458" s="62" t="s">
        <v>45</v>
      </c>
      <c r="F2458" s="63" t="str">
        <f t="shared" si="550"/>
        <v>Aniline and substituted anilines (n=1, std=-)</v>
      </c>
      <c r="G2458" s="64">
        <v>1.166428588503</v>
      </c>
      <c r="H2458" s="10"/>
      <c r="I2458" s="65">
        <v>0.04884086489000001</v>
      </c>
      <c r="J2458" s="65">
        <v>0.111906244613</v>
      </c>
      <c r="K2458" s="65">
        <v>0.081537039</v>
      </c>
      <c r="L2458" s="65">
        <v>0.92414444</v>
      </c>
      <c r="N2458" s="66">
        <v>6.160962933333333</v>
      </c>
      <c r="O2458" s="10"/>
      <c r="Q2458" s="67">
        <v>99.175176</v>
      </c>
      <c r="S2458" s="68">
        <v>0.12716497</v>
      </c>
      <c r="T2458" s="68">
        <v>0.1174601</v>
      </c>
      <c r="U2458" s="68">
        <v>0.0051106175</v>
      </c>
      <c r="V2458" s="68">
        <v>0.0045942503</v>
      </c>
      <c r="X2458" s="69">
        <v>3.1624338E-4</v>
      </c>
    </row>
    <row r="2459" ht="12.75" customHeight="1">
      <c r="A2459" s="1" t="s">
        <v>3179</v>
      </c>
      <c r="B2459" s="62" t="s">
        <v>3160</v>
      </c>
      <c r="C2459" s="60" t="str">
        <f t="shared" si="549"/>
        <v>P.030.12.080</v>
      </c>
      <c r="D2459" s="1" t="s">
        <v>3158</v>
      </c>
      <c r="E2459" s="62" t="s">
        <v>45</v>
      </c>
      <c r="F2459" s="63" t="str">
        <f t="shared" si="550"/>
        <v>Benzenoids (n=1, std=-)</v>
      </c>
      <c r="G2459" s="64">
        <v>3.3457728543389997</v>
      </c>
      <c r="H2459" s="10"/>
      <c r="I2459" s="65">
        <v>0.158431959</v>
      </c>
      <c r="J2459" s="65">
        <v>0.41914664523899997</v>
      </c>
      <c r="K2459" s="65">
        <v>0.1716786501</v>
      </c>
      <c r="L2459" s="65">
        <v>2.5965156</v>
      </c>
      <c r="N2459" s="66">
        <v>17.310104000000003</v>
      </c>
      <c r="O2459" s="10"/>
      <c r="Q2459" s="67">
        <v>264.89621</v>
      </c>
      <c r="S2459" s="68">
        <v>0.38602928</v>
      </c>
      <c r="T2459" s="68">
        <v>0.35741023</v>
      </c>
      <c r="U2459" s="68">
        <v>0.014865275</v>
      </c>
      <c r="V2459" s="68">
        <v>0.013753774</v>
      </c>
      <c r="X2459" s="69">
        <v>9.128374E-4</v>
      </c>
    </row>
    <row r="2460" ht="12.75" customHeight="1">
      <c r="A2460" s="1" t="s">
        <v>3180</v>
      </c>
      <c r="B2460" s="62" t="s">
        <v>3160</v>
      </c>
      <c r="C2460" s="60" t="str">
        <f t="shared" si="549"/>
        <v>P.030.12.090</v>
      </c>
      <c r="D2460" s="1" t="s">
        <v>3158</v>
      </c>
      <c r="E2460" s="62" t="s">
        <v>45</v>
      </c>
      <c r="F2460" s="63" t="str">
        <f t="shared" si="550"/>
        <v>Benzofuranones (n=1, std=-)</v>
      </c>
      <c r="G2460" s="64">
        <v>1.47081322828</v>
      </c>
      <c r="H2460" s="10"/>
      <c r="I2460" s="65">
        <v>0.176404015</v>
      </c>
      <c r="J2460" s="65">
        <v>0.76222240958</v>
      </c>
      <c r="K2460" s="65">
        <v>0.041565683699999995</v>
      </c>
      <c r="L2460" s="65">
        <v>0.49062112</v>
      </c>
      <c r="N2460" s="66">
        <v>3.270807466666667</v>
      </c>
      <c r="O2460" s="10"/>
      <c r="Q2460" s="67">
        <v>83.349384</v>
      </c>
      <c r="S2460" s="68">
        <v>0.11160637</v>
      </c>
      <c r="T2460" s="68">
        <v>0.10362356</v>
      </c>
      <c r="U2460" s="68">
        <v>0.0034864057</v>
      </c>
      <c r="V2460" s="68">
        <v>0.0044964036</v>
      </c>
      <c r="X2460" s="69">
        <v>3.0490495E-4</v>
      </c>
    </row>
    <row r="2461" ht="12.75" customHeight="1">
      <c r="A2461" s="1" t="s">
        <v>3181</v>
      </c>
      <c r="B2461" s="62" t="s">
        <v>3160</v>
      </c>
      <c r="C2461" s="60" t="str">
        <f t="shared" si="549"/>
        <v>P.030.12.100</v>
      </c>
      <c r="D2461" s="1" t="s">
        <v>3158</v>
      </c>
      <c r="E2461" s="62" t="s">
        <v>45</v>
      </c>
      <c r="F2461" s="63" t="str">
        <f t="shared" si="550"/>
        <v>Benzene and substituted derivatives (n=3, std=0.38)</v>
      </c>
      <c r="G2461" s="64">
        <v>0.5301148533358978</v>
      </c>
      <c r="H2461" s="10"/>
      <c r="I2461" s="65">
        <v>0.021117729044</v>
      </c>
      <c r="J2461" s="65">
        <v>0.19650195220430003</v>
      </c>
      <c r="K2461" s="65">
        <v>0.0016012320875977888</v>
      </c>
      <c r="L2461" s="65">
        <v>0.31089394</v>
      </c>
      <c r="N2461" s="66">
        <v>2.0726262666666666</v>
      </c>
      <c r="O2461" s="10"/>
      <c r="Q2461" s="67">
        <v>47.464714</v>
      </c>
      <c r="S2461" s="68">
        <v>0.052324857</v>
      </c>
      <c r="T2461" s="68">
        <v>0.047198637</v>
      </c>
      <c r="U2461" s="68">
        <v>0.0018808838</v>
      </c>
      <c r="V2461" s="68">
        <v>0.0032453367</v>
      </c>
      <c r="X2461" s="69">
        <v>1.625117E-4</v>
      </c>
    </row>
    <row r="2462" ht="12.75" customHeight="1">
      <c r="A2462" s="1" t="s">
        <v>3182</v>
      </c>
      <c r="B2462" s="62" t="s">
        <v>3160</v>
      </c>
      <c r="C2462" s="60" t="str">
        <f t="shared" si="549"/>
        <v>P.030.12.200</v>
      </c>
      <c r="D2462" s="1" t="s">
        <v>3158</v>
      </c>
      <c r="E2462" s="62" t="s">
        <v>45</v>
      </c>
      <c r="F2462" s="63" t="str">
        <f t="shared" si="550"/>
        <v>Benzenesulfonic acids and derivatives (n=2, std=0.21)</v>
      </c>
      <c r="G2462" s="64">
        <v>0.9193287695618</v>
      </c>
      <c r="H2462" s="10"/>
      <c r="I2462" s="65">
        <v>0.022439843541999998</v>
      </c>
      <c r="J2462" s="65">
        <v>0.4021916893798</v>
      </c>
      <c r="K2462" s="65">
        <v>0.03073300664</v>
      </c>
      <c r="L2462" s="65">
        <v>0.46396423</v>
      </c>
      <c r="N2462" s="66">
        <v>3.0930948666666667</v>
      </c>
      <c r="O2462" s="10"/>
      <c r="Q2462" s="67">
        <v>76.464831</v>
      </c>
      <c r="S2462" s="68">
        <v>0.069168487</v>
      </c>
      <c r="T2462" s="68">
        <v>0.062701834</v>
      </c>
      <c r="U2462" s="68">
        <v>0.0026441841</v>
      </c>
      <c r="V2462" s="68">
        <v>0.003822469</v>
      </c>
      <c r="X2462" s="69">
        <v>1.9125651E-4</v>
      </c>
    </row>
    <row r="2463" ht="12.75" customHeight="1">
      <c r="A2463" s="1" t="s">
        <v>3183</v>
      </c>
      <c r="B2463" s="62" t="s">
        <v>3160</v>
      </c>
      <c r="C2463" s="60" t="str">
        <f t="shared" si="549"/>
        <v>P.030.12.300</v>
      </c>
      <c r="D2463" s="1" t="s">
        <v>3158</v>
      </c>
      <c r="E2463" s="62" t="s">
        <v>45</v>
      </c>
      <c r="F2463" s="63" t="str">
        <f t="shared" si="550"/>
        <v>Benzoyl derivatives (n=1, std=-)</v>
      </c>
      <c r="G2463" s="64">
        <v>2.053456430091393</v>
      </c>
      <c r="H2463" s="10"/>
      <c r="I2463" s="65">
        <v>0.05472861917</v>
      </c>
      <c r="J2463" s="65">
        <v>1.385824536074</v>
      </c>
      <c r="K2463" s="65">
        <v>0.011179494847392885</v>
      </c>
      <c r="L2463" s="65">
        <v>0.60172378</v>
      </c>
      <c r="N2463" s="66">
        <v>4.011491866666667</v>
      </c>
      <c r="O2463" s="10"/>
      <c r="Q2463" s="67">
        <v>76.538792</v>
      </c>
      <c r="S2463" s="68">
        <v>0.10165826</v>
      </c>
      <c r="T2463" s="68">
        <v>0.093180699</v>
      </c>
      <c r="U2463" s="68">
        <v>0.0036799732</v>
      </c>
      <c r="V2463" s="68">
        <v>0.0047975924</v>
      </c>
      <c r="X2463" s="69">
        <v>4.5122861E-4</v>
      </c>
    </row>
    <row r="2464" ht="12.75" customHeight="1">
      <c r="A2464" s="1" t="s">
        <v>3184</v>
      </c>
      <c r="B2464" s="62" t="s">
        <v>3160</v>
      </c>
      <c r="C2464" s="60" t="str">
        <f t="shared" si="549"/>
        <v>P.030.12.400</v>
      </c>
      <c r="D2464" s="1" t="s">
        <v>3158</v>
      </c>
      <c r="E2464" s="62" t="s">
        <v>45</v>
      </c>
      <c r="F2464" s="63" t="str">
        <f t="shared" si="550"/>
        <v>Benzyl alcohols (n=1, std=-)</v>
      </c>
      <c r="G2464" s="64">
        <v>1.4824756070147949</v>
      </c>
      <c r="H2464" s="10"/>
      <c r="I2464" s="65">
        <v>0.05197529352</v>
      </c>
      <c r="J2464" s="65">
        <v>0.823618519656</v>
      </c>
      <c r="K2464" s="65">
        <v>0.01120081383879501</v>
      </c>
      <c r="L2464" s="65">
        <v>0.59568098</v>
      </c>
      <c r="N2464" s="66">
        <v>3.9712065333333335</v>
      </c>
      <c r="O2464" s="10"/>
      <c r="Q2464" s="67">
        <v>77.691004</v>
      </c>
      <c r="S2464" s="68">
        <v>0.10584371</v>
      </c>
      <c r="T2464" s="68">
        <v>0.097003928</v>
      </c>
      <c r="U2464" s="68">
        <v>0.0037243115</v>
      </c>
      <c r="V2464" s="68">
        <v>0.0051154686</v>
      </c>
      <c r="X2464" s="69">
        <v>3.576709E-4</v>
      </c>
    </row>
    <row r="2465" ht="12.75" customHeight="1">
      <c r="A2465" s="1" t="s">
        <v>3185</v>
      </c>
      <c r="B2465" s="62" t="s">
        <v>3160</v>
      </c>
      <c r="C2465" s="60" t="str">
        <f t="shared" si="549"/>
        <v>P.030.12.500</v>
      </c>
      <c r="D2465" s="1" t="s">
        <v>3158</v>
      </c>
      <c r="E2465" s="62" t="s">
        <v>45</v>
      </c>
      <c r="F2465" s="63" t="str">
        <f t="shared" si="550"/>
        <v>Benzyl halides (n=1, std=-)</v>
      </c>
      <c r="G2465" s="64">
        <v>0.6799874226690141</v>
      </c>
      <c r="H2465" s="10"/>
      <c r="I2465" s="65">
        <v>0.028711731631</v>
      </c>
      <c r="J2465" s="65">
        <v>0.3388536158151</v>
      </c>
      <c r="K2465" s="65">
        <v>0.004898925222914083</v>
      </c>
      <c r="L2465" s="65">
        <v>0.30752315</v>
      </c>
      <c r="N2465" s="66">
        <v>2.0501543333333334</v>
      </c>
      <c r="O2465" s="10"/>
      <c r="Q2465" s="67">
        <v>50.608839</v>
      </c>
      <c r="S2465" s="68">
        <v>0.0549494</v>
      </c>
      <c r="T2465" s="68">
        <v>0.049708509</v>
      </c>
      <c r="U2465" s="68">
        <v>0.0019279157</v>
      </c>
      <c r="V2465" s="68">
        <v>0.0033129754</v>
      </c>
      <c r="X2465" s="69">
        <v>1.9623839E-4</v>
      </c>
    </row>
    <row r="2466" ht="12.75" customHeight="1">
      <c r="A2466" s="1" t="s">
        <v>3186</v>
      </c>
      <c r="B2466" s="62" t="s">
        <v>3160</v>
      </c>
      <c r="C2466" s="60" t="str">
        <f t="shared" si="549"/>
        <v>P.030.12.600</v>
      </c>
      <c r="D2466" s="1" t="s">
        <v>3158</v>
      </c>
      <c r="E2466" s="62" t="s">
        <v>45</v>
      </c>
      <c r="F2466" s="63" t="str">
        <f t="shared" si="550"/>
        <v>Bipyridines and oligopyridines (n=1, std=-)</v>
      </c>
      <c r="G2466" s="64">
        <v>3.8762044923510004</v>
      </c>
      <c r="H2466" s="10"/>
      <c r="I2466" s="65">
        <v>0.1489587335</v>
      </c>
      <c r="J2466" s="65">
        <v>0.253828604851</v>
      </c>
      <c r="K2466" s="65">
        <v>0.211891554</v>
      </c>
      <c r="L2466" s="65">
        <v>3.2615256</v>
      </c>
      <c r="N2466" s="66">
        <v>21.743504</v>
      </c>
      <c r="O2466" s="10"/>
      <c r="Q2466" s="67">
        <v>346.19093</v>
      </c>
      <c r="S2466" s="68">
        <v>0.41236581</v>
      </c>
      <c r="T2466" s="68">
        <v>0.37655125</v>
      </c>
      <c r="U2466" s="68">
        <v>0.017336908</v>
      </c>
      <c r="V2466" s="68">
        <v>0.018477654</v>
      </c>
      <c r="X2466" s="69">
        <v>0.0010788478</v>
      </c>
    </row>
    <row r="2467" ht="12.75" customHeight="1">
      <c r="A2467" s="1" t="s">
        <v>3187</v>
      </c>
      <c r="B2467" s="62" t="s">
        <v>3160</v>
      </c>
      <c r="C2467" s="60" t="str">
        <f t="shared" si="549"/>
        <v>P.030.13.100</v>
      </c>
      <c r="D2467" s="1" t="s">
        <v>3158</v>
      </c>
      <c r="E2467" s="62" t="s">
        <v>45</v>
      </c>
      <c r="F2467" s="63" t="str">
        <f t="shared" si="550"/>
        <v>Carbonyl compounds (n=7, std=0.28)</v>
      </c>
      <c r="G2467" s="64">
        <v>0.5202825208525118</v>
      </c>
      <c r="H2467" s="10"/>
      <c r="I2467" s="65">
        <v>0.03410226802</v>
      </c>
      <c r="J2467" s="65">
        <v>0.12859524078200002</v>
      </c>
      <c r="K2467" s="65">
        <v>0.00861201205051183</v>
      </c>
      <c r="L2467" s="65">
        <v>0.348973</v>
      </c>
      <c r="N2467" s="66">
        <v>2.326486666666667</v>
      </c>
      <c r="O2467" s="10"/>
      <c r="Q2467" s="67">
        <v>58.53213</v>
      </c>
      <c r="S2467" s="68">
        <v>0.055764719</v>
      </c>
      <c r="T2467" s="68">
        <v>0.04967093</v>
      </c>
      <c r="U2467" s="68">
        <v>0.0021336283</v>
      </c>
      <c r="V2467" s="68">
        <v>0.003960161</v>
      </c>
      <c r="X2467" s="69">
        <v>1.5585344E-4</v>
      </c>
    </row>
    <row r="2468" ht="12.75" customHeight="1">
      <c r="A2468" s="1" t="s">
        <v>3188</v>
      </c>
      <c r="B2468" s="62" t="s">
        <v>3160</v>
      </c>
      <c r="C2468" s="60" t="str">
        <f t="shared" si="549"/>
        <v>P.030.13.200</v>
      </c>
      <c r="D2468" s="1" t="s">
        <v>3158</v>
      </c>
      <c r="E2468" s="62" t="s">
        <v>45</v>
      </c>
      <c r="F2468" s="63" t="str">
        <f t="shared" si="550"/>
        <v>Carboxylic acid derivatives (n=11, std=0.24)</v>
      </c>
      <c r="G2468" s="64">
        <v>0.4697407040588266</v>
      </c>
      <c r="H2468" s="10"/>
      <c r="I2468" s="65">
        <v>0.04199928584999999</v>
      </c>
      <c r="J2468" s="65">
        <v>0.049103207919999996</v>
      </c>
      <c r="K2468" s="65">
        <v>0.013730100288826623</v>
      </c>
      <c r="L2468" s="65">
        <v>0.36490811</v>
      </c>
      <c r="N2468" s="66">
        <v>2.4327207333333334</v>
      </c>
      <c r="O2468" s="10"/>
      <c r="Q2468" s="67">
        <v>50.406804</v>
      </c>
      <c r="S2468" s="68">
        <v>0.051229604</v>
      </c>
      <c r="T2468" s="68">
        <v>0.045882993</v>
      </c>
      <c r="U2468" s="68">
        <v>0.0020882789</v>
      </c>
      <c r="V2468" s="68">
        <v>0.0032583316</v>
      </c>
      <c r="X2468" s="69">
        <v>1.4656115E-4</v>
      </c>
    </row>
    <row r="2469" ht="12.75" customHeight="1">
      <c r="A2469" s="1" t="s">
        <v>3189</v>
      </c>
      <c r="B2469" s="62" t="s">
        <v>3160</v>
      </c>
      <c r="C2469" s="60" t="str">
        <f t="shared" si="549"/>
        <v>P.030.13.300</v>
      </c>
      <c r="D2469" s="1" t="s">
        <v>3158</v>
      </c>
      <c r="E2469" s="62" t="s">
        <v>45</v>
      </c>
      <c r="F2469" s="63" t="str">
        <f t="shared" si="550"/>
        <v>Carboxylic acids (n=2, std=1.25)</v>
      </c>
      <c r="G2469" s="64">
        <v>1.0998936553196008</v>
      </c>
      <c r="H2469" s="10"/>
      <c r="I2469" s="65">
        <v>0.1454109199</v>
      </c>
      <c r="J2469" s="65">
        <v>0.28263134931899997</v>
      </c>
      <c r="K2469" s="65">
        <v>0.09938512610060081</v>
      </c>
      <c r="L2469" s="65">
        <v>0.57246626</v>
      </c>
      <c r="N2469" s="66">
        <v>3.8164417333333334</v>
      </c>
      <c r="O2469" s="10"/>
      <c r="Q2469" s="67">
        <v>81.972582</v>
      </c>
      <c r="S2469" s="68">
        <v>0.11584339</v>
      </c>
      <c r="T2469" s="68">
        <v>0.10661386</v>
      </c>
      <c r="U2469" s="68">
        <v>0.0037723226</v>
      </c>
      <c r="V2469" s="68">
        <v>0.0054572086</v>
      </c>
      <c r="X2469" s="69">
        <v>3.3228523E-4</v>
      </c>
    </row>
    <row r="2470" ht="12.75" customHeight="1">
      <c r="A2470" s="1" t="s">
        <v>3190</v>
      </c>
      <c r="B2470" s="62" t="s">
        <v>3160</v>
      </c>
      <c r="C2470" s="60" t="str">
        <f t="shared" si="549"/>
        <v>P.030.13.400</v>
      </c>
      <c r="D2470" s="1" t="s">
        <v>3158</v>
      </c>
      <c r="E2470" s="62" t="s">
        <v>45</v>
      </c>
      <c r="F2470" s="63" t="str">
        <f t="shared" si="550"/>
        <v>Cumenes (n=1, std=-)</v>
      </c>
      <c r="G2470" s="64">
        <v>0.2023206163342</v>
      </c>
      <c r="H2470" s="10"/>
      <c r="I2470" s="65">
        <v>0.007563925368</v>
      </c>
      <c r="J2470" s="65">
        <v>0.010326378036200002</v>
      </c>
      <c r="K2470" s="65">
        <v>0.00156978293</v>
      </c>
      <c r="L2470" s="65">
        <v>0.18286053</v>
      </c>
      <c r="N2470" s="66">
        <v>1.2190702</v>
      </c>
      <c r="O2470" s="10"/>
      <c r="Q2470" s="67">
        <v>64.565545</v>
      </c>
      <c r="S2470" s="68">
        <v>0.026266293</v>
      </c>
      <c r="T2470" s="68">
        <v>0.020695114</v>
      </c>
      <c r="U2470" s="68">
        <v>9.7859885E-4</v>
      </c>
      <c r="V2470" s="68">
        <v>0.0045925804</v>
      </c>
      <c r="X2470" s="69">
        <v>1.1591776E-4</v>
      </c>
    </row>
    <row r="2471" ht="12.75" customHeight="1">
      <c r="A2471" s="1" t="s">
        <v>3191</v>
      </c>
      <c r="B2471" s="62" t="s">
        <v>3160</v>
      </c>
      <c r="C2471" s="60" t="str">
        <f t="shared" si="549"/>
        <v>P.030.13.500</v>
      </c>
      <c r="D2471" s="1" t="s">
        <v>3158</v>
      </c>
      <c r="E2471" s="62" t="s">
        <v>45</v>
      </c>
      <c r="F2471" s="63" t="str">
        <f t="shared" si="550"/>
        <v>Cycloalkanes (n=2, std=0.12)</v>
      </c>
      <c r="G2471" s="64">
        <v>0.7968889406970003</v>
      </c>
      <c r="H2471" s="10"/>
      <c r="I2471" s="65">
        <v>0.09275442328000001</v>
      </c>
      <c r="J2471" s="65">
        <v>0.09365581612199998</v>
      </c>
      <c r="K2471" s="65">
        <v>0.010209111295000262</v>
      </c>
      <c r="L2471" s="65">
        <v>0.60026959</v>
      </c>
      <c r="N2471" s="66">
        <v>4.001797266666667</v>
      </c>
      <c r="O2471" s="10"/>
      <c r="Q2471" s="67">
        <v>87.268122</v>
      </c>
      <c r="S2471" s="68">
        <v>0.090915634</v>
      </c>
      <c r="T2471" s="68">
        <v>0.081387398</v>
      </c>
      <c r="U2471" s="68">
        <v>0.0035284352</v>
      </c>
      <c r="V2471" s="68">
        <v>0.0059998013</v>
      </c>
      <c r="X2471" s="69">
        <v>2.5619389E-4</v>
      </c>
    </row>
    <row r="2472" ht="12.75" customHeight="1">
      <c r="A2472" s="1" t="s">
        <v>3192</v>
      </c>
      <c r="B2472" s="62" t="s">
        <v>3160</v>
      </c>
      <c r="C2472" s="60" t="str">
        <f t="shared" si="549"/>
        <v>P.030.14.100</v>
      </c>
      <c r="D2472" s="1" t="s">
        <v>3158</v>
      </c>
      <c r="E2472" s="62" t="s">
        <v>45</v>
      </c>
      <c r="F2472" s="63" t="str">
        <f t="shared" si="550"/>
        <v>Dicarboxylic acids and derivatives (n=4, std=0.056)</v>
      </c>
      <c r="G2472" s="64">
        <v>0.19830134334264138</v>
      </c>
      <c r="H2472" s="10"/>
      <c r="I2472" s="65">
        <v>0.01608403033</v>
      </c>
      <c r="J2472" s="65">
        <v>0.02545369986171</v>
      </c>
      <c r="K2472" s="65">
        <v>0.0168713031509314</v>
      </c>
      <c r="L2472" s="65">
        <v>0.13989231</v>
      </c>
      <c r="N2472" s="66">
        <v>0.9326154</v>
      </c>
      <c r="O2472" s="10"/>
      <c r="Q2472" s="67">
        <v>44.123132</v>
      </c>
      <c r="S2472" s="68">
        <v>0.022564352</v>
      </c>
      <c r="T2472" s="68">
        <v>0.018748873</v>
      </c>
      <c r="U2472" s="68">
        <v>8.2240231E-4</v>
      </c>
      <c r="V2472" s="68">
        <v>0.0029930775</v>
      </c>
      <c r="X2472" s="69">
        <v>8.8336397E-5</v>
      </c>
    </row>
    <row r="2473" ht="12.75" customHeight="1">
      <c r="A2473" s="1" t="s">
        <v>3193</v>
      </c>
      <c r="B2473" s="62" t="s">
        <v>3160</v>
      </c>
      <c r="C2473" s="60" t="str">
        <f t="shared" si="549"/>
        <v>P.030.14.200</v>
      </c>
      <c r="D2473" s="1" t="s">
        <v>3158</v>
      </c>
      <c r="E2473" s="62" t="s">
        <v>45</v>
      </c>
      <c r="F2473" s="63" t="str">
        <f t="shared" si="550"/>
        <v>Diphenylmethanes (n=3, std=0.17)</v>
      </c>
      <c r="G2473" s="64">
        <v>1.0046290730064433</v>
      </c>
      <c r="H2473" s="10"/>
      <c r="I2473" s="65">
        <v>0.015246711270999998</v>
      </c>
      <c r="J2473" s="65">
        <v>0.5009874843975</v>
      </c>
      <c r="K2473" s="65">
        <v>0.014412267337943397</v>
      </c>
      <c r="L2473" s="65">
        <v>0.47398261</v>
      </c>
      <c r="N2473" s="66">
        <v>3.1598840666666668</v>
      </c>
      <c r="O2473" s="10"/>
      <c r="Q2473" s="67">
        <v>81.205776</v>
      </c>
      <c r="S2473" s="68">
        <v>0.066722651</v>
      </c>
      <c r="T2473" s="68">
        <v>0.058804379</v>
      </c>
      <c r="U2473" s="68">
        <v>0.0025945732</v>
      </c>
      <c r="V2473" s="68">
        <v>0.005323699</v>
      </c>
      <c r="X2473" s="69">
        <v>1.9728839E-4</v>
      </c>
    </row>
    <row r="2474" ht="12.75" customHeight="1">
      <c r="A2474" s="1" t="s">
        <v>3194</v>
      </c>
      <c r="B2474" s="62" t="s">
        <v>3160</v>
      </c>
      <c r="C2474" s="60" t="str">
        <f t="shared" si="549"/>
        <v>P.030.14.300</v>
      </c>
      <c r="D2474" s="1" t="s">
        <v>3158</v>
      </c>
      <c r="E2474" s="62" t="s">
        <v>45</v>
      </c>
      <c r="F2474" s="63" t="str">
        <f t="shared" si="550"/>
        <v>Dithiocarbamic acid esters (n=1, std=-)</v>
      </c>
      <c r="G2474" s="64">
        <v>0.7930759292299999</v>
      </c>
      <c r="H2474" s="10"/>
      <c r="I2474" s="65">
        <v>0.037003061829999996</v>
      </c>
      <c r="J2474" s="65">
        <v>0.093847761</v>
      </c>
      <c r="K2474" s="65">
        <v>0.036846076400000004</v>
      </c>
      <c r="L2474" s="65">
        <v>0.62537903</v>
      </c>
      <c r="N2474" s="66">
        <v>4.169193533333333</v>
      </c>
      <c r="O2474" s="10"/>
      <c r="Q2474" s="67">
        <v>63.509018</v>
      </c>
      <c r="S2474" s="68">
        <v>0.091152413</v>
      </c>
      <c r="T2474" s="68">
        <v>0.084165596</v>
      </c>
      <c r="U2474" s="68">
        <v>0.0035450423</v>
      </c>
      <c r="V2474" s="68">
        <v>0.0034417744</v>
      </c>
      <c r="X2474" s="69">
        <v>2.179642E-4</v>
      </c>
    </row>
    <row r="2475" ht="12.75" customHeight="1">
      <c r="A2475" s="1" t="s">
        <v>3195</v>
      </c>
      <c r="B2475" s="62" t="s">
        <v>3160</v>
      </c>
      <c r="C2475" s="60" t="str">
        <f t="shared" si="549"/>
        <v>P.030.14.400</v>
      </c>
      <c r="D2475" s="1" t="s">
        <v>3158</v>
      </c>
      <c r="E2475" s="62" t="s">
        <v>45</v>
      </c>
      <c r="F2475" s="63" t="str">
        <f t="shared" si="550"/>
        <v>Dithiophosphate O-esters (n=1, std=-)</v>
      </c>
      <c r="G2475" s="64">
        <v>1.481756031558</v>
      </c>
      <c r="H2475" s="10"/>
      <c r="I2475" s="65">
        <v>0.05749223599</v>
      </c>
      <c r="J2475" s="65">
        <v>0.120367594068</v>
      </c>
      <c r="K2475" s="65">
        <v>0.1247853015</v>
      </c>
      <c r="L2475" s="65">
        <v>1.1791109</v>
      </c>
      <c r="N2475" s="66">
        <v>7.860739333333333</v>
      </c>
      <c r="O2475" s="10"/>
      <c r="Q2475" s="67">
        <v>130.71466</v>
      </c>
      <c r="S2475" s="68">
        <v>0.15597138</v>
      </c>
      <c r="T2475" s="68">
        <v>0.14406534</v>
      </c>
      <c r="U2475" s="68">
        <v>0.0064132328</v>
      </c>
      <c r="V2475" s="68">
        <v>0.0054928095</v>
      </c>
      <c r="X2475" s="69">
        <v>3.9854004E-4</v>
      </c>
    </row>
    <row r="2476" ht="12.75" customHeight="1">
      <c r="A2476" s="1" t="s">
        <v>3196</v>
      </c>
      <c r="B2476" s="62" t="s">
        <v>3160</v>
      </c>
      <c r="C2476" s="60" t="str">
        <f t="shared" si="549"/>
        <v>P.030.15.100</v>
      </c>
      <c r="D2476" s="1" t="s">
        <v>3158</v>
      </c>
      <c r="E2476" s="62" t="s">
        <v>45</v>
      </c>
      <c r="F2476" s="63" t="str">
        <f t="shared" si="550"/>
        <v>Epoxides (n=3, std=0.59)</v>
      </c>
      <c r="G2476" s="64">
        <v>0.6446773552984</v>
      </c>
      <c r="H2476" s="10"/>
      <c r="I2476" s="65">
        <v>0.0169216074</v>
      </c>
      <c r="J2476" s="65">
        <v>0.3459502972024</v>
      </c>
      <c r="K2476" s="65">
        <v>6.94130696E-4</v>
      </c>
      <c r="L2476" s="65">
        <v>0.28111132</v>
      </c>
      <c r="N2476" s="66">
        <v>1.8740754666666668</v>
      </c>
      <c r="O2476" s="10"/>
      <c r="Q2476" s="67">
        <v>50.533636</v>
      </c>
      <c r="S2476" s="68">
        <v>0.04540732</v>
      </c>
      <c r="T2476" s="68">
        <v>0.040327056</v>
      </c>
      <c r="U2476" s="68">
        <v>0.0016458938</v>
      </c>
      <c r="V2476" s="68">
        <v>0.00343437</v>
      </c>
      <c r="X2476" s="69">
        <v>1.4742614E-4</v>
      </c>
    </row>
    <row r="2477" ht="12.75" customHeight="1">
      <c r="A2477" s="1" t="s">
        <v>3197</v>
      </c>
      <c r="B2477" s="62" t="s">
        <v>3160</v>
      </c>
      <c r="C2477" s="60" t="str">
        <f t="shared" si="549"/>
        <v>P.030.15.200</v>
      </c>
      <c r="D2477" s="1" t="s">
        <v>3158</v>
      </c>
      <c r="E2477" s="62" t="s">
        <v>45</v>
      </c>
      <c r="F2477" s="63" t="str">
        <f t="shared" si="550"/>
        <v>Ethers (n=6, std=0.18)</v>
      </c>
      <c r="G2477" s="64">
        <v>0.3800160520169382</v>
      </c>
      <c r="H2477" s="10"/>
      <c r="I2477" s="65">
        <v>0.011277115700000001</v>
      </c>
      <c r="J2477" s="65">
        <v>0.08573594956129998</v>
      </c>
      <c r="K2477" s="65">
        <v>0.005283996755638253</v>
      </c>
      <c r="L2477" s="65">
        <v>0.27771899</v>
      </c>
      <c r="N2477" s="66">
        <v>1.8514599333333335</v>
      </c>
      <c r="O2477" s="10"/>
      <c r="Q2477" s="67">
        <v>29.617135</v>
      </c>
      <c r="S2477" s="68">
        <v>0.042228844</v>
      </c>
      <c r="T2477" s="68">
        <v>0.03872129</v>
      </c>
      <c r="U2477" s="68">
        <v>0.0016245652</v>
      </c>
      <c r="V2477" s="68">
        <v>0.0018829888</v>
      </c>
      <c r="X2477" s="69">
        <v>1.084632E-4</v>
      </c>
    </row>
    <row r="2478" ht="12.75" customHeight="1">
      <c r="A2478" s="1" t="s">
        <v>3198</v>
      </c>
      <c r="B2478" s="62" t="s">
        <v>3160</v>
      </c>
      <c r="C2478" s="60" t="str">
        <f t="shared" si="549"/>
        <v>P.030.16.100</v>
      </c>
      <c r="D2478" s="1" t="s">
        <v>3158</v>
      </c>
      <c r="E2478" s="62" t="s">
        <v>45</v>
      </c>
      <c r="F2478" s="63" t="str">
        <f t="shared" si="550"/>
        <v>Fatty acid esters (n=2, std=0.2.51)</v>
      </c>
      <c r="G2478" s="64">
        <v>3.31918393415</v>
      </c>
      <c r="H2478" s="10"/>
      <c r="I2478" s="65">
        <v>0.1294143423</v>
      </c>
      <c r="J2478" s="65">
        <v>0.24360531694999998</v>
      </c>
      <c r="K2478" s="65">
        <v>0.2115908749</v>
      </c>
      <c r="L2478" s="65">
        <v>2.7345734</v>
      </c>
      <c r="N2478" s="66">
        <v>18.230489333333335</v>
      </c>
      <c r="O2478" s="10"/>
      <c r="Q2478" s="67">
        <v>293.62714</v>
      </c>
      <c r="S2478" s="68">
        <v>0.3534287</v>
      </c>
      <c r="T2478" s="68">
        <v>0.32412572</v>
      </c>
      <c r="U2478" s="68">
        <v>0.014690485</v>
      </c>
      <c r="V2478" s="68">
        <v>0.014612494</v>
      </c>
      <c r="X2478" s="69">
        <v>9.1317969E-4</v>
      </c>
    </row>
    <row r="2479" ht="12.75" customHeight="1">
      <c r="A2479" s="1" t="s">
        <v>3199</v>
      </c>
      <c r="B2479" s="62" t="s">
        <v>3160</v>
      </c>
      <c r="C2479" s="60" t="str">
        <f t="shared" si="549"/>
        <v>P.030.16.100</v>
      </c>
      <c r="D2479" s="1" t="s">
        <v>3158</v>
      </c>
      <c r="E2479" s="62" t="s">
        <v>45</v>
      </c>
      <c r="F2479" s="63" t="str">
        <f t="shared" si="550"/>
        <v>Fatty acids and conjugates (n=1, std=-)</v>
      </c>
      <c r="G2479" s="64">
        <v>0.738082383840462</v>
      </c>
      <c r="H2479" s="10"/>
      <c r="I2479" s="65">
        <v>0.02391150833</v>
      </c>
      <c r="J2479" s="65">
        <v>0.113665439485</v>
      </c>
      <c r="K2479" s="65">
        <v>0.008021756025461962</v>
      </c>
      <c r="L2479" s="65">
        <v>0.59248368</v>
      </c>
      <c r="N2479" s="66">
        <v>3.9498911999999997</v>
      </c>
      <c r="O2479" s="10"/>
      <c r="Q2479" s="67">
        <v>3.0541704</v>
      </c>
      <c r="S2479" s="68">
        <v>0.0036312473</v>
      </c>
      <c r="T2479" s="68">
        <v>0.0032755733</v>
      </c>
      <c r="U2479" s="68">
        <v>1.5389615E-4</v>
      </c>
      <c r="V2479" s="68">
        <v>2.0177793E-4</v>
      </c>
      <c r="X2479" s="69">
        <v>9.5642763E-6</v>
      </c>
    </row>
    <row r="2480" ht="12.75" customHeight="1">
      <c r="A2480" s="1" t="s">
        <v>3200</v>
      </c>
      <c r="B2480" s="62" t="s">
        <v>3160</v>
      </c>
      <c r="C2480" s="60" t="str">
        <f t="shared" si="549"/>
        <v>P.030.17.100</v>
      </c>
      <c r="D2480" s="1" t="s">
        <v>3158</v>
      </c>
      <c r="E2480" s="62" t="s">
        <v>45</v>
      </c>
      <c r="F2480" s="63" t="str">
        <f t="shared" si="550"/>
        <v>Gamma butyrolactones (n=1, std=-)</v>
      </c>
      <c r="G2480" s="64">
        <v>0.8440372363900044</v>
      </c>
      <c r="H2480" s="10"/>
      <c r="I2480" s="65">
        <v>0.04011729364</v>
      </c>
      <c r="J2480" s="65">
        <v>0.071114642668</v>
      </c>
      <c r="K2480" s="65">
        <v>0.03274221008200438</v>
      </c>
      <c r="L2480" s="65">
        <v>0.70006309</v>
      </c>
      <c r="N2480" s="66">
        <v>4.667087266666667</v>
      </c>
      <c r="O2480" s="10"/>
      <c r="Q2480" s="67">
        <v>107.11802</v>
      </c>
      <c r="S2480" s="68">
        <v>0.094972434</v>
      </c>
      <c r="T2480" s="68">
        <v>0.084136368</v>
      </c>
      <c r="U2480" s="68">
        <v>0.0038140205</v>
      </c>
      <c r="V2480" s="68">
        <v>0.0070220458</v>
      </c>
      <c r="X2480" s="69">
        <v>2.8041831E-4</v>
      </c>
    </row>
    <row r="2481" ht="12.75" customHeight="1">
      <c r="A2481" s="1" t="s">
        <v>3201</v>
      </c>
      <c r="B2481" s="62" t="s">
        <v>3160</v>
      </c>
      <c r="C2481" s="60" t="str">
        <f t="shared" si="549"/>
        <v>P.030.18.100</v>
      </c>
      <c r="D2481" s="1" t="s">
        <v>3158</v>
      </c>
      <c r="E2481" s="62" t="s">
        <v>45</v>
      </c>
      <c r="F2481" s="63" t="str">
        <f t="shared" si="550"/>
        <v>Halobenzenes (n=3, std=1.21)</v>
      </c>
      <c r="G2481" s="64">
        <v>1.6040630444930875</v>
      </c>
      <c r="H2481" s="10"/>
      <c r="I2481" s="65">
        <v>0.06481959710000001</v>
      </c>
      <c r="J2481" s="65">
        <v>0.30133491535999996</v>
      </c>
      <c r="K2481" s="65">
        <v>0.0417994320330877</v>
      </c>
      <c r="L2481" s="65">
        <v>1.1961091</v>
      </c>
      <c r="N2481" s="66">
        <v>7.9740606666666665</v>
      </c>
      <c r="O2481" s="10"/>
      <c r="Q2481" s="67">
        <v>186.08082</v>
      </c>
      <c r="S2481" s="68">
        <v>0.20085082</v>
      </c>
      <c r="T2481" s="68">
        <v>0.1816132</v>
      </c>
      <c r="U2481" s="68">
        <v>0.0073331188</v>
      </c>
      <c r="V2481" s="68">
        <v>0.011904501</v>
      </c>
      <c r="X2481" s="69">
        <v>5.3366402E-4</v>
      </c>
    </row>
    <row r="2482" ht="12.75" customHeight="1">
      <c r="A2482" s="1" t="s">
        <v>3202</v>
      </c>
      <c r="B2482" s="62" t="s">
        <v>3160</v>
      </c>
      <c r="C2482" s="60" t="str">
        <f t="shared" si="549"/>
        <v>P.030.18.200</v>
      </c>
      <c r="D2482" s="1" t="s">
        <v>3158</v>
      </c>
      <c r="E2482" s="62" t="s">
        <v>45</v>
      </c>
      <c r="F2482" s="63" t="str">
        <f t="shared" si="550"/>
        <v>Halogen hydrides (n=2, std=1.77 )</v>
      </c>
      <c r="G2482" s="64">
        <v>2.793865459211554</v>
      </c>
      <c r="H2482" s="10"/>
      <c r="I2482" s="65">
        <v>0.11887628580000001</v>
      </c>
      <c r="J2482" s="65">
        <v>0.7510434814679</v>
      </c>
      <c r="K2482" s="65">
        <v>0.0020273919436538126</v>
      </c>
      <c r="L2482" s="65">
        <v>1.9219183</v>
      </c>
      <c r="N2482" s="66">
        <v>12.812788666666666</v>
      </c>
      <c r="O2482" s="10"/>
      <c r="Q2482" s="67">
        <v>357.89324</v>
      </c>
      <c r="S2482" s="68">
        <v>0.36678118</v>
      </c>
      <c r="T2482" s="68">
        <v>0.32896632</v>
      </c>
      <c r="U2482" s="68">
        <v>0.012638977</v>
      </c>
      <c r="V2482" s="68">
        <v>0.025175881</v>
      </c>
      <c r="X2482" s="69">
        <v>0.0010050467</v>
      </c>
    </row>
    <row r="2483" ht="12.75" customHeight="1">
      <c r="A2483" s="1" t="s">
        <v>3203</v>
      </c>
      <c r="B2483" s="62" t="s">
        <v>3160</v>
      </c>
      <c r="C2483" s="60" t="str">
        <f t="shared" si="549"/>
        <v>P.030.18.300</v>
      </c>
      <c r="D2483" s="1" t="s">
        <v>3158</v>
      </c>
      <c r="E2483" s="62" t="s">
        <v>45</v>
      </c>
      <c r="F2483" s="63" t="str">
        <f t="shared" si="550"/>
        <v>Homogeneous halogens (n=3, std=0.03)</v>
      </c>
      <c r="G2483" s="64">
        <v>0.1574219906462</v>
      </c>
      <c r="H2483" s="10"/>
      <c r="I2483" s="65">
        <v>0.009738115119000001</v>
      </c>
      <c r="J2483" s="65">
        <v>0.0265233554972</v>
      </c>
      <c r="K2483" s="65">
        <v>0.00598590003</v>
      </c>
      <c r="L2483" s="65">
        <v>0.11517462</v>
      </c>
      <c r="N2483" s="66">
        <v>0.7678308</v>
      </c>
      <c r="O2483" s="10"/>
      <c r="Q2483" s="67">
        <v>6.6961855</v>
      </c>
      <c r="S2483" s="68">
        <v>0.020044061</v>
      </c>
      <c r="T2483" s="68">
        <v>0.019118708</v>
      </c>
      <c r="U2483" s="68">
        <v>7.212788E-4</v>
      </c>
      <c r="V2483" s="68">
        <v>2.0407426E-4</v>
      </c>
      <c r="X2483" s="69">
        <v>5.1467919E-5</v>
      </c>
    </row>
    <row r="2484" ht="12.75" customHeight="1">
      <c r="A2484" s="1" t="s">
        <v>3204</v>
      </c>
      <c r="B2484" s="62" t="s">
        <v>3160</v>
      </c>
      <c r="C2484" s="60" t="str">
        <f t="shared" si="549"/>
        <v>P.030.18.500</v>
      </c>
      <c r="D2484" s="1" t="s">
        <v>3158</v>
      </c>
      <c r="E2484" s="62" t="s">
        <v>45</v>
      </c>
      <c r="F2484" s="63" t="str">
        <f t="shared" si="550"/>
        <v>Homogeneous noble gases (n=1, std=-)</v>
      </c>
      <c r="G2484" s="64">
        <v>0.3705094554318242</v>
      </c>
      <c r="H2484" s="10"/>
      <c r="I2484" s="65">
        <v>0.014998677079999998</v>
      </c>
      <c r="J2484" s="65">
        <v>0.021480365768</v>
      </c>
      <c r="K2484" s="65">
        <v>0.0035110525838241897</v>
      </c>
      <c r="L2484" s="65">
        <v>0.33051936</v>
      </c>
      <c r="N2484" s="66">
        <v>2.2034624</v>
      </c>
      <c r="O2484" s="10"/>
      <c r="Q2484" s="67">
        <v>32.656775</v>
      </c>
      <c r="S2484" s="68">
        <v>0.040912409</v>
      </c>
      <c r="T2484" s="68">
        <v>0.036883176</v>
      </c>
      <c r="U2484" s="68">
        <v>0.0017338267</v>
      </c>
      <c r="V2484" s="68">
        <v>0.002295406</v>
      </c>
      <c r="X2484" s="69">
        <v>1.0774633E-4</v>
      </c>
    </row>
    <row r="2485" ht="12.75" customHeight="1">
      <c r="A2485" s="1" t="s">
        <v>3205</v>
      </c>
      <c r="B2485" s="62" t="s">
        <v>3160</v>
      </c>
      <c r="C2485" s="60" t="str">
        <f t="shared" si="549"/>
        <v>P.030.18.600</v>
      </c>
      <c r="D2485" s="1" t="s">
        <v>3158</v>
      </c>
      <c r="E2485" s="62" t="s">
        <v>45</v>
      </c>
      <c r="F2485" s="63" t="str">
        <f t="shared" si="550"/>
        <v>Homogeneous other non-metal compounds (n=2, std=0.19)</v>
      </c>
      <c r="G2485" s="64">
        <v>0.2206129279644756</v>
      </c>
      <c r="H2485" s="10"/>
      <c r="I2485" s="65">
        <v>6.5800884585E-4</v>
      </c>
      <c r="J2485" s="65">
        <v>0.0041415463175856005</v>
      </c>
      <c r="K2485" s="65">
        <v>2.52280104E-6</v>
      </c>
      <c r="L2485" s="65">
        <v>0.21581085</v>
      </c>
      <c r="N2485" s="66">
        <v>1.438739</v>
      </c>
      <c r="O2485" s="10"/>
      <c r="Q2485" s="67">
        <v>3.9027247</v>
      </c>
      <c r="S2485" s="68">
        <v>0.024786486</v>
      </c>
      <c r="T2485" s="68">
        <v>0.023396</v>
      </c>
      <c r="U2485" s="68">
        <v>0.0011118599</v>
      </c>
      <c r="V2485" s="68">
        <v>2.7862658E-4</v>
      </c>
      <c r="X2485" s="69">
        <v>4.5983954E-5</v>
      </c>
    </row>
    <row r="2486" ht="12.75" customHeight="1">
      <c r="A2486" s="1" t="s">
        <v>3206</v>
      </c>
      <c r="B2486" s="62" t="s">
        <v>3160</v>
      </c>
      <c r="C2486" s="60" t="str">
        <f t="shared" si="549"/>
        <v>P.030.18.700</v>
      </c>
      <c r="D2486" s="1" t="s">
        <v>3158</v>
      </c>
      <c r="E2486" s="62" t="s">
        <v>45</v>
      </c>
      <c r="F2486" s="63" t="str">
        <f t="shared" si="550"/>
        <v>Homogeneous transition metal compounds (n=2, std=12.98)</v>
      </c>
      <c r="G2486" s="64">
        <v>31.367888780839678</v>
      </c>
      <c r="H2486" s="10"/>
      <c r="I2486" s="65">
        <v>0.5174384133808001</v>
      </c>
      <c r="J2486" s="65">
        <v>12.095354126058881</v>
      </c>
      <c r="K2486" s="65">
        <v>13.528270041399999</v>
      </c>
      <c r="L2486" s="65">
        <v>5.2268262</v>
      </c>
      <c r="N2486" s="66">
        <v>34.845508</v>
      </c>
      <c r="O2486" s="10"/>
      <c r="Q2486" s="67">
        <v>1.254449</v>
      </c>
      <c r="S2486" s="68">
        <v>4.2845972</v>
      </c>
      <c r="T2486" s="68">
        <v>4.1835294</v>
      </c>
      <c r="U2486" s="68">
        <v>0.096210721</v>
      </c>
      <c r="V2486" s="68">
        <v>0.0048570878</v>
      </c>
      <c r="X2486" s="69">
        <v>0.0044629142</v>
      </c>
    </row>
    <row r="2487" ht="12.75" customHeight="1">
      <c r="A2487" s="1" t="s">
        <v>3207</v>
      </c>
      <c r="B2487" s="62" t="s">
        <v>3160</v>
      </c>
      <c r="C2487" s="60" t="str">
        <f t="shared" si="549"/>
        <v>P.030.19.100</v>
      </c>
      <c r="D2487" s="1" t="s">
        <v>3158</v>
      </c>
      <c r="E2487" s="62" t="s">
        <v>45</v>
      </c>
      <c r="F2487" s="63" t="str">
        <f t="shared" si="550"/>
        <v>Isoindolines (n=1, std=-)</v>
      </c>
      <c r="G2487" s="64">
        <v>0.8606613781796</v>
      </c>
      <c r="H2487" s="10"/>
      <c r="I2487" s="65">
        <v>0.03091827045</v>
      </c>
      <c r="J2487" s="65">
        <v>0.0531411859296</v>
      </c>
      <c r="K2487" s="65">
        <v>0.0729922918</v>
      </c>
      <c r="L2487" s="65">
        <v>0.70360963</v>
      </c>
      <c r="N2487" s="66">
        <v>4.690730866666667</v>
      </c>
      <c r="O2487" s="10"/>
      <c r="Q2487" s="67">
        <v>78.746006</v>
      </c>
      <c r="S2487" s="68">
        <v>0.088120303</v>
      </c>
      <c r="T2487" s="68">
        <v>0.080998021</v>
      </c>
      <c r="U2487" s="68">
        <v>0.0037352955</v>
      </c>
      <c r="V2487" s="68">
        <v>0.0033869866</v>
      </c>
      <c r="X2487" s="69">
        <v>2.3313974E-4</v>
      </c>
    </row>
    <row r="2488" ht="12.75" customHeight="1">
      <c r="A2488" s="1" t="s">
        <v>3208</v>
      </c>
      <c r="B2488" s="62" t="s">
        <v>3160</v>
      </c>
      <c r="C2488" s="60" t="str">
        <f t="shared" si="549"/>
        <v>P.030.23.100</v>
      </c>
      <c r="D2488" s="1" t="s">
        <v>3158</v>
      </c>
      <c r="E2488" s="62" t="s">
        <v>45</v>
      </c>
      <c r="F2488" s="63" t="str">
        <f t="shared" si="550"/>
        <v>Metalloid oxides (n=1, std=-)</v>
      </c>
      <c r="G2488" s="64">
        <v>0.582520550849</v>
      </c>
      <c r="H2488" s="10"/>
      <c r="I2488" s="65">
        <v>0.02488284125</v>
      </c>
      <c r="J2488" s="65">
        <v>0.033218798899</v>
      </c>
      <c r="K2488" s="65">
        <v>0.006147620699999999</v>
      </c>
      <c r="L2488" s="65">
        <v>0.51827129</v>
      </c>
      <c r="N2488" s="66">
        <v>3.455141933333334</v>
      </c>
      <c r="O2488" s="10"/>
      <c r="Q2488" s="67">
        <v>51.276116</v>
      </c>
      <c r="S2488" s="68">
        <v>0.064102331</v>
      </c>
      <c r="T2488" s="68">
        <v>0.057784699</v>
      </c>
      <c r="U2488" s="68">
        <v>0.0027201732</v>
      </c>
      <c r="V2488" s="68">
        <v>0.0035974588</v>
      </c>
      <c r="X2488" s="69">
        <v>1.6920856E-4</v>
      </c>
    </row>
    <row r="2489" ht="12.75" customHeight="1">
      <c r="A2489" s="1" t="s">
        <v>3209</v>
      </c>
      <c r="B2489" s="62" t="s">
        <v>3160</v>
      </c>
      <c r="C2489" s="60" t="str">
        <f t="shared" si="549"/>
        <v>P.030.23.200</v>
      </c>
      <c r="D2489" s="1" t="s">
        <v>3158</v>
      </c>
      <c r="E2489" s="62" t="s">
        <v>45</v>
      </c>
      <c r="F2489" s="63" t="str">
        <f t="shared" si="550"/>
        <v>Miscellaneous metallic oxoanionic compounds (n=3, std=9.89)</v>
      </c>
      <c r="G2489" s="64">
        <v>8.204994667200001</v>
      </c>
      <c r="H2489" s="10"/>
      <c r="I2489" s="65">
        <v>1.0368293</v>
      </c>
      <c r="J2489" s="65">
        <v>1.1510225231</v>
      </c>
      <c r="K2489" s="65">
        <v>4.862356244100001</v>
      </c>
      <c r="L2489" s="65">
        <v>1.1547866</v>
      </c>
      <c r="N2489" s="66">
        <v>7.698577333333334</v>
      </c>
      <c r="O2489" s="10"/>
      <c r="Q2489" s="67">
        <v>19.731841</v>
      </c>
      <c r="S2489" s="68">
        <v>0.43646538</v>
      </c>
      <c r="T2489" s="68">
        <v>0.42311063</v>
      </c>
      <c r="U2489" s="68">
        <v>0.01171037</v>
      </c>
      <c r="V2489" s="68">
        <v>0.0016443825</v>
      </c>
      <c r="X2489" s="69">
        <v>0.0015695751</v>
      </c>
    </row>
    <row r="2490" ht="12.75" customHeight="1">
      <c r="A2490" s="1" t="s">
        <v>3210</v>
      </c>
      <c r="B2490" s="62" t="s">
        <v>3160</v>
      </c>
      <c r="C2490" s="60" t="str">
        <f t="shared" si="549"/>
        <v>P.030.23.200</v>
      </c>
      <c r="D2490" s="1" t="s">
        <v>3158</v>
      </c>
      <c r="E2490" s="62" t="s">
        <v>45</v>
      </c>
      <c r="F2490" s="63" t="str">
        <f t="shared" si="550"/>
        <v>Miscellaneous mixed metal/non-metals (n=1, std=-)</v>
      </c>
      <c r="G2490" s="64">
        <v>1.729189866134</v>
      </c>
      <c r="H2490" s="10"/>
      <c r="I2490" s="65">
        <v>0.4330520396</v>
      </c>
      <c r="J2490" s="65">
        <v>0.623809683534</v>
      </c>
      <c r="K2490" s="65">
        <v>0.333275453</v>
      </c>
      <c r="L2490" s="65">
        <v>0.33905269</v>
      </c>
      <c r="N2490" s="66">
        <v>2.2603512666666665</v>
      </c>
      <c r="O2490" s="10"/>
      <c r="Q2490" s="67">
        <v>-7.0871296</v>
      </c>
      <c r="S2490" s="68">
        <v>3.114662</v>
      </c>
      <c r="T2490" s="68">
        <v>3.1115274</v>
      </c>
      <c r="U2490" s="68">
        <v>0.0038757098</v>
      </c>
      <c r="V2490" s="68">
        <v>-7.4111428E-4</v>
      </c>
      <c r="X2490" s="69">
        <v>6.9764027E-4</v>
      </c>
    </row>
    <row r="2491" ht="12.75" customHeight="1">
      <c r="A2491" s="1" t="s">
        <v>3211</v>
      </c>
      <c r="B2491" s="62" t="s">
        <v>3160</v>
      </c>
      <c r="C2491" s="60" t="str">
        <f t="shared" si="549"/>
        <v>P.030.24.100</v>
      </c>
      <c r="D2491" s="1" t="s">
        <v>3158</v>
      </c>
      <c r="E2491" s="62" t="s">
        <v>45</v>
      </c>
      <c r="F2491" s="63" t="str">
        <f t="shared" si="550"/>
        <v>N-alkylpyrrolidines (n=1, std=-)</v>
      </c>
      <c r="G2491" s="64">
        <v>1.0750873928109217</v>
      </c>
      <c r="H2491" s="10"/>
      <c r="I2491" s="65">
        <v>0.05237256779999999</v>
      </c>
      <c r="J2491" s="65">
        <v>0.11575981320399999</v>
      </c>
      <c r="K2491" s="65">
        <v>0.047087781806921816</v>
      </c>
      <c r="L2491" s="65">
        <v>0.85986723</v>
      </c>
      <c r="N2491" s="66">
        <v>5.7324482</v>
      </c>
      <c r="O2491" s="10"/>
      <c r="Q2491" s="67">
        <v>127.67214</v>
      </c>
      <c r="S2491" s="68">
        <v>0.11818531</v>
      </c>
      <c r="T2491" s="68">
        <v>0.10528048</v>
      </c>
      <c r="U2491" s="68">
        <v>0.0047673654</v>
      </c>
      <c r="V2491" s="68">
        <v>0.0081374684</v>
      </c>
      <c r="X2491" s="69">
        <v>3.4663645E-4</v>
      </c>
    </row>
    <row r="2492" ht="12.75" customHeight="1">
      <c r="A2492" s="1" t="s">
        <v>3212</v>
      </c>
      <c r="B2492" s="62" t="s">
        <v>3160</v>
      </c>
      <c r="C2492" s="60" t="str">
        <f t="shared" si="549"/>
        <v>P.030.24.200</v>
      </c>
      <c r="D2492" s="1" t="s">
        <v>3158</v>
      </c>
      <c r="E2492" s="62" t="s">
        <v>45</v>
      </c>
      <c r="F2492" s="63" t="str">
        <f t="shared" si="550"/>
        <v>N-phenylureas (n=2, std=0.42)</v>
      </c>
      <c r="G2492" s="64">
        <v>1.793931544113</v>
      </c>
      <c r="H2492" s="10"/>
      <c r="I2492" s="65">
        <v>0.07091202072000001</v>
      </c>
      <c r="J2492" s="65">
        <v>0.14552068879299998</v>
      </c>
      <c r="K2492" s="65">
        <v>0.13051463459999998</v>
      </c>
      <c r="L2492" s="65">
        <v>1.4469842</v>
      </c>
      <c r="N2492" s="66">
        <v>9.646561333333333</v>
      </c>
      <c r="O2492" s="10"/>
      <c r="Q2492" s="67">
        <v>157.22403</v>
      </c>
      <c r="S2492" s="68">
        <v>0.19116077</v>
      </c>
      <c r="T2492" s="68">
        <v>0.17605189</v>
      </c>
      <c r="U2492" s="68">
        <v>0.0078568849</v>
      </c>
      <c r="V2492" s="68">
        <v>0.0072519884</v>
      </c>
      <c r="X2492" s="69">
        <v>4.8787308E-4</v>
      </c>
    </row>
    <row r="2493" ht="12.75" customHeight="1">
      <c r="A2493" s="1" t="s">
        <v>3213</v>
      </c>
      <c r="B2493" s="62" t="s">
        <v>3160</v>
      </c>
      <c r="C2493" s="60" t="str">
        <f t="shared" si="549"/>
        <v>P.030.24.300</v>
      </c>
      <c r="D2493" s="1" t="s">
        <v>3158</v>
      </c>
      <c r="E2493" s="62" t="s">
        <v>45</v>
      </c>
      <c r="F2493" s="63" t="str">
        <f t="shared" si="550"/>
        <v>Non-metal nitrates (n=1, std=-)</v>
      </c>
      <c r="G2493" s="64">
        <v>0.095682114712941</v>
      </c>
      <c r="H2493" s="10"/>
      <c r="I2493" s="65">
        <v>3.0235661609E-5</v>
      </c>
      <c r="J2493" s="65">
        <v>5.8646541932E-5</v>
      </c>
      <c r="K2493" s="65">
        <v>1.214805094E-4</v>
      </c>
      <c r="L2493" s="65">
        <v>0.095471752</v>
      </c>
      <c r="N2493" s="66">
        <v>0.6364783466666667</v>
      </c>
      <c r="O2493" s="10"/>
      <c r="Q2493" s="67">
        <v>0.085348789</v>
      </c>
      <c r="S2493" s="68">
        <v>0.01034668</v>
      </c>
      <c r="T2493" s="68">
        <v>0.009862286</v>
      </c>
      <c r="U2493" s="68">
        <v>4.8212013E-4</v>
      </c>
      <c r="V2493" s="68">
        <v>2.2738329E-6</v>
      </c>
      <c r="X2493" s="69">
        <v>1.7851615E-5</v>
      </c>
    </row>
    <row r="2494" ht="12.75" customHeight="1">
      <c r="A2494" s="1" t="s">
        <v>3214</v>
      </c>
      <c r="B2494" s="62" t="s">
        <v>3160</v>
      </c>
      <c r="C2494" s="60" t="str">
        <f t="shared" si="549"/>
        <v>P.030.24.400</v>
      </c>
      <c r="D2494" s="1" t="s">
        <v>3158</v>
      </c>
      <c r="E2494" s="62" t="s">
        <v>45</v>
      </c>
      <c r="F2494" s="63" t="str">
        <f t="shared" si="550"/>
        <v>Non-metal phosphates (n=1, std=-)</v>
      </c>
      <c r="G2494" s="64">
        <v>0.1263720749167</v>
      </c>
      <c r="H2494" s="10"/>
      <c r="I2494" s="65">
        <v>0.04649099013</v>
      </c>
      <c r="J2494" s="65">
        <v>0.0035015165867</v>
      </c>
      <c r="K2494" s="65">
        <v>0.0065705072</v>
      </c>
      <c r="L2494" s="65">
        <v>0.069809061</v>
      </c>
      <c r="N2494" s="66">
        <v>0.46539374000000006</v>
      </c>
      <c r="O2494" s="10"/>
      <c r="Q2494" s="67">
        <v>7.4215674</v>
      </c>
      <c r="S2494" s="68">
        <v>0.0085061962</v>
      </c>
      <c r="T2494" s="68">
        <v>0.0076765279</v>
      </c>
      <c r="U2494" s="68">
        <v>3.7596629E-4</v>
      </c>
      <c r="V2494" s="68">
        <v>4.5370201E-4</v>
      </c>
      <c r="X2494" s="69">
        <v>4.8394896E-5</v>
      </c>
    </row>
    <row r="2495" ht="12.75" customHeight="1">
      <c r="A2495" s="1" t="s">
        <v>3215</v>
      </c>
      <c r="B2495" s="62" t="s">
        <v>3160</v>
      </c>
      <c r="C2495" s="60" t="str">
        <f t="shared" si="549"/>
        <v>P.030.24.500</v>
      </c>
      <c r="D2495" s="1" t="s">
        <v>3158</v>
      </c>
      <c r="E2495" s="62" t="s">
        <v>45</v>
      </c>
      <c r="F2495" s="63" t="str">
        <f t="shared" si="550"/>
        <v>Non-metal sulfates (n=1, std=-)</v>
      </c>
      <c r="G2495" s="64">
        <v>0.02170636539</v>
      </c>
      <c r="H2495" s="10"/>
      <c r="I2495" s="65">
        <v>0.0050796</v>
      </c>
      <c r="J2495" s="65">
        <v>3.066579E-5</v>
      </c>
      <c r="K2495" s="65">
        <v>0.0032580996</v>
      </c>
      <c r="L2495" s="65">
        <v>0.013338</v>
      </c>
      <c r="N2495" s="66">
        <v>0.08892</v>
      </c>
      <c r="O2495" s="10"/>
      <c r="Q2495" s="67">
        <v>1.56066</v>
      </c>
      <c r="S2495" s="68">
        <v>0.0015524863</v>
      </c>
      <c r="T2495" s="68">
        <v>0.0013879561</v>
      </c>
      <c r="U2495" s="68">
        <v>7.589412E-5</v>
      </c>
      <c r="V2495" s="68">
        <v>8.8635989E-5</v>
      </c>
      <c r="X2495" s="69">
        <v>5.2682481E-6</v>
      </c>
    </row>
    <row r="2496" ht="12.75" customHeight="1">
      <c r="A2496" s="1" t="s">
        <v>3216</v>
      </c>
      <c r="B2496" s="62" t="s">
        <v>3160</v>
      </c>
      <c r="C2496" s="60" t="str">
        <f t="shared" si="549"/>
        <v>P.030.25.200</v>
      </c>
      <c r="D2496" s="1" t="s">
        <v>3158</v>
      </c>
      <c r="E2496" s="62" t="s">
        <v>45</v>
      </c>
      <c r="F2496" s="63" t="str">
        <f t="shared" si="550"/>
        <v>Organic carbonic acids (n=1, std=-)</v>
      </c>
      <c r="G2496" s="64">
        <v>0.25675661226839996</v>
      </c>
      <c r="H2496" s="10"/>
      <c r="I2496" s="65">
        <v>0.018081751526</v>
      </c>
      <c r="J2496" s="65">
        <v>0.0672090802524</v>
      </c>
      <c r="K2496" s="65">
        <v>5.4838049E-4</v>
      </c>
      <c r="L2496" s="65">
        <v>0.1709174</v>
      </c>
      <c r="N2496" s="66">
        <v>1.1394493333333333</v>
      </c>
      <c r="O2496" s="10"/>
      <c r="Q2496" s="67">
        <v>13.834677</v>
      </c>
      <c r="S2496" s="68">
        <v>0.036118804</v>
      </c>
      <c r="T2496" s="68">
        <v>0.033965811</v>
      </c>
      <c r="U2496" s="68">
        <v>0.0011712871</v>
      </c>
      <c r="V2496" s="68">
        <v>9.8170618E-4</v>
      </c>
      <c r="X2496" s="69">
        <v>6.9605066E-5</v>
      </c>
    </row>
    <row r="2497" ht="12.75" customHeight="1">
      <c r="A2497" s="1" t="s">
        <v>3217</v>
      </c>
      <c r="B2497" s="62" t="s">
        <v>3160</v>
      </c>
      <c r="C2497" s="60" t="str">
        <f t="shared" si="549"/>
        <v>P.030.25.300</v>
      </c>
      <c r="D2497" s="1" t="s">
        <v>3158</v>
      </c>
      <c r="E2497" s="62" t="s">
        <v>45</v>
      </c>
      <c r="F2497" s="63" t="str">
        <f t="shared" si="550"/>
        <v>Organic cyanides (n=3, std=0.10)</v>
      </c>
      <c r="G2497" s="64">
        <v>0.7866046872813008</v>
      </c>
      <c r="H2497" s="10"/>
      <c r="I2497" s="65">
        <v>0.027189946325000002</v>
      </c>
      <c r="J2497" s="65">
        <v>0.220016982098</v>
      </c>
      <c r="K2497" s="65">
        <v>0.013396668858300848</v>
      </c>
      <c r="L2497" s="65">
        <v>0.52600109</v>
      </c>
      <c r="N2497" s="66">
        <v>3.506673933333333</v>
      </c>
      <c r="O2497" s="10"/>
      <c r="Q2497" s="67">
        <v>49.327966</v>
      </c>
      <c r="S2497" s="68">
        <v>0.078533971</v>
      </c>
      <c r="T2497" s="68">
        <v>0.072034966</v>
      </c>
      <c r="U2497" s="68">
        <v>0.0031953983</v>
      </c>
      <c r="V2497" s="68">
        <v>0.0033036075</v>
      </c>
      <c r="X2497" s="69">
        <v>2.1808634E-4</v>
      </c>
    </row>
    <row r="2498" ht="12.75" customHeight="1">
      <c r="A2498" s="1" t="s">
        <v>3218</v>
      </c>
      <c r="B2498" s="62" t="s">
        <v>3160</v>
      </c>
      <c r="C2498" s="60" t="str">
        <f t="shared" si="549"/>
        <v>P.030.25.400</v>
      </c>
      <c r="D2498" s="1" t="s">
        <v>3158</v>
      </c>
      <c r="E2498" s="62" t="s">
        <v>45</v>
      </c>
      <c r="F2498" s="63" t="str">
        <f t="shared" si="550"/>
        <v>Organochlorides (n=1, std=-)</v>
      </c>
      <c r="G2498" s="64">
        <v>0.231325054935221</v>
      </c>
      <c r="H2498" s="10"/>
      <c r="I2498" s="65">
        <v>0.017496104021571</v>
      </c>
      <c r="J2498" s="65">
        <v>0.037574284441699995</v>
      </c>
      <c r="K2498" s="65">
        <v>9.776647195E-5</v>
      </c>
      <c r="L2498" s="65">
        <v>0.1761569</v>
      </c>
      <c r="N2498" s="66">
        <v>1.1743793333333334</v>
      </c>
      <c r="O2498" s="10"/>
      <c r="Q2498" s="67">
        <v>13.365076</v>
      </c>
      <c r="S2498" s="68">
        <v>0.030779399</v>
      </c>
      <c r="T2498" s="68">
        <v>0.028980102</v>
      </c>
      <c r="U2498" s="68">
        <v>0.0011008339</v>
      </c>
      <c r="V2498" s="68">
        <v>6.9846375E-4</v>
      </c>
      <c r="X2498" s="69">
        <v>9.1195306E-5</v>
      </c>
    </row>
    <row r="2499" ht="12.75" customHeight="1">
      <c r="A2499" s="1" t="s">
        <v>3219</v>
      </c>
      <c r="B2499" s="62" t="s">
        <v>3160</v>
      </c>
      <c r="C2499" s="60" t="str">
        <f t="shared" si="549"/>
        <v>P.030.25.500</v>
      </c>
      <c r="D2499" s="1" t="s">
        <v>3158</v>
      </c>
      <c r="E2499" s="62" t="s">
        <v>45</v>
      </c>
      <c r="F2499" s="63" t="str">
        <f t="shared" si="550"/>
        <v>Organofluorides (n=1, std=-)</v>
      </c>
      <c r="G2499" s="64">
        <v>0.00570548150179</v>
      </c>
      <c r="H2499" s="10"/>
      <c r="I2499" s="65">
        <v>2.298450947E-4</v>
      </c>
      <c r="J2499" s="65">
        <v>3.2939258549E-4</v>
      </c>
      <c r="K2499" s="65">
        <v>5.0095621599999996E-5</v>
      </c>
      <c r="L2499" s="65">
        <v>0.0050961482</v>
      </c>
      <c r="N2499" s="66">
        <v>0.033974321333333335</v>
      </c>
      <c r="O2499" s="10"/>
      <c r="Q2499" s="67">
        <v>12.746392</v>
      </c>
      <c r="S2499" s="68">
        <v>0.0015047915</v>
      </c>
      <c r="T2499" s="68">
        <v>5.6852666E-4</v>
      </c>
      <c r="U2499" s="68">
        <v>2.6727723E-5</v>
      </c>
      <c r="V2499" s="68">
        <v>9.095371E-4</v>
      </c>
      <c r="X2499" s="69">
        <v>1.6443803E-5</v>
      </c>
    </row>
    <row r="2500" ht="12.75" customHeight="1">
      <c r="A2500" s="1" t="s">
        <v>3220</v>
      </c>
      <c r="B2500" s="62" t="s">
        <v>3160</v>
      </c>
      <c r="C2500" s="60" t="str">
        <f t="shared" si="549"/>
        <v>P.030.25.600</v>
      </c>
      <c r="D2500" s="1" t="s">
        <v>3158</v>
      </c>
      <c r="E2500" s="62" t="s">
        <v>45</v>
      </c>
      <c r="F2500" s="63" t="str">
        <f t="shared" si="550"/>
        <v>Other non-metal nitrides (n=1, std=-)</v>
      </c>
      <c r="G2500" s="64">
        <v>0.04398412051044419</v>
      </c>
      <c r="H2500" s="10"/>
      <c r="I2500" s="65">
        <v>0.00147578201862</v>
      </c>
      <c r="J2500" s="65">
        <v>0.0029684957379999995</v>
      </c>
      <c r="K2500" s="65">
        <v>0.00707414875382419</v>
      </c>
      <c r="L2500" s="65">
        <v>0.032465694</v>
      </c>
      <c r="N2500" s="66">
        <v>0.21643796000000004</v>
      </c>
      <c r="O2500" s="10"/>
      <c r="Q2500" s="67">
        <v>4.1237739</v>
      </c>
      <c r="S2500" s="68">
        <v>0.0041318186</v>
      </c>
      <c r="T2500" s="68">
        <v>0.0038782745</v>
      </c>
      <c r="U2500" s="68">
        <v>1.7505718E-4</v>
      </c>
      <c r="V2500" s="68">
        <v>7.8486915E-5</v>
      </c>
      <c r="X2500" s="69">
        <v>1.0991842E-5</v>
      </c>
    </row>
    <row r="2501" ht="12.75" customHeight="1">
      <c r="A2501" s="1" t="s">
        <v>3221</v>
      </c>
      <c r="B2501" s="62" t="s">
        <v>3160</v>
      </c>
      <c r="C2501" s="60" t="str">
        <f t="shared" si="549"/>
        <v>P.030.25.700</v>
      </c>
      <c r="D2501" s="1" t="s">
        <v>3158</v>
      </c>
      <c r="E2501" s="62" t="s">
        <v>45</v>
      </c>
      <c r="F2501" s="63" t="str">
        <f t="shared" si="550"/>
        <v>Other non-metal oxides (n=2, std=0.01)</v>
      </c>
      <c r="G2501" s="64">
        <v>0.0742685686254141</v>
      </c>
      <c r="H2501" s="10"/>
      <c r="I2501" s="65">
        <v>0.0025943420070000003</v>
      </c>
      <c r="J2501" s="65">
        <v>0.0047318387765</v>
      </c>
      <c r="K2501" s="65">
        <v>0.008345831841914097</v>
      </c>
      <c r="L2501" s="65">
        <v>0.058596556</v>
      </c>
      <c r="N2501" s="66">
        <v>0.3906437066666667</v>
      </c>
      <c r="O2501" s="10"/>
      <c r="Q2501" s="67">
        <v>6.861028</v>
      </c>
      <c r="S2501" s="68">
        <v>0.0073781298</v>
      </c>
      <c r="T2501" s="68">
        <v>0.0068316387</v>
      </c>
      <c r="U2501" s="68">
        <v>3.1270983E-4</v>
      </c>
      <c r="V2501" s="68">
        <v>2.3378126E-4</v>
      </c>
      <c r="X2501" s="69">
        <v>1.9557127E-5</v>
      </c>
    </row>
    <row r="2502" ht="12.75" customHeight="1">
      <c r="A2502" s="1" t="s">
        <v>3222</v>
      </c>
      <c r="B2502" s="62" t="s">
        <v>3160</v>
      </c>
      <c r="C2502" s="60" t="str">
        <f t="shared" si="549"/>
        <v>P.030.25.800</v>
      </c>
      <c r="D2502" s="1" t="s">
        <v>3158</v>
      </c>
      <c r="E2502" s="62" t="s">
        <v>45</v>
      </c>
      <c r="F2502" s="63" t="str">
        <f t="shared" si="550"/>
        <v>Other non-metal sulfides (n=2, std=0.08)</v>
      </c>
      <c r="G2502" s="64">
        <v>0.15440139526193158</v>
      </c>
      <c r="H2502" s="10"/>
      <c r="I2502" s="65">
        <v>0.0061386560689999994</v>
      </c>
      <c r="J2502" s="65">
        <v>0.0090110267979</v>
      </c>
      <c r="K2502" s="65">
        <v>0.0028391523950315866</v>
      </c>
      <c r="L2502" s="65">
        <v>0.13641256</v>
      </c>
      <c r="N2502" s="66">
        <v>0.9094170666666667</v>
      </c>
      <c r="O2502" s="10"/>
      <c r="Q2502" s="67">
        <v>13.680175</v>
      </c>
      <c r="S2502" s="68">
        <v>0.016924638</v>
      </c>
      <c r="T2502" s="68">
        <v>0.015292329</v>
      </c>
      <c r="U2502" s="68">
        <v>7.1779288E-4</v>
      </c>
      <c r="V2502" s="68">
        <v>9.145164E-4</v>
      </c>
      <c r="X2502" s="69">
        <v>4.4656667E-5</v>
      </c>
    </row>
    <row r="2503" ht="12.75" customHeight="1">
      <c r="A2503" s="1" t="s">
        <v>3223</v>
      </c>
      <c r="B2503" s="62" t="s">
        <v>3160</v>
      </c>
      <c r="C2503" s="60" t="str">
        <f t="shared" si="549"/>
        <v>P.030.26.100</v>
      </c>
      <c r="D2503" s="1" t="s">
        <v>3158</v>
      </c>
      <c r="E2503" s="62" t="s">
        <v>45</v>
      </c>
      <c r="F2503" s="63" t="str">
        <f t="shared" si="550"/>
        <v>Phenoxyacetic acid derivatives (n=3, std=0.11)</v>
      </c>
      <c r="G2503" s="64">
        <v>1.00948176345</v>
      </c>
      <c r="H2503" s="10"/>
      <c r="I2503" s="65">
        <v>0.044423840449999995</v>
      </c>
      <c r="J2503" s="65">
        <v>0.1008970605</v>
      </c>
      <c r="K2503" s="65">
        <v>0.046501272499999996</v>
      </c>
      <c r="L2503" s="65">
        <v>0.81765959</v>
      </c>
      <c r="N2503" s="66">
        <v>5.451063933333334</v>
      </c>
      <c r="O2503" s="10"/>
      <c r="Q2503" s="67">
        <v>83.911009</v>
      </c>
      <c r="S2503" s="68">
        <v>0.11339855</v>
      </c>
      <c r="T2503" s="68">
        <v>0.10424395</v>
      </c>
      <c r="U2503" s="68">
        <v>0.0045280438</v>
      </c>
      <c r="V2503" s="68">
        <v>0.0046265542</v>
      </c>
      <c r="X2503" s="69">
        <v>2.7951913E-4</v>
      </c>
    </row>
    <row r="2504" ht="12.75" customHeight="1">
      <c r="A2504" s="1" t="s">
        <v>3224</v>
      </c>
      <c r="B2504" s="62" t="s">
        <v>3160</v>
      </c>
      <c r="C2504" s="60" t="str">
        <f t="shared" si="549"/>
        <v>P.030.26.200</v>
      </c>
      <c r="D2504" s="1" t="s">
        <v>3158</v>
      </c>
      <c r="E2504" s="62" t="s">
        <v>45</v>
      </c>
      <c r="F2504" s="63" t="str">
        <f t="shared" si="550"/>
        <v>Phenylpropanes (n=2, std=0.43)</v>
      </c>
      <c r="G2504" s="64">
        <v>0.6171203182694</v>
      </c>
      <c r="H2504" s="10"/>
      <c r="I2504" s="65">
        <v>0.02297617936</v>
      </c>
      <c r="J2504" s="65">
        <v>0.07350118871939999</v>
      </c>
      <c r="K2504" s="65">
        <v>0.022928390189999998</v>
      </c>
      <c r="L2504" s="65">
        <v>0.49771456</v>
      </c>
      <c r="N2504" s="66">
        <v>3.3180970666666667</v>
      </c>
      <c r="O2504" s="10"/>
      <c r="Q2504" s="67">
        <v>64.585701</v>
      </c>
      <c r="S2504" s="68">
        <v>0.074846238</v>
      </c>
      <c r="T2504" s="68">
        <v>0.068082639</v>
      </c>
      <c r="U2504" s="68">
        <v>0.0028434646</v>
      </c>
      <c r="V2504" s="68">
        <v>0.0039201341</v>
      </c>
      <c r="X2504" s="69">
        <v>1.9023594E-4</v>
      </c>
    </row>
    <row r="2505" ht="12.75" customHeight="1">
      <c r="A2505" s="1" t="s">
        <v>3225</v>
      </c>
      <c r="B2505" s="62" t="s">
        <v>3160</v>
      </c>
      <c r="C2505" s="60" t="str">
        <f t="shared" si="549"/>
        <v>P.030.26.300</v>
      </c>
      <c r="D2505" s="1" t="s">
        <v>3158</v>
      </c>
      <c r="E2505" s="62" t="s">
        <v>45</v>
      </c>
      <c r="F2505" s="63" t="str">
        <f t="shared" si="550"/>
        <v>Pyridinium derivatives (n=1, std=-)</v>
      </c>
      <c r="G2505" s="64">
        <v>3.381554279285</v>
      </c>
      <c r="H2505" s="10"/>
      <c r="I2505" s="65">
        <v>0.1297625944</v>
      </c>
      <c r="J2505" s="65">
        <v>0.207028563985</v>
      </c>
      <c r="K2505" s="65">
        <v>0.1554768209</v>
      </c>
      <c r="L2505" s="65">
        <v>2.8892863</v>
      </c>
      <c r="N2505" s="66">
        <v>19.26190866666667</v>
      </c>
      <c r="O2505" s="10"/>
      <c r="Q2505" s="67">
        <v>302.89419</v>
      </c>
      <c r="S2505" s="68">
        <v>0.36103871</v>
      </c>
      <c r="T2505" s="68">
        <v>0.3286138</v>
      </c>
      <c r="U2505" s="68">
        <v>0.015267242</v>
      </c>
      <c r="V2505" s="68">
        <v>0.017157664</v>
      </c>
      <c r="X2505" s="69">
        <v>9.5034681E-4</v>
      </c>
    </row>
    <row r="2506" ht="12.75" customHeight="1">
      <c r="A2506" s="1" t="s">
        <v>3226</v>
      </c>
      <c r="B2506" s="62" t="s">
        <v>3160</v>
      </c>
      <c r="C2506" s="60" t="str">
        <f t="shared" si="549"/>
        <v>P.030.29.100</v>
      </c>
      <c r="D2506" s="1" t="s">
        <v>3158</v>
      </c>
      <c r="E2506" s="62" t="s">
        <v>45</v>
      </c>
      <c r="F2506" s="63" t="str">
        <f t="shared" si="550"/>
        <v>Styrenes (n=1, std=-)</v>
      </c>
      <c r="G2506" s="64">
        <v>0.36331041317385027</v>
      </c>
      <c r="H2506" s="10"/>
      <c r="I2506" s="65">
        <v>0.024602403085128</v>
      </c>
      <c r="J2506" s="65">
        <v>0.025208010088722248</v>
      </c>
      <c r="K2506" s="65">
        <v>0.0</v>
      </c>
      <c r="L2506" s="65">
        <v>0.3135</v>
      </c>
      <c r="N2506" s="66">
        <v>2.0900000000000003</v>
      </c>
      <c r="O2506" s="10"/>
      <c r="Q2506" s="67">
        <v>44.732</v>
      </c>
      <c r="S2506" s="68">
        <v>0.044945869</v>
      </c>
      <c r="T2506" s="68">
        <v>0.039984984</v>
      </c>
      <c r="U2506" s="68">
        <v>0.0017670207</v>
      </c>
      <c r="V2506" s="68">
        <v>0.0031938648</v>
      </c>
      <c r="X2506" s="69">
        <v>1.2396898E-4</v>
      </c>
    </row>
    <row r="2507" ht="12.75" customHeight="1">
      <c r="A2507" s="1" t="s">
        <v>3227</v>
      </c>
      <c r="B2507" s="62" t="s">
        <v>3160</v>
      </c>
      <c r="C2507" s="60" t="str">
        <f t="shared" si="549"/>
        <v>P.030.29.200</v>
      </c>
      <c r="D2507" s="1" t="s">
        <v>3158</v>
      </c>
      <c r="E2507" s="62" t="s">
        <v>45</v>
      </c>
      <c r="F2507" s="63" t="str">
        <f t="shared" si="550"/>
        <v>Sulfonylureas (n=1, std=-)</v>
      </c>
      <c r="G2507" s="64">
        <v>3.024328159</v>
      </c>
      <c r="H2507" s="10"/>
      <c r="I2507" s="65">
        <v>0.1196614067</v>
      </c>
      <c r="J2507" s="65">
        <v>0.2222846575</v>
      </c>
      <c r="K2507" s="65">
        <v>0.1667062948</v>
      </c>
      <c r="L2507" s="65">
        <v>2.5156758</v>
      </c>
      <c r="N2507" s="66">
        <v>16.771172</v>
      </c>
      <c r="O2507" s="10"/>
      <c r="Q2507" s="67">
        <v>266.13998</v>
      </c>
      <c r="S2507" s="68">
        <v>0.32507164</v>
      </c>
      <c r="T2507" s="68">
        <v>0.29749832</v>
      </c>
      <c r="U2507" s="68">
        <v>0.013502428</v>
      </c>
      <c r="V2507" s="68">
        <v>0.014070882</v>
      </c>
      <c r="X2507" s="69">
        <v>8.3880891E-4</v>
      </c>
    </row>
    <row r="2508" ht="12.75" customHeight="1">
      <c r="A2508" s="1" t="s">
        <v>3228</v>
      </c>
      <c r="B2508" s="62" t="s">
        <v>3160</v>
      </c>
      <c r="C2508" s="60" t="str">
        <f t="shared" si="549"/>
        <v>P.030.29.300</v>
      </c>
      <c r="D2508" s="1" t="s">
        <v>3158</v>
      </c>
      <c r="E2508" s="62" t="s">
        <v>45</v>
      </c>
      <c r="F2508" s="63" t="str">
        <f t="shared" si="550"/>
        <v>Sulfoxides (n=1, std=-)</v>
      </c>
      <c r="G2508" s="64">
        <v>0.3171775668788083</v>
      </c>
      <c r="H2508" s="10"/>
      <c r="I2508" s="65">
        <v>0.019369200349999997</v>
      </c>
      <c r="J2508" s="65">
        <v>0.032325853509</v>
      </c>
      <c r="K2508" s="65">
        <v>0.020267553019808333</v>
      </c>
      <c r="L2508" s="65">
        <v>0.24521496</v>
      </c>
      <c r="N2508" s="66">
        <v>1.6347664000000002</v>
      </c>
      <c r="O2508" s="10"/>
      <c r="Q2508" s="67">
        <v>43.885598</v>
      </c>
      <c r="S2508" s="68">
        <v>0.033401029</v>
      </c>
      <c r="T2508" s="68">
        <v>0.029430479</v>
      </c>
      <c r="U2508" s="68">
        <v>0.0013410199</v>
      </c>
      <c r="V2508" s="68">
        <v>0.0026295307</v>
      </c>
      <c r="X2508" s="69">
        <v>1.0624447E-4</v>
      </c>
    </row>
    <row r="2509" ht="12.75" customHeight="1">
      <c r="A2509" s="1" t="s">
        <v>3229</v>
      </c>
      <c r="B2509" s="62" t="s">
        <v>3160</v>
      </c>
      <c r="C2509" s="60" t="str">
        <f t="shared" si="549"/>
        <v>P.030.29.300</v>
      </c>
      <c r="D2509" s="1" t="s">
        <v>3158</v>
      </c>
      <c r="E2509" s="62" t="s">
        <v>45</v>
      </c>
      <c r="F2509" s="63" t="str">
        <f t="shared" si="550"/>
        <v>Sulfuric acid esters (n=1, std=-)</v>
      </c>
      <c r="G2509" s="64">
        <v>0.1936729330751</v>
      </c>
      <c r="H2509" s="10"/>
      <c r="I2509" s="65">
        <v>0.00745346756</v>
      </c>
      <c r="J2509" s="65">
        <v>0.0103735043051</v>
      </c>
      <c r="K2509" s="65">
        <v>0.0015772312100000001</v>
      </c>
      <c r="L2509" s="65">
        <v>0.17426873</v>
      </c>
      <c r="N2509" s="66">
        <v>1.1617915333333335</v>
      </c>
      <c r="O2509" s="10"/>
      <c r="Q2509" s="67">
        <v>33.38924</v>
      </c>
      <c r="S2509" s="68">
        <v>0.022910447</v>
      </c>
      <c r="T2509" s="68">
        <v>0.019618242</v>
      </c>
      <c r="U2509" s="68">
        <v>9.2569527E-4</v>
      </c>
      <c r="V2509" s="68">
        <v>0.0023665096</v>
      </c>
      <c r="X2509" s="69">
        <v>7.6294871E-5</v>
      </c>
    </row>
    <row r="2510" ht="12.75" customHeight="1">
      <c r="A2510" s="1" t="s">
        <v>3230</v>
      </c>
      <c r="B2510" s="62" t="s">
        <v>3160</v>
      </c>
      <c r="C2510" s="60" t="str">
        <f t="shared" si="549"/>
        <v>P.030.30.100</v>
      </c>
      <c r="D2510" s="1" t="s">
        <v>3158</v>
      </c>
      <c r="E2510" s="62" t="s">
        <v>45</v>
      </c>
      <c r="F2510" s="63" t="str">
        <f t="shared" si="550"/>
        <v>Tetrahydrofurans (n=1, std=-)</v>
      </c>
      <c r="G2510" s="64">
        <v>0.9531162945313985</v>
      </c>
      <c r="H2510" s="10"/>
      <c r="I2510" s="65">
        <v>0.0618730908</v>
      </c>
      <c r="J2510" s="65">
        <v>-0.1844467251</v>
      </c>
      <c r="K2510" s="65">
        <v>0.24964626883139843</v>
      </c>
      <c r="L2510" s="65">
        <v>0.82604366</v>
      </c>
      <c r="N2510" s="66">
        <v>5.5069577333333335</v>
      </c>
      <c r="O2510" s="10"/>
      <c r="Q2510" s="67">
        <v>161.97397</v>
      </c>
      <c r="S2510" s="68">
        <v>0.11865221</v>
      </c>
      <c r="T2510" s="68">
        <v>0.10321856</v>
      </c>
      <c r="U2510" s="68">
        <v>0.0045710139</v>
      </c>
      <c r="V2510" s="68">
        <v>0.010862646</v>
      </c>
      <c r="X2510" s="69">
        <v>3.8465439E-4</v>
      </c>
    </row>
    <row r="2511" ht="12.75" customHeight="1">
      <c r="A2511" s="1" t="s">
        <v>3231</v>
      </c>
      <c r="B2511" s="62" t="s">
        <v>3160</v>
      </c>
      <c r="C2511" s="60" t="str">
        <f t="shared" si="549"/>
        <v>P.030.30.200</v>
      </c>
      <c r="D2511" s="1" t="s">
        <v>3158</v>
      </c>
      <c r="E2511" s="62" t="s">
        <v>45</v>
      </c>
      <c r="F2511" s="63" t="str">
        <f t="shared" si="550"/>
        <v>Thiocarbamic acid derivatives (n=1, std=-)</v>
      </c>
      <c r="G2511" s="64">
        <v>1.430114429345</v>
      </c>
      <c r="H2511" s="10"/>
      <c r="I2511" s="65">
        <v>0.05957419832</v>
      </c>
      <c r="J2511" s="65">
        <v>0.132884386425</v>
      </c>
      <c r="K2511" s="65">
        <v>0.0950315446</v>
      </c>
      <c r="L2511" s="65">
        <v>1.1426243</v>
      </c>
      <c r="N2511" s="66">
        <v>7.617495333333334</v>
      </c>
      <c r="O2511" s="10"/>
      <c r="Q2511" s="67">
        <v>122.05938</v>
      </c>
      <c r="S2511" s="68">
        <v>0.15585678</v>
      </c>
      <c r="T2511" s="68">
        <v>0.14373419</v>
      </c>
      <c r="U2511" s="68">
        <v>0.0062913492</v>
      </c>
      <c r="V2511" s="68">
        <v>0.0058312502</v>
      </c>
      <c r="X2511" s="69">
        <v>3.8947814E-4</v>
      </c>
    </row>
    <row r="2512" ht="12.75" customHeight="1">
      <c r="A2512" s="1" t="s">
        <v>3232</v>
      </c>
      <c r="B2512" s="62" t="s">
        <v>3160</v>
      </c>
      <c r="C2512" s="60" t="str">
        <f t="shared" si="549"/>
        <v>P.030.30.300</v>
      </c>
      <c r="D2512" s="1" t="s">
        <v>3158</v>
      </c>
      <c r="E2512" s="62" t="s">
        <v>45</v>
      </c>
      <c r="F2512" s="63" t="str">
        <f t="shared" si="550"/>
        <v>Thiophosphoric acid esters (n=2, std=0.13)</v>
      </c>
      <c r="G2512" s="64">
        <v>1.095359859864</v>
      </c>
      <c r="H2512" s="10"/>
      <c r="I2512" s="65">
        <v>0.04080026765</v>
      </c>
      <c r="J2512" s="65">
        <v>0.076840126614</v>
      </c>
      <c r="K2512" s="65">
        <v>0.0912041856</v>
      </c>
      <c r="L2512" s="65">
        <v>0.88651528</v>
      </c>
      <c r="N2512" s="66">
        <v>5.910101866666667</v>
      </c>
      <c r="O2512" s="10"/>
      <c r="Q2512" s="67">
        <v>98.597577</v>
      </c>
      <c r="S2512" s="68">
        <v>0.11367035</v>
      </c>
      <c r="T2512" s="68">
        <v>0.10467188</v>
      </c>
      <c r="U2512" s="68">
        <v>0.0047546133</v>
      </c>
      <c r="V2512" s="68">
        <v>0.0042438569</v>
      </c>
      <c r="X2512" s="69">
        <v>2.9617601E-4</v>
      </c>
    </row>
    <row r="2513" ht="12.75" customHeight="1">
      <c r="A2513" s="1" t="s">
        <v>3233</v>
      </c>
      <c r="B2513" s="62" t="s">
        <v>3160</v>
      </c>
      <c r="C2513" s="60" t="str">
        <f t="shared" si="549"/>
        <v>P.030.30.500</v>
      </c>
      <c r="D2513" s="1" t="s">
        <v>3158</v>
      </c>
      <c r="E2513" s="62" t="s">
        <v>45</v>
      </c>
      <c r="F2513" s="63" t="str">
        <f t="shared" si="550"/>
        <v>Transition metal chlorides (n=1, std=-)</v>
      </c>
      <c r="G2513" s="64">
        <v>0.0935086622869</v>
      </c>
      <c r="H2513" s="10"/>
      <c r="I2513" s="65">
        <v>0.0057844403788</v>
      </c>
      <c r="J2513" s="65">
        <v>0.0157548732771</v>
      </c>
      <c r="K2513" s="65">
        <v>0.003555624631</v>
      </c>
      <c r="L2513" s="65">
        <v>0.068413724</v>
      </c>
      <c r="N2513" s="66">
        <v>0.4560914933333333</v>
      </c>
      <c r="O2513" s="10"/>
      <c r="Q2513" s="67">
        <v>3.9775342</v>
      </c>
      <c r="S2513" s="68">
        <v>0.011906172</v>
      </c>
      <c r="T2513" s="68">
        <v>0.011356513</v>
      </c>
      <c r="U2513" s="68">
        <v>4.2843961E-4</v>
      </c>
      <c r="V2513" s="68">
        <v>1.2122011E-4</v>
      </c>
      <c r="X2513" s="69">
        <v>3.0571944E-5</v>
      </c>
    </row>
    <row r="2514" ht="12.75" customHeight="1">
      <c r="A2514" s="1" t="s">
        <v>3234</v>
      </c>
      <c r="B2514" s="62" t="s">
        <v>3160</v>
      </c>
      <c r="C2514" s="60" t="str">
        <f t="shared" si="549"/>
        <v>P.030.31.100</v>
      </c>
      <c r="D2514" s="1" t="s">
        <v>3158</v>
      </c>
      <c r="E2514" s="62" t="s">
        <v>45</v>
      </c>
      <c r="F2514" s="63" t="str">
        <f t="shared" si="550"/>
        <v>Unsaturated aliphatic hydrocarbons (n=3, std=0.06)</v>
      </c>
      <c r="G2514" s="64">
        <v>0.30178639970794124</v>
      </c>
      <c r="H2514" s="10"/>
      <c r="I2514" s="65">
        <v>0.007799938554</v>
      </c>
      <c r="J2514" s="65">
        <v>0.045020870870899996</v>
      </c>
      <c r="K2514" s="65">
        <v>8.379702830412415E-4</v>
      </c>
      <c r="L2514" s="65">
        <v>0.24812762</v>
      </c>
      <c r="N2514" s="66">
        <v>1.6541841333333334</v>
      </c>
      <c r="O2514" s="10"/>
      <c r="Q2514" s="67">
        <v>47.539508</v>
      </c>
      <c r="S2514" s="68">
        <v>0.041260849</v>
      </c>
      <c r="T2514" s="68">
        <v>0.036409814</v>
      </c>
      <c r="U2514" s="68">
        <v>0.0015023955</v>
      </c>
      <c r="V2514" s="68">
        <v>0.0033486401</v>
      </c>
      <c r="X2514" s="69">
        <v>1.1887105E-4</v>
      </c>
    </row>
    <row r="2515" ht="12.75" customHeight="1">
      <c r="A2515" s="1" t="s">
        <v>3235</v>
      </c>
      <c r="B2515" s="62" t="s">
        <v>3160</v>
      </c>
      <c r="C2515" s="60" t="str">
        <f t="shared" si="549"/>
        <v>P.030.31.300</v>
      </c>
      <c r="D2515" s="1" t="s">
        <v>3158</v>
      </c>
      <c r="E2515" s="62" t="s">
        <v>45</v>
      </c>
      <c r="F2515" s="63" t="str">
        <f t="shared" si="550"/>
        <v>Ureas (n=1, std=-)</v>
      </c>
      <c r="G2515" s="64">
        <v>0.8991755136501831</v>
      </c>
      <c r="H2515" s="10"/>
      <c r="I2515" s="65">
        <v>0.04313065638</v>
      </c>
      <c r="J2515" s="65">
        <v>0.10181769894</v>
      </c>
      <c r="K2515" s="65">
        <v>0.026754548330183082</v>
      </c>
      <c r="L2515" s="65">
        <v>0.72747261</v>
      </c>
      <c r="N2515" s="66">
        <v>4.8498174</v>
      </c>
      <c r="O2515" s="10"/>
      <c r="Q2515" s="67">
        <v>69.884898</v>
      </c>
      <c r="S2515" s="68">
        <v>0.10440369</v>
      </c>
      <c r="T2515" s="68">
        <v>0.095783113</v>
      </c>
      <c r="U2515" s="68">
        <v>0.0041068442</v>
      </c>
      <c r="V2515" s="68">
        <v>0.0045137373</v>
      </c>
      <c r="X2515" s="69">
        <v>2.5163513E-4</v>
      </c>
    </row>
    <row r="2516" ht="12.75" customHeight="1">
      <c r="A2516" s="1" t="s">
        <v>3236</v>
      </c>
      <c r="B2516" s="62" t="s">
        <v>3160</v>
      </c>
      <c r="C2516" s="60" t="str">
        <f t="shared" si="549"/>
        <v>P.030.34.100</v>
      </c>
      <c r="D2516" s="1" t="s">
        <v>3158</v>
      </c>
      <c r="E2516" s="62" t="s">
        <v>45</v>
      </c>
      <c r="F2516" s="63" t="str">
        <f t="shared" si="550"/>
        <v>Xylenes (n=1, std=-)</v>
      </c>
      <c r="G2516" s="64">
        <v>0.2788071290180769</v>
      </c>
      <c r="H2516" s="10"/>
      <c r="I2516" s="65">
        <v>0.0051937251244130005</v>
      </c>
      <c r="J2516" s="65">
        <v>0.05911340389366394</v>
      </c>
      <c r="K2516" s="65">
        <v>0.0</v>
      </c>
      <c r="L2516" s="65">
        <v>0.2145</v>
      </c>
      <c r="N2516" s="66">
        <v>1.43</v>
      </c>
      <c r="O2516" s="10"/>
      <c r="Q2516" s="67">
        <v>52.388</v>
      </c>
      <c r="S2516" s="68">
        <v>0.044579483</v>
      </c>
      <c r="T2516" s="68">
        <v>0.039440455</v>
      </c>
      <c r="U2516" s="68">
        <v>0.0014153751</v>
      </c>
      <c r="V2516" s="68">
        <v>0.0037236528</v>
      </c>
      <c r="X2516" s="69">
        <v>1.2113319E-4</v>
      </c>
    </row>
    <row r="2517" ht="12.75" customHeight="1">
      <c r="A2517" s="1" t="s">
        <v>3237</v>
      </c>
      <c r="B2517" s="62" t="s">
        <v>3160</v>
      </c>
      <c r="C2517" s="60" t="str">
        <f t="shared" si="549"/>
        <v>P.030.51.100</v>
      </c>
      <c r="D2517" s="1" t="s">
        <v>3158</v>
      </c>
      <c r="E2517" s="62" t="s">
        <v>45</v>
      </c>
      <c r="F2517" s="63" t="str">
        <f t="shared" si="550"/>
        <v>Acrylic acids and derivatives (n=2, std=0.10)</v>
      </c>
      <c r="G2517" s="64">
        <v>0.8305303910449999</v>
      </c>
      <c r="H2517" s="10"/>
      <c r="I2517" s="65">
        <v>0.10662264402</v>
      </c>
      <c r="J2517" s="65">
        <v>0.126858747025</v>
      </c>
      <c r="K2517" s="65">
        <v>0.060799</v>
      </c>
      <c r="L2517" s="65">
        <v>0.53625</v>
      </c>
      <c r="N2517" s="66">
        <v>3.575</v>
      </c>
      <c r="O2517" s="10"/>
      <c r="Q2517" s="67">
        <v>3.1119</v>
      </c>
      <c r="S2517" s="68">
        <v>0.091071154</v>
      </c>
      <c r="T2517" s="68">
        <v>0.087777361</v>
      </c>
      <c r="U2517" s="68">
        <v>0.0032886401</v>
      </c>
      <c r="V2517" s="68">
        <v>5.152224E-6</v>
      </c>
      <c r="X2517" s="69">
        <v>1.9072782E-4</v>
      </c>
    </row>
    <row r="2518" ht="12.75" customHeight="1">
      <c r="A2518" s="1" t="s">
        <v>3238</v>
      </c>
      <c r="B2518" s="62" t="s">
        <v>3160</v>
      </c>
      <c r="C2518" s="60" t="str">
        <f t="shared" si="549"/>
        <v>P.030.52.100</v>
      </c>
      <c r="D2518" s="1" t="s">
        <v>3158</v>
      </c>
      <c r="E2518" s="62" t="s">
        <v>45</v>
      </c>
      <c r="F2518" s="63" t="str">
        <f t="shared" si="550"/>
        <v>Benzenediols (n=2, std=1.80)</v>
      </c>
      <c r="G2518" s="64">
        <v>2.07250801982</v>
      </c>
      <c r="H2518" s="10"/>
      <c r="I2518" s="65">
        <v>0.26860796600000003</v>
      </c>
      <c r="J2518" s="65">
        <v>0.37675205382</v>
      </c>
      <c r="K2518" s="65">
        <v>0.103248</v>
      </c>
      <c r="L2518" s="65">
        <v>1.3239</v>
      </c>
      <c r="N2518" s="66">
        <v>8.826</v>
      </c>
      <c r="O2518" s="10"/>
      <c r="Q2518" s="67">
        <v>6.4493</v>
      </c>
      <c r="S2518" s="68">
        <v>0.23235092</v>
      </c>
      <c r="T2518" s="68">
        <v>0.22408124</v>
      </c>
      <c r="U2518" s="68">
        <v>0.008262281</v>
      </c>
      <c r="V2518" s="68">
        <v>7.398468E-6</v>
      </c>
      <c r="X2518" s="69">
        <v>4.6370927E-4</v>
      </c>
    </row>
    <row r="2519" ht="12.75" customHeight="1">
      <c r="A2519" s="1" t="s">
        <v>3239</v>
      </c>
      <c r="B2519" s="62" t="s">
        <v>3160</v>
      </c>
      <c r="C2519" s="60" t="str">
        <f t="shared" si="549"/>
        <v>P.030.52.200</v>
      </c>
      <c r="D2519" s="1" t="s">
        <v>3158</v>
      </c>
      <c r="E2519" s="62" t="s">
        <v>45</v>
      </c>
      <c r="F2519" s="63" t="str">
        <f t="shared" si="550"/>
        <v>Benzoic acids and derivatives (n=2, std=0.10)</v>
      </c>
      <c r="G2519" s="64">
        <v>1.005655368462</v>
      </c>
      <c r="H2519" s="10"/>
      <c r="I2519" s="65">
        <v>0.1633849729</v>
      </c>
      <c r="J2519" s="65">
        <v>0.152237395562</v>
      </c>
      <c r="K2519" s="65">
        <v>0.088983</v>
      </c>
      <c r="L2519" s="65">
        <v>0.60105</v>
      </c>
      <c r="N2519" s="66">
        <v>4.007</v>
      </c>
      <c r="O2519" s="10"/>
      <c r="Q2519" s="67">
        <v>4.5551</v>
      </c>
      <c r="S2519" s="68">
        <v>0.10529968</v>
      </c>
      <c r="T2519" s="68">
        <v>0.10156353</v>
      </c>
      <c r="U2519" s="68">
        <v>0.0037286067</v>
      </c>
      <c r="V2519" s="68">
        <v>7.53984E-6</v>
      </c>
      <c r="X2519" s="69">
        <v>2.445308E-4</v>
      </c>
    </row>
    <row r="2520" ht="12.75" customHeight="1">
      <c r="A2520" s="1" t="s">
        <v>3240</v>
      </c>
      <c r="B2520" s="62" t="s">
        <v>3160</v>
      </c>
      <c r="C2520" s="60" t="str">
        <f t="shared" si="549"/>
        <v>P.030.53.100</v>
      </c>
      <c r="D2520" s="1" t="s">
        <v>3158</v>
      </c>
      <c r="E2520" s="62" t="s">
        <v>45</v>
      </c>
      <c r="F2520" s="63" t="str">
        <f t="shared" si="550"/>
        <v>Carbohydrates and carbohydrate conjugates (n=2, std=0.61)</v>
      </c>
      <c r="G2520" s="64">
        <v>0.940734984586</v>
      </c>
      <c r="H2520" s="10"/>
      <c r="I2520" s="65">
        <v>0.09342732932</v>
      </c>
      <c r="J2520" s="65">
        <v>0.47197115526600003</v>
      </c>
      <c r="K2520" s="65">
        <v>0.0474365</v>
      </c>
      <c r="L2520" s="65">
        <v>0.3279</v>
      </c>
      <c r="N2520" s="66">
        <v>2.1860000000000004</v>
      </c>
      <c r="O2520" s="10"/>
      <c r="Q2520" s="67">
        <v>2.00695</v>
      </c>
      <c r="S2520" s="68">
        <v>0.05475686</v>
      </c>
      <c r="T2520" s="68">
        <v>0.052752831</v>
      </c>
      <c r="U2520" s="68">
        <v>0.001999521</v>
      </c>
      <c r="V2520" s="68">
        <v>4.508196E-6</v>
      </c>
      <c r="X2520" s="69">
        <v>1.3609138E-4</v>
      </c>
    </row>
    <row r="2521" ht="12.75" customHeight="1">
      <c r="A2521" s="1" t="s">
        <v>3241</v>
      </c>
      <c r="B2521" s="62" t="s">
        <v>3160</v>
      </c>
      <c r="C2521" s="60" t="str">
        <f t="shared" si="549"/>
        <v>P.030.53.200</v>
      </c>
      <c r="D2521" s="1" t="s">
        <v>3158</v>
      </c>
      <c r="E2521" s="62" t="s">
        <v>45</v>
      </c>
      <c r="F2521" s="63" t="str">
        <f t="shared" si="550"/>
        <v>Carbonic acid diesters (n=2, std=0.12)</v>
      </c>
      <c r="G2521" s="64">
        <v>0.5008001258715999</v>
      </c>
      <c r="H2521" s="10"/>
      <c r="I2521" s="65">
        <v>0.07670251809999999</v>
      </c>
      <c r="J2521" s="65">
        <v>0.0728947077716</v>
      </c>
      <c r="K2521" s="65">
        <v>0.048052899999999996</v>
      </c>
      <c r="L2521" s="65">
        <v>0.30315</v>
      </c>
      <c r="N2521" s="66">
        <v>2.021</v>
      </c>
      <c r="O2521" s="10"/>
      <c r="Q2521" s="67">
        <v>2.17833</v>
      </c>
      <c r="S2521" s="68">
        <v>0.051191632</v>
      </c>
      <c r="T2521" s="68">
        <v>0.049342127</v>
      </c>
      <c r="U2521" s="68">
        <v>0.0018451064</v>
      </c>
      <c r="V2521" s="68">
        <v>4.39824E-6</v>
      </c>
      <c r="X2521" s="69">
        <v>1.2007333E-4</v>
      </c>
    </row>
    <row r="2522" ht="12.75" customHeight="1">
      <c r="A2522" s="1" t="s">
        <v>3242</v>
      </c>
      <c r="B2522" s="62" t="s">
        <v>3160</v>
      </c>
      <c r="C2522" s="60" t="str">
        <f t="shared" si="549"/>
        <v>P.030.54.100</v>
      </c>
      <c r="D2522" s="1" t="s">
        <v>3158</v>
      </c>
      <c r="E2522" s="62" t="s">
        <v>45</v>
      </c>
      <c r="F2522" s="63" t="str">
        <f t="shared" si="550"/>
        <v>Diphenylmethanes (n=2, std=0.66)</v>
      </c>
      <c r="G2522" s="64">
        <v>1.28409711325</v>
      </c>
      <c r="H2522" s="10"/>
      <c r="I2522" s="65">
        <v>0.299980814</v>
      </c>
      <c r="J2522" s="65">
        <v>0.26552929924999996</v>
      </c>
      <c r="K2522" s="65">
        <v>0.117987</v>
      </c>
      <c r="L2522" s="65">
        <v>0.6006</v>
      </c>
      <c r="N2522" s="66">
        <v>4.0040000000000004</v>
      </c>
      <c r="O2522" s="10"/>
      <c r="Q2522" s="67">
        <v>8.118</v>
      </c>
      <c r="S2522" s="68">
        <v>0.11521728</v>
      </c>
      <c r="T2522" s="68">
        <v>0.1111767</v>
      </c>
      <c r="U2522" s="68">
        <v>0.0040329979</v>
      </c>
      <c r="V2522" s="68">
        <v>7.586964E-6</v>
      </c>
      <c r="X2522" s="69">
        <v>3.754259E-4</v>
      </c>
    </row>
    <row r="2523" ht="12.75" customHeight="1">
      <c r="A2523" s="1" t="s">
        <v>3243</v>
      </c>
      <c r="B2523" s="62" t="s">
        <v>3160</v>
      </c>
      <c r="C2523" s="60" t="str">
        <f t="shared" si="549"/>
        <v>P.030.58.100</v>
      </c>
      <c r="D2523" s="1" t="s">
        <v>3158</v>
      </c>
      <c r="E2523" s="62" t="s">
        <v>45</v>
      </c>
      <c r="F2523" s="63" t="str">
        <f t="shared" si="550"/>
        <v>Halomethanes (n=6, std=3.60)</v>
      </c>
      <c r="G2523" s="64">
        <v>1.877879870945</v>
      </c>
      <c r="H2523" s="10"/>
      <c r="I2523" s="65">
        <v>0.285631804</v>
      </c>
      <c r="J2523" s="65">
        <v>0.251767066945</v>
      </c>
      <c r="K2523" s="65">
        <v>0.356781</v>
      </c>
      <c r="L2523" s="65">
        <v>0.9837</v>
      </c>
      <c r="N2523" s="66">
        <v>6.558000000000001</v>
      </c>
      <c r="O2523" s="10"/>
      <c r="Q2523" s="67">
        <v>6.5846</v>
      </c>
      <c r="S2523" s="68">
        <v>0.17513042</v>
      </c>
      <c r="T2523" s="68">
        <v>0.16883176</v>
      </c>
      <c r="U2523" s="68">
        <v>0.0062548868</v>
      </c>
      <c r="V2523" s="68">
        <v>4.3778196E-5</v>
      </c>
      <c r="X2523" s="69">
        <v>5.4868062E-4</v>
      </c>
    </row>
    <row r="2524" ht="12.75" customHeight="1">
      <c r="A2524" s="1" t="s">
        <v>3244</v>
      </c>
      <c r="B2524" s="62" t="s">
        <v>3160</v>
      </c>
      <c r="C2524" s="60" t="str">
        <f t="shared" si="549"/>
        <v>P.030.59.100</v>
      </c>
      <c r="D2524" s="1" t="s">
        <v>3158</v>
      </c>
      <c r="E2524" s="62" t="s">
        <v>45</v>
      </c>
      <c r="F2524" s="63" t="str">
        <f t="shared" si="550"/>
        <v>Isoindolines (n=2, std=2.69)</v>
      </c>
      <c r="G2524" s="64">
        <v>2.04314384033</v>
      </c>
      <c r="H2524" s="10"/>
      <c r="I2524" s="65">
        <v>0.3212030992</v>
      </c>
      <c r="J2524" s="65">
        <v>0.43316674113</v>
      </c>
      <c r="K2524" s="65">
        <v>0.158974</v>
      </c>
      <c r="L2524" s="65">
        <v>1.1298</v>
      </c>
      <c r="N2524" s="66">
        <v>7.532</v>
      </c>
      <c r="O2524" s="10"/>
      <c r="Q2524" s="67">
        <v>7.7121</v>
      </c>
      <c r="S2524" s="68">
        <v>0.23507249</v>
      </c>
      <c r="T2524" s="68">
        <v>0.22745936</v>
      </c>
      <c r="U2524" s="68">
        <v>0.007599171</v>
      </c>
      <c r="V2524" s="68">
        <v>1.3964412E-5</v>
      </c>
      <c r="X2524" s="69">
        <v>5.1132964E-4</v>
      </c>
    </row>
    <row r="2525" ht="12.75" customHeight="1">
      <c r="A2525" s="1" t="s">
        <v>3245</v>
      </c>
      <c r="B2525" s="62" t="s">
        <v>3160</v>
      </c>
      <c r="C2525" s="60" t="str">
        <f t="shared" si="549"/>
        <v>P.030.63.100</v>
      </c>
      <c r="D2525" s="1" t="s">
        <v>3158</v>
      </c>
      <c r="E2525" s="62" t="s">
        <v>45</v>
      </c>
      <c r="F2525" s="63" t="str">
        <f t="shared" si="550"/>
        <v>Methylpyridines (n=2, std=3.53)</v>
      </c>
      <c r="G2525" s="64">
        <v>2.75311388278</v>
      </c>
      <c r="H2525" s="10"/>
      <c r="I2525" s="65">
        <v>1.7930352702</v>
      </c>
      <c r="J2525" s="65">
        <v>0.24393061257999998</v>
      </c>
      <c r="K2525" s="65">
        <v>0.081348</v>
      </c>
      <c r="L2525" s="65">
        <v>0.6348</v>
      </c>
      <c r="N2525" s="66">
        <v>4.232</v>
      </c>
      <c r="O2525" s="10"/>
      <c r="Q2525" s="67">
        <v>5.2316</v>
      </c>
      <c r="S2525" s="68">
        <v>0.11228339</v>
      </c>
      <c r="T2525" s="68">
        <v>0.10808928</v>
      </c>
      <c r="U2525" s="68">
        <v>0.0041884556</v>
      </c>
      <c r="V2525" s="68">
        <v>5.65488E-6</v>
      </c>
      <c r="X2525" s="69">
        <v>0.0013995334</v>
      </c>
    </row>
    <row r="2526" ht="12.75" customHeight="1">
      <c r="A2526" s="1" t="s">
        <v>3246</v>
      </c>
      <c r="B2526" s="62" t="s">
        <v>3160</v>
      </c>
      <c r="C2526" s="60" t="str">
        <f t="shared" si="549"/>
        <v>P.030.64.100</v>
      </c>
      <c r="D2526" s="1" t="s">
        <v>3158</v>
      </c>
      <c r="E2526" s="62" t="s">
        <v>45</v>
      </c>
      <c r="F2526" s="63" t="str">
        <f t="shared" si="550"/>
        <v>Nitrobenzenes (n=4, std=1.15)</v>
      </c>
      <c r="G2526" s="64">
        <v>0.6688680055260001</v>
      </c>
      <c r="H2526" s="10"/>
      <c r="I2526" s="65">
        <v>0.07967261560000001</v>
      </c>
      <c r="J2526" s="65">
        <v>0.16240698992600003</v>
      </c>
      <c r="K2526" s="65">
        <v>0.0391884</v>
      </c>
      <c r="L2526" s="65">
        <v>0.3876</v>
      </c>
      <c r="N2526" s="66">
        <v>2.584</v>
      </c>
      <c r="O2526" s="10"/>
      <c r="Q2526" s="67">
        <v>2.06558</v>
      </c>
      <c r="S2526" s="68">
        <v>0.073373704</v>
      </c>
      <c r="T2526" s="68">
        <v>0.070847541</v>
      </c>
      <c r="U2526" s="68">
        <v>0.0025229114</v>
      </c>
      <c r="V2526" s="68">
        <v>3.251556E-6</v>
      </c>
      <c r="X2526" s="69">
        <v>1.4429001E-4</v>
      </c>
    </row>
    <row r="2527" ht="12.75" customHeight="1">
      <c r="A2527" s="1" t="s">
        <v>3247</v>
      </c>
      <c r="B2527" s="62" t="s">
        <v>3160</v>
      </c>
      <c r="C2527" s="60" t="str">
        <f t="shared" si="549"/>
        <v>P.030.65.100</v>
      </c>
      <c r="D2527" s="1" t="s">
        <v>3158</v>
      </c>
      <c r="E2527" s="62" t="s">
        <v>45</v>
      </c>
      <c r="F2527" s="63" t="str">
        <f t="shared" si="550"/>
        <v>Organic alkali metal salts (n=3, std=0.25)</v>
      </c>
      <c r="G2527" s="64">
        <v>0.703115233126</v>
      </c>
      <c r="H2527" s="10"/>
      <c r="I2527" s="65">
        <v>0.08194795912</v>
      </c>
      <c r="J2527" s="65">
        <v>0.233053074006</v>
      </c>
      <c r="K2527" s="65">
        <v>0.050014199999999995</v>
      </c>
      <c r="L2527" s="65">
        <v>0.3381</v>
      </c>
      <c r="N2527" s="66">
        <v>2.254</v>
      </c>
      <c r="O2527" s="10"/>
      <c r="Q2527" s="67">
        <v>2.27304</v>
      </c>
      <c r="S2527" s="68">
        <v>0.10351984</v>
      </c>
      <c r="T2527" s="68">
        <v>0.10061071</v>
      </c>
      <c r="U2527" s="68">
        <v>0.0029045611</v>
      </c>
      <c r="V2527" s="68">
        <v>4.571028E-6</v>
      </c>
      <c r="X2527" s="69">
        <v>1.7346606E-4</v>
      </c>
    </row>
    <row r="2528" ht="12.75" customHeight="1">
      <c r="A2528" s="1" t="s">
        <v>3248</v>
      </c>
      <c r="B2528" s="62" t="s">
        <v>3160</v>
      </c>
      <c r="C2528" s="60" t="str">
        <f t="shared" si="549"/>
        <v>P.030.65.200</v>
      </c>
      <c r="D2528" s="1" t="s">
        <v>3158</v>
      </c>
      <c r="E2528" s="62" t="s">
        <v>45</v>
      </c>
      <c r="F2528" s="63" t="str">
        <f t="shared" si="550"/>
        <v>Organobromides (class) (n=2, std=0.15)</v>
      </c>
      <c r="G2528" s="64">
        <v>1.2713405756</v>
      </c>
      <c r="H2528" s="10"/>
      <c r="I2528" s="65">
        <v>0.169000805</v>
      </c>
      <c r="J2528" s="65">
        <v>0.1898326706</v>
      </c>
      <c r="K2528" s="65">
        <v>0.0755071</v>
      </c>
      <c r="L2528" s="65">
        <v>0.837</v>
      </c>
      <c r="N2528" s="66">
        <v>5.58</v>
      </c>
      <c r="O2528" s="10"/>
      <c r="Q2528" s="67">
        <v>4.04547</v>
      </c>
      <c r="S2528" s="68">
        <v>0.14231871</v>
      </c>
      <c r="T2528" s="68">
        <v>0.13718077</v>
      </c>
      <c r="U2528" s="68">
        <v>0.0051317447</v>
      </c>
      <c r="V2528" s="68">
        <v>6.188952E-6</v>
      </c>
      <c r="X2528" s="69">
        <v>2.9830459E-4</v>
      </c>
    </row>
    <row r="2529" ht="12.75" customHeight="1">
      <c r="A2529" s="1" t="s">
        <v>3249</v>
      </c>
      <c r="B2529" s="62" t="s">
        <v>3160</v>
      </c>
      <c r="C2529" s="60" t="str">
        <f t="shared" si="549"/>
        <v>P.030.65.300</v>
      </c>
      <c r="D2529" s="1" t="s">
        <v>3158</v>
      </c>
      <c r="E2529" s="62" t="s">
        <v>45</v>
      </c>
      <c r="F2529" s="63" t="str">
        <f t="shared" si="550"/>
        <v>Organosilicon compounds (n=2, std=0.02)</v>
      </c>
      <c r="G2529" s="64">
        <v>1.1728588958000001</v>
      </c>
      <c r="H2529" s="10"/>
      <c r="I2529" s="65">
        <v>0.18232300649999997</v>
      </c>
      <c r="J2529" s="65">
        <v>0.1926608893</v>
      </c>
      <c r="K2529" s="65">
        <v>0.11372499999999999</v>
      </c>
      <c r="L2529" s="65">
        <v>0.68415</v>
      </c>
      <c r="N2529" s="66">
        <v>4.561000000000001</v>
      </c>
      <c r="O2529" s="10"/>
      <c r="Q2529" s="67">
        <v>4.6904</v>
      </c>
      <c r="S2529" s="68">
        <v>0.12304169</v>
      </c>
      <c r="T2529" s="68">
        <v>0.11874798</v>
      </c>
      <c r="U2529" s="68">
        <v>0.0042827596</v>
      </c>
      <c r="V2529" s="68">
        <v>1.0948476E-5</v>
      </c>
      <c r="X2529" s="69">
        <v>2.9050646E-4</v>
      </c>
    </row>
    <row r="2530" ht="12.75" customHeight="1">
      <c r="A2530" s="1" t="s">
        <v>3250</v>
      </c>
      <c r="B2530" s="62" t="s">
        <v>3160</v>
      </c>
      <c r="C2530" s="60" t="str">
        <f t="shared" si="549"/>
        <v>P.030.66.100</v>
      </c>
      <c r="D2530" s="1" t="s">
        <v>3158</v>
      </c>
      <c r="E2530" s="62" t="s">
        <v>45</v>
      </c>
      <c r="F2530" s="63" t="str">
        <f t="shared" si="550"/>
        <v>Phenoxy compounds (n=2, std=0.47)</v>
      </c>
      <c r="G2530" s="64">
        <v>1.15625495397</v>
      </c>
      <c r="H2530" s="10"/>
      <c r="I2530" s="65">
        <v>0.1423203877</v>
      </c>
      <c r="J2530" s="65">
        <v>0.30467616627</v>
      </c>
      <c r="K2530" s="65">
        <v>0.08015839999999999</v>
      </c>
      <c r="L2530" s="65">
        <v>0.6291</v>
      </c>
      <c r="N2530" s="66">
        <v>4.194</v>
      </c>
      <c r="O2530" s="10"/>
      <c r="Q2530" s="67">
        <v>3.95978</v>
      </c>
      <c r="S2530" s="68">
        <v>0.1022319</v>
      </c>
      <c r="T2530" s="68">
        <v>0.098430809</v>
      </c>
      <c r="U2530" s="68">
        <v>0.0037941368</v>
      </c>
      <c r="V2530" s="68">
        <v>6.958644E-6</v>
      </c>
      <c r="X2530" s="69">
        <v>2.3306796E-4</v>
      </c>
    </row>
    <row r="2531" ht="12.75" customHeight="1">
      <c r="A2531" s="1" t="s">
        <v>3251</v>
      </c>
      <c r="B2531" s="62" t="s">
        <v>3160</v>
      </c>
      <c r="C2531" s="60" t="str">
        <f t="shared" si="549"/>
        <v>P.030.66.200</v>
      </c>
      <c r="D2531" s="1" t="s">
        <v>3158</v>
      </c>
      <c r="E2531" s="62" t="s">
        <v>45</v>
      </c>
      <c r="F2531" s="63" t="str">
        <f t="shared" si="550"/>
        <v>Phenylpropanes (n=5, std=0.69)</v>
      </c>
      <c r="G2531" s="64">
        <v>1.13864992929</v>
      </c>
      <c r="H2531" s="10"/>
      <c r="I2531" s="65">
        <v>0.1523076334</v>
      </c>
      <c r="J2531" s="65">
        <v>0.17704429589</v>
      </c>
      <c r="K2531" s="65">
        <v>0.077748</v>
      </c>
      <c r="L2531" s="65">
        <v>0.73155</v>
      </c>
      <c r="N2531" s="66">
        <v>4.877000000000001</v>
      </c>
      <c r="O2531" s="10"/>
      <c r="Q2531" s="67">
        <v>5.6375</v>
      </c>
      <c r="S2531" s="68">
        <v>0.11814167</v>
      </c>
      <c r="T2531" s="68">
        <v>0.11377442</v>
      </c>
      <c r="U2531" s="68">
        <v>0.0043625775</v>
      </c>
      <c r="V2531" s="68">
        <v>4.665276E-6</v>
      </c>
      <c r="X2531" s="69">
        <v>2.5446495E-4</v>
      </c>
    </row>
    <row r="2532" ht="12.75" customHeight="1">
      <c r="A2532" s="1" t="s">
        <v>3252</v>
      </c>
      <c r="B2532" s="62" t="s">
        <v>3160</v>
      </c>
      <c r="C2532" s="60" t="str">
        <f t="shared" si="549"/>
        <v>P.030.66.300</v>
      </c>
      <c r="D2532" s="1" t="s">
        <v>3158</v>
      </c>
      <c r="E2532" s="62" t="s">
        <v>45</v>
      </c>
      <c r="F2532" s="63" t="str">
        <f t="shared" si="550"/>
        <v>Pyrazoles (n=2, std=3.47)</v>
      </c>
      <c r="G2532" s="64">
        <v>5.360318339999999</v>
      </c>
      <c r="H2532" s="10"/>
      <c r="I2532" s="65">
        <v>0.6954414179999999</v>
      </c>
      <c r="J2532" s="65">
        <v>1.5603999220000002</v>
      </c>
      <c r="K2532" s="65">
        <v>0.381677</v>
      </c>
      <c r="L2532" s="65">
        <v>2.7228</v>
      </c>
      <c r="N2532" s="66">
        <v>18.152</v>
      </c>
      <c r="O2532" s="10"/>
      <c r="Q2532" s="67">
        <v>20.295</v>
      </c>
      <c r="S2532" s="68">
        <v>0.72959056</v>
      </c>
      <c r="T2532" s="68">
        <v>0.70758105</v>
      </c>
      <c r="U2532" s="68">
        <v>0.021978051</v>
      </c>
      <c r="V2532" s="68">
        <v>3.1463124E-5</v>
      </c>
      <c r="X2532" s="69">
        <v>0.0013936953</v>
      </c>
    </row>
    <row r="2533" ht="12.75" customHeight="1">
      <c r="A2533" s="1" t="s">
        <v>3253</v>
      </c>
      <c r="B2533" s="62" t="s">
        <v>3160</v>
      </c>
      <c r="C2533" s="60" t="str">
        <f t="shared" si="549"/>
        <v>P.030.66.400</v>
      </c>
      <c r="D2533" s="1" t="s">
        <v>3158</v>
      </c>
      <c r="E2533" s="62" t="s">
        <v>45</v>
      </c>
      <c r="F2533" s="63" t="str">
        <f t="shared" si="550"/>
        <v>Pyridazines and derivatives (n=2, std=0.00)</v>
      </c>
      <c r="G2533" s="64">
        <v>4.3222103602</v>
      </c>
      <c r="H2533" s="10"/>
      <c r="I2533" s="65">
        <v>0.722472969</v>
      </c>
      <c r="J2533" s="65">
        <v>1.3363433912</v>
      </c>
      <c r="K2533" s="65">
        <v>0.359144</v>
      </c>
      <c r="L2533" s="65">
        <v>1.90425</v>
      </c>
      <c r="N2533" s="66">
        <v>12.695</v>
      </c>
      <c r="O2533" s="10"/>
      <c r="Q2533" s="67">
        <v>16.236</v>
      </c>
      <c r="S2533" s="68">
        <v>0.55255163</v>
      </c>
      <c r="T2533" s="68">
        <v>0.53663766</v>
      </c>
      <c r="U2533" s="68">
        <v>0.015881044</v>
      </c>
      <c r="V2533" s="68">
        <v>3.2923968E-5</v>
      </c>
      <c r="X2533" s="69">
        <v>0.0011532996</v>
      </c>
    </row>
    <row r="2534" ht="12.75" customHeight="1">
      <c r="A2534" s="1" t="s">
        <v>3254</v>
      </c>
      <c r="B2534" s="62" t="s">
        <v>3160</v>
      </c>
      <c r="C2534" s="60" t="str">
        <f t="shared" si="549"/>
        <v>P.030.66.500</v>
      </c>
      <c r="D2534" s="1" t="s">
        <v>3158</v>
      </c>
      <c r="E2534" s="62" t="s">
        <v>45</v>
      </c>
      <c r="F2534" s="63" t="str">
        <f t="shared" si="550"/>
        <v>Pyridines and derivatives (class) (n=2, std=1.64)</v>
      </c>
      <c r="G2534" s="64">
        <v>2.50741487318</v>
      </c>
      <c r="H2534" s="10"/>
      <c r="I2534" s="65">
        <v>0.44281439300000003</v>
      </c>
      <c r="J2534" s="65">
        <v>0.38966148018</v>
      </c>
      <c r="K2534" s="65">
        <v>0.21348899999999998</v>
      </c>
      <c r="L2534" s="65">
        <v>1.46145</v>
      </c>
      <c r="N2534" s="66">
        <v>9.743</v>
      </c>
      <c r="O2534" s="10"/>
      <c r="Q2534" s="67">
        <v>10.5985</v>
      </c>
      <c r="S2534" s="68">
        <v>0.25830906</v>
      </c>
      <c r="T2534" s="68">
        <v>0.24914131</v>
      </c>
      <c r="U2534" s="68">
        <v>0.0091492757</v>
      </c>
      <c r="V2534" s="68">
        <v>1.8472608E-5</v>
      </c>
      <c r="X2534" s="69">
        <v>6.5801186E-4</v>
      </c>
    </row>
    <row r="2535" ht="12.75" customHeight="1">
      <c r="B2535" s="62"/>
      <c r="C2535" s="60"/>
      <c r="D2535" s="75" t="s">
        <v>3255</v>
      </c>
      <c r="E2535" s="62"/>
      <c r="G2535" s="10"/>
      <c r="H2535" s="10"/>
      <c r="I2535" s="10"/>
      <c r="J2535" s="10"/>
      <c r="K2535" s="10"/>
      <c r="L2535" s="10"/>
      <c r="N2535" s="10"/>
      <c r="O2535" s="10"/>
      <c r="Q2535" s="67"/>
    </row>
    <row r="2536" ht="12.75" customHeight="1">
      <c r="B2536" s="62"/>
      <c r="C2536" s="60"/>
      <c r="D2536" s="59" t="s">
        <v>3256</v>
      </c>
      <c r="E2536" s="62"/>
      <c r="G2536" s="10"/>
      <c r="H2536" s="10"/>
      <c r="I2536" s="10"/>
      <c r="J2536" s="10"/>
      <c r="K2536" s="10"/>
      <c r="L2536" s="10"/>
      <c r="N2536" s="10"/>
      <c r="O2536" s="10"/>
      <c r="Q2536" s="67"/>
    </row>
    <row r="2537" ht="12.75" customHeight="1">
      <c r="A2537" s="1" t="s">
        <v>3257</v>
      </c>
      <c r="B2537" s="62" t="s">
        <v>3258</v>
      </c>
      <c r="C2537" s="60" t="str">
        <f t="shared" ref="C2537:C2587" si="551">MID(A2537,1,12)</f>
        <v>Q.010.10.101</v>
      </c>
      <c r="D2537" s="1" t="s">
        <v>3256</v>
      </c>
      <c r="E2537" s="62" t="s">
        <v>45</v>
      </c>
      <c r="F2537" s="63" t="str">
        <f t="shared" ref="F2537:F2587" si="552">MID(A2537, 21,85)</f>
        <v>Carbon Dioxide (CO2), fossil, direct emissions (scope1 and downstream)</v>
      </c>
      <c r="G2537" s="64">
        <v>0.15</v>
      </c>
      <c r="H2537" s="10"/>
      <c r="I2537" s="65">
        <v>0.0</v>
      </c>
      <c r="J2537" s="65">
        <v>0.0</v>
      </c>
      <c r="K2537" s="65">
        <v>0.0</v>
      </c>
      <c r="L2537" s="65">
        <v>0.15</v>
      </c>
      <c r="N2537" s="66">
        <v>1.0</v>
      </c>
      <c r="O2537" s="10"/>
      <c r="Q2537" s="67"/>
    </row>
    <row r="2538" ht="12.75" customHeight="1">
      <c r="A2538" s="1" t="s">
        <v>3259</v>
      </c>
      <c r="B2538" s="62" t="s">
        <v>3258</v>
      </c>
      <c r="C2538" s="60" t="str">
        <f t="shared" si="551"/>
        <v>Q.010.10.102</v>
      </c>
      <c r="D2538" s="1" t="s">
        <v>3256</v>
      </c>
      <c r="E2538" s="62" t="s">
        <v>45</v>
      </c>
      <c r="F2538" s="63" t="str">
        <f t="shared" si="552"/>
        <v>Carbon Dioxide (CO2), biogenic, direct emissions (scope1 and downstream)</v>
      </c>
      <c r="G2538" s="64">
        <v>0.0</v>
      </c>
      <c r="H2538" s="10"/>
      <c r="I2538" s="65">
        <v>0.0</v>
      </c>
      <c r="J2538" s="65">
        <v>0.0</v>
      </c>
      <c r="K2538" s="65">
        <v>0.0</v>
      </c>
      <c r="L2538" s="65">
        <v>0.0</v>
      </c>
      <c r="N2538" s="66">
        <v>0.0</v>
      </c>
      <c r="O2538" s="10"/>
      <c r="Q2538" s="67"/>
    </row>
    <row r="2539" ht="12.75" customHeight="1">
      <c r="A2539" s="1" t="s">
        <v>3260</v>
      </c>
      <c r="B2539" s="62" t="s">
        <v>3258</v>
      </c>
      <c r="C2539" s="60" t="str">
        <f t="shared" si="551"/>
        <v>Q.010.10.103</v>
      </c>
      <c r="D2539" s="1" t="s">
        <v>3256</v>
      </c>
      <c r="E2539" s="62" t="s">
        <v>45</v>
      </c>
      <c r="F2539" s="63" t="str">
        <f t="shared" si="552"/>
        <v>Methane (CH4), fossil, direct emissions (scope1 and downstream)</v>
      </c>
      <c r="G2539" s="64">
        <v>4.5432224166</v>
      </c>
      <c r="H2539" s="10"/>
      <c r="I2539" s="65">
        <v>0.072298368</v>
      </c>
      <c r="J2539" s="65">
        <v>9.240486E-4</v>
      </c>
      <c r="K2539" s="65">
        <v>0.0</v>
      </c>
      <c r="L2539" s="65">
        <v>4.47</v>
      </c>
      <c r="N2539" s="66">
        <v>29.8</v>
      </c>
      <c r="O2539" s="10"/>
      <c r="Q2539" s="67"/>
    </row>
    <row r="2540" ht="12.75" customHeight="1">
      <c r="A2540" s="1" t="s">
        <v>3261</v>
      </c>
      <c r="B2540" s="62" t="s">
        <v>3258</v>
      </c>
      <c r="C2540" s="60" t="str">
        <f t="shared" si="551"/>
        <v>Q.010.10.104</v>
      </c>
      <c r="D2540" s="1" t="s">
        <v>3256</v>
      </c>
      <c r="E2540" s="62" t="s">
        <v>45</v>
      </c>
      <c r="F2540" s="63" t="str">
        <f t="shared" si="552"/>
        <v>Methane (CH4), biogenic, direct emissions (scope1 and downstream)</v>
      </c>
      <c r="G2540" s="64">
        <v>4.1232224166</v>
      </c>
      <c r="H2540" s="10"/>
      <c r="I2540" s="65">
        <v>0.072298368</v>
      </c>
      <c r="J2540" s="65">
        <v>9.240486E-4</v>
      </c>
      <c r="K2540" s="65">
        <v>0.0</v>
      </c>
      <c r="L2540" s="65">
        <v>4.05</v>
      </c>
      <c r="N2540" s="66">
        <v>27.0</v>
      </c>
      <c r="O2540" s="10"/>
      <c r="Q2540" s="67"/>
    </row>
    <row r="2541" ht="12.75" customHeight="1">
      <c r="A2541" s="1" t="s">
        <v>3262</v>
      </c>
      <c r="B2541" s="62" t="s">
        <v>3258</v>
      </c>
      <c r="C2541" s="60" t="str">
        <f t="shared" si="551"/>
        <v>Q.010.10.105</v>
      </c>
      <c r="D2541" s="1" t="s">
        <v>3256</v>
      </c>
      <c r="E2541" s="62" t="s">
        <v>45</v>
      </c>
      <c r="F2541" s="63" t="str">
        <f t="shared" si="552"/>
        <v>Carbon Monoxide (CO), fossil, direct emissions (scope1 and downstream)</v>
      </c>
      <c r="G2541" s="64">
        <v>0.27913798737</v>
      </c>
      <c r="H2541" s="10"/>
      <c r="I2541" s="65">
        <v>0.279072</v>
      </c>
      <c r="J2541" s="65">
        <v>6.598737E-5</v>
      </c>
      <c r="K2541" s="65">
        <v>0.0</v>
      </c>
      <c r="L2541" s="65">
        <v>0.0</v>
      </c>
      <c r="N2541" s="66">
        <v>0.0</v>
      </c>
      <c r="O2541" s="10"/>
      <c r="Q2541" s="67"/>
    </row>
    <row r="2542" ht="12.75" customHeight="1">
      <c r="A2542" s="1" t="s">
        <v>3263</v>
      </c>
      <c r="B2542" s="62" t="s">
        <v>3258</v>
      </c>
      <c r="C2542" s="60" t="str">
        <f t="shared" si="551"/>
        <v>Q.010.10.106</v>
      </c>
      <c r="D2542" s="1" t="s">
        <v>3256</v>
      </c>
      <c r="E2542" s="62" t="s">
        <v>45</v>
      </c>
      <c r="F2542" s="63" t="str">
        <f t="shared" si="552"/>
        <v>Carbon monoxide (CO), biogenic, direct emissions (scope1 and downstream)</v>
      </c>
      <c r="G2542" s="64">
        <v>6.598737E-5</v>
      </c>
      <c r="H2542" s="10"/>
      <c r="I2542" s="65">
        <v>0.0</v>
      </c>
      <c r="J2542" s="65">
        <v>6.598737E-5</v>
      </c>
      <c r="K2542" s="65">
        <v>0.0</v>
      </c>
      <c r="L2542" s="65">
        <v>0.0</v>
      </c>
      <c r="N2542" s="66">
        <v>0.0</v>
      </c>
      <c r="O2542" s="10"/>
      <c r="Q2542" s="67"/>
    </row>
    <row r="2543" ht="12.75" customHeight="1">
      <c r="A2543" s="1" t="s">
        <v>3264</v>
      </c>
      <c r="B2543" s="62" t="s">
        <v>3258</v>
      </c>
      <c r="C2543" s="60" t="str">
        <f t="shared" si="551"/>
        <v>Q.010.10.107</v>
      </c>
      <c r="D2543" s="1" t="s">
        <v>3256</v>
      </c>
      <c r="E2543" s="62" t="s">
        <v>45</v>
      </c>
      <c r="F2543" s="63" t="str">
        <f t="shared" si="552"/>
        <v>Nitrous oxide (N2O), direct emissions (scope1 and downstream)</v>
      </c>
      <c r="G2543" s="64">
        <v>40.953465720000004</v>
      </c>
      <c r="H2543" s="10"/>
      <c r="I2543" s="65">
        <v>0.00346572</v>
      </c>
      <c r="J2543" s="65">
        <v>0.0</v>
      </c>
      <c r="K2543" s="65">
        <v>0.0</v>
      </c>
      <c r="L2543" s="65">
        <v>40.95</v>
      </c>
      <c r="N2543" s="66">
        <v>273.00000000000006</v>
      </c>
      <c r="O2543" s="10"/>
      <c r="Q2543" s="67"/>
    </row>
    <row r="2544" ht="12.75" customHeight="1">
      <c r="A2544" s="1" t="s">
        <v>3265</v>
      </c>
      <c r="B2544" s="62" t="s">
        <v>3258</v>
      </c>
      <c r="C2544" s="60" t="str">
        <f t="shared" si="551"/>
        <v>Q.010.10.109</v>
      </c>
      <c r="D2544" s="1" t="s">
        <v>3256</v>
      </c>
      <c r="E2544" s="62" t="s">
        <v>45</v>
      </c>
      <c r="F2544" s="63" t="str">
        <f t="shared" si="552"/>
        <v>Butane (C4H10), direct emissions (scope1 and downstream)</v>
      </c>
      <c r="G2544" s="64">
        <v>3.642463378316</v>
      </c>
      <c r="H2544" s="10"/>
      <c r="I2544" s="65">
        <v>3.6415588572</v>
      </c>
      <c r="J2544" s="65">
        <v>4.521116E-6</v>
      </c>
      <c r="K2544" s="65">
        <v>0.0</v>
      </c>
      <c r="L2544" s="65">
        <v>9.0E-4</v>
      </c>
      <c r="N2544" s="66">
        <v>0.006</v>
      </c>
      <c r="O2544" s="10"/>
      <c r="Q2544" s="67"/>
    </row>
    <row r="2545" ht="12.75" customHeight="1">
      <c r="A2545" s="1" t="s">
        <v>3266</v>
      </c>
      <c r="B2545" s="62" t="s">
        <v>3258</v>
      </c>
      <c r="C2545" s="60" t="str">
        <f t="shared" si="551"/>
        <v>Q.010.10.110</v>
      </c>
      <c r="D2545" s="1" t="s">
        <v>3256</v>
      </c>
      <c r="E2545" s="62" t="s">
        <v>45</v>
      </c>
      <c r="F2545" s="63" t="str">
        <f t="shared" si="552"/>
        <v>Ethane (C2H6), direct emissions (scope1 and downstream)</v>
      </c>
      <c r="G2545" s="64">
        <v>1.33894816695</v>
      </c>
      <c r="H2545" s="10"/>
      <c r="I2545" s="65">
        <v>1.2733575480000001</v>
      </c>
      <c r="J2545" s="65">
        <v>4.061895E-5</v>
      </c>
      <c r="K2545" s="65">
        <v>0.0</v>
      </c>
      <c r="L2545" s="65">
        <v>0.06555</v>
      </c>
      <c r="N2545" s="66">
        <v>0.437</v>
      </c>
      <c r="O2545" s="10"/>
      <c r="Q2545" s="67"/>
    </row>
    <row r="2546" ht="12.75" customHeight="1">
      <c r="A2546" s="1" t="s">
        <v>3267</v>
      </c>
      <c r="B2546" s="62" t="s">
        <v>3258</v>
      </c>
      <c r="C2546" s="60" t="str">
        <f t="shared" si="551"/>
        <v>Q.010.10.111</v>
      </c>
      <c r="D2546" s="1" t="s">
        <v>3256</v>
      </c>
      <c r="E2546" s="62" t="s">
        <v>45</v>
      </c>
      <c r="F2546" s="63" t="str">
        <f t="shared" si="552"/>
        <v>Pentane (C5H12), direct emissions (scope1 and downstream)</v>
      </c>
      <c r="G2546" s="64">
        <v>4.0820950947635</v>
      </c>
      <c r="H2546" s="10"/>
      <c r="I2546" s="65">
        <v>4.08209386608</v>
      </c>
      <c r="J2546" s="65">
        <v>1.2286835E-6</v>
      </c>
      <c r="K2546" s="65">
        <v>0.0</v>
      </c>
      <c r="L2546" s="65">
        <v>0.0</v>
      </c>
      <c r="N2546" s="66">
        <v>0.0</v>
      </c>
      <c r="O2546" s="10"/>
      <c r="Q2546" s="67"/>
    </row>
    <row r="2547" ht="12.75" customHeight="1">
      <c r="A2547" s="1" t="s">
        <v>3268</v>
      </c>
      <c r="B2547" s="62" t="s">
        <v>3258</v>
      </c>
      <c r="C2547" s="60" t="str">
        <f t="shared" si="551"/>
        <v>Q.010.10.112</v>
      </c>
      <c r="D2547" s="1" t="s">
        <v>3256</v>
      </c>
      <c r="E2547" s="62" t="s">
        <v>45</v>
      </c>
      <c r="F2547" s="63" t="str">
        <f t="shared" si="552"/>
        <v>Propane (C3H8), direct emissions (scope1 and downstream)</v>
      </c>
      <c r="G2547" s="64">
        <v>1.8208302588349998</v>
      </c>
      <c r="H2547" s="10"/>
      <c r="I2547" s="65">
        <v>1.81782081576</v>
      </c>
      <c r="J2547" s="65">
        <v>9.443075E-6</v>
      </c>
      <c r="K2547" s="65">
        <v>0.0</v>
      </c>
      <c r="L2547" s="65">
        <v>0.003</v>
      </c>
      <c r="N2547" s="66">
        <v>0.02</v>
      </c>
      <c r="O2547" s="10"/>
      <c r="Q2547" s="67"/>
    </row>
    <row r="2548" ht="12.75" customHeight="1">
      <c r="A2548" s="1" t="s">
        <v>3269</v>
      </c>
      <c r="B2548" s="62" t="s">
        <v>3258</v>
      </c>
      <c r="C2548" s="60" t="str">
        <f t="shared" si="551"/>
        <v>Q.010.10.113</v>
      </c>
      <c r="D2548" s="1" t="s">
        <v>3256</v>
      </c>
      <c r="E2548" s="62" t="s">
        <v>45</v>
      </c>
      <c r="F2548" s="63" t="str">
        <f t="shared" si="552"/>
        <v>Sulfur hexafluoride (SF6), direct emissions (scope1 and downstream)</v>
      </c>
      <c r="G2548" s="64">
        <v>3780.000240778766</v>
      </c>
      <c r="H2548" s="10"/>
      <c r="I2548" s="65">
        <v>2.703456E-6</v>
      </c>
      <c r="J2548" s="65">
        <v>2.3807531E-4</v>
      </c>
      <c r="K2548" s="65">
        <v>0.0</v>
      </c>
      <c r="L2548" s="65">
        <v>3780.0</v>
      </c>
      <c r="N2548" s="66">
        <v>25200.0</v>
      </c>
      <c r="O2548" s="10"/>
      <c r="Q2548" s="67"/>
    </row>
    <row r="2549" ht="12.75" customHeight="1">
      <c r="A2549" s="1" t="s">
        <v>3270</v>
      </c>
      <c r="B2549" s="62" t="s">
        <v>3258</v>
      </c>
      <c r="C2549" s="60" t="str">
        <f t="shared" si="551"/>
        <v>Q.010.10.114</v>
      </c>
      <c r="D2549" s="1" t="s">
        <v>3256</v>
      </c>
      <c r="E2549" s="62" t="s">
        <v>45</v>
      </c>
      <c r="F2549" s="63" t="str">
        <f t="shared" si="552"/>
        <v>Tetrafluoroethane, HFC-134a ( direct emissions (scope1 and downstream)</v>
      </c>
      <c r="G2549" s="64">
        <v>229.51231985878</v>
      </c>
      <c r="H2549" s="10"/>
      <c r="I2549" s="65">
        <v>0.010896967280000001</v>
      </c>
      <c r="J2549" s="65">
        <v>0.0014228915</v>
      </c>
      <c r="K2549" s="65">
        <v>0.0</v>
      </c>
      <c r="L2549" s="65">
        <v>229.5</v>
      </c>
      <c r="N2549" s="66">
        <v>1530.0</v>
      </c>
      <c r="O2549" s="10"/>
      <c r="Q2549" s="67"/>
    </row>
    <row r="2550" ht="12.75" customHeight="1">
      <c r="A2550" s="1" t="s">
        <v>3271</v>
      </c>
      <c r="B2550" s="62" t="s">
        <v>3258</v>
      </c>
      <c r="C2550" s="60" t="str">
        <f t="shared" si="551"/>
        <v>Q.010.10.115</v>
      </c>
      <c r="D2550" s="1" t="s">
        <v>3256</v>
      </c>
      <c r="E2550" s="62" t="s">
        <v>45</v>
      </c>
      <c r="F2550" s="63" t="str">
        <f t="shared" si="552"/>
        <v>Trifluoroethane, HFC-143a ( direct emissions (scope1 and downstream)</v>
      </c>
      <c r="G2550" s="64">
        <v>871.5</v>
      </c>
      <c r="H2550" s="10"/>
      <c r="I2550" s="65">
        <v>0.0</v>
      </c>
      <c r="J2550" s="65">
        <v>0.0</v>
      </c>
      <c r="K2550" s="65">
        <v>0.0</v>
      </c>
      <c r="L2550" s="65">
        <v>871.5</v>
      </c>
      <c r="N2550" s="66">
        <v>5810.0</v>
      </c>
      <c r="O2550" s="10"/>
      <c r="Q2550" s="67"/>
    </row>
    <row r="2551" ht="12.75" customHeight="1">
      <c r="A2551" s="1" t="s">
        <v>3272</v>
      </c>
      <c r="B2551" s="62" t="s">
        <v>3258</v>
      </c>
      <c r="C2551" s="60" t="str">
        <f t="shared" si="551"/>
        <v>Q.010.10.116</v>
      </c>
      <c r="D2551" s="1" t="s">
        <v>3256</v>
      </c>
      <c r="E2551" s="62" t="s">
        <v>45</v>
      </c>
      <c r="F2551" s="63" t="str">
        <f t="shared" si="552"/>
        <v>Difluoromethane, HFC32 ( direct emissions (scope1 and downstream)</v>
      </c>
      <c r="G2551" s="64">
        <v>115.65028491495</v>
      </c>
      <c r="H2551" s="10"/>
      <c r="I2551" s="65">
        <v>1.81872E-4</v>
      </c>
      <c r="J2551" s="65">
        <v>1.0304295E-4</v>
      </c>
      <c r="K2551" s="65">
        <v>0.0</v>
      </c>
      <c r="L2551" s="65">
        <v>115.65</v>
      </c>
      <c r="N2551" s="66">
        <v>771.0000000000001</v>
      </c>
      <c r="O2551" s="10"/>
      <c r="Q2551" s="67"/>
    </row>
    <row r="2552" ht="12.75" customHeight="1">
      <c r="A2552" s="1" t="s">
        <v>3273</v>
      </c>
      <c r="B2552" s="62" t="s">
        <v>3258</v>
      </c>
      <c r="C2552" s="60" t="str">
        <f t="shared" si="551"/>
        <v>Q.010.10.117</v>
      </c>
      <c r="D2552" s="1" t="s">
        <v>3256</v>
      </c>
      <c r="E2552" s="62" t="s">
        <v>45</v>
      </c>
      <c r="F2552" s="63" t="str">
        <f t="shared" si="552"/>
        <v>Tetrafluoropropene, HFO-1234yf ( direct emissions (scope1 and downstream)</v>
      </c>
      <c r="G2552" s="64">
        <v>0.0751549760486</v>
      </c>
      <c r="H2552" s="10"/>
      <c r="I2552" s="65">
        <v>4.20228E-6</v>
      </c>
      <c r="J2552" s="65">
        <v>7.737686E-7</v>
      </c>
      <c r="K2552" s="65">
        <v>0.0</v>
      </c>
      <c r="L2552" s="65">
        <v>0.07515</v>
      </c>
      <c r="N2552" s="66">
        <v>0.501</v>
      </c>
      <c r="O2552" s="10"/>
      <c r="Q2552" s="67"/>
    </row>
    <row r="2553" ht="12.75" customHeight="1">
      <c r="A2553" s="1" t="s">
        <v>3274</v>
      </c>
      <c r="B2553" s="62" t="s">
        <v>3258</v>
      </c>
      <c r="C2553" s="60" t="str">
        <f t="shared" si="551"/>
        <v>Q.010.30.100</v>
      </c>
      <c r="D2553" s="1" t="s">
        <v>3256</v>
      </c>
      <c r="E2553" s="62" t="s">
        <v>45</v>
      </c>
      <c r="F2553" s="63" t="str">
        <f t="shared" si="552"/>
        <v>Sulfur Dioxide (SO2), direct emissions (scope1 and downstream)</v>
      </c>
      <c r="G2553" s="64">
        <v>10.0215</v>
      </c>
      <c r="H2553" s="10"/>
      <c r="I2553" s="65">
        <v>0.0</v>
      </c>
      <c r="J2553" s="65">
        <v>10.0215</v>
      </c>
      <c r="K2553" s="65">
        <v>0.0</v>
      </c>
      <c r="L2553" s="65">
        <v>0.0</v>
      </c>
      <c r="N2553" s="66">
        <v>0.0</v>
      </c>
      <c r="O2553" s="10"/>
      <c r="Q2553" s="67"/>
    </row>
    <row r="2554" ht="12.75" customHeight="1">
      <c r="A2554" s="1" t="s">
        <v>3275</v>
      </c>
      <c r="B2554" s="62" t="s">
        <v>3258</v>
      </c>
      <c r="C2554" s="60" t="str">
        <f t="shared" si="551"/>
        <v>Q.010.30.101</v>
      </c>
      <c r="D2554" s="1" t="s">
        <v>3256</v>
      </c>
      <c r="E2554" s="62" t="s">
        <v>45</v>
      </c>
      <c r="F2554" s="63" t="str">
        <f t="shared" si="552"/>
        <v>Ammonia (NH3), direct emissions (scope1 and downstream)</v>
      </c>
      <c r="G2554" s="64">
        <v>23.02023</v>
      </c>
      <c r="H2554" s="10"/>
      <c r="I2554" s="65">
        <v>0.0</v>
      </c>
      <c r="J2554" s="65">
        <v>23.02023</v>
      </c>
      <c r="K2554" s="65">
        <v>0.0</v>
      </c>
      <c r="L2554" s="65">
        <v>0.0</v>
      </c>
      <c r="N2554" s="66">
        <v>0.0</v>
      </c>
      <c r="O2554" s="10"/>
      <c r="Q2554" s="67"/>
    </row>
    <row r="2555" ht="12.75" customHeight="1">
      <c r="A2555" s="1" t="s">
        <v>3276</v>
      </c>
      <c r="B2555" s="62" t="s">
        <v>3258</v>
      </c>
      <c r="C2555" s="60" t="str">
        <f t="shared" si="551"/>
        <v>Q.010.30.102</v>
      </c>
      <c r="D2555" s="1" t="s">
        <v>3256</v>
      </c>
      <c r="E2555" s="62" t="s">
        <v>45</v>
      </c>
      <c r="F2555" s="63" t="str">
        <f t="shared" si="552"/>
        <v>Nitrate (NO3), direct emissions (scope1 and downstream)</v>
      </c>
      <c r="G2555" s="64">
        <v>5.4015508</v>
      </c>
      <c r="H2555" s="10"/>
      <c r="I2555" s="65">
        <v>0.0</v>
      </c>
      <c r="J2555" s="65">
        <v>5.4015508</v>
      </c>
      <c r="K2555" s="65">
        <v>0.0</v>
      </c>
      <c r="L2555" s="65">
        <v>0.0</v>
      </c>
      <c r="N2555" s="66">
        <v>0.0</v>
      </c>
      <c r="O2555" s="10"/>
      <c r="Q2555" s="67"/>
    </row>
    <row r="2556" ht="12.75" customHeight="1">
      <c r="A2556" s="1" t="s">
        <v>3277</v>
      </c>
      <c r="B2556" s="62" t="s">
        <v>3258</v>
      </c>
      <c r="C2556" s="60" t="str">
        <f t="shared" si="551"/>
        <v>Q.010.30.103</v>
      </c>
      <c r="D2556" s="1" t="s">
        <v>3256</v>
      </c>
      <c r="E2556" s="62" t="s">
        <v>45</v>
      </c>
      <c r="F2556" s="63" t="str">
        <f t="shared" si="552"/>
        <v>Nitrogen Oxides (NOx), direct emissions (scope1 and downstream)</v>
      </c>
      <c r="G2556" s="64">
        <v>13.40034</v>
      </c>
      <c r="H2556" s="10"/>
      <c r="I2556" s="65">
        <v>6.12</v>
      </c>
      <c r="J2556" s="65">
        <v>7.28034</v>
      </c>
      <c r="K2556" s="65">
        <v>0.0</v>
      </c>
      <c r="L2556" s="65">
        <v>0.0</v>
      </c>
      <c r="N2556" s="66">
        <v>0.0</v>
      </c>
      <c r="O2556" s="10"/>
      <c r="Q2556" s="67"/>
    </row>
    <row r="2557" ht="12.75" customHeight="1">
      <c r="A2557" s="1" t="s">
        <v>3278</v>
      </c>
      <c r="B2557" s="62" t="s">
        <v>3258</v>
      </c>
      <c r="C2557" s="60" t="str">
        <f t="shared" si="551"/>
        <v>Q.010.30.104</v>
      </c>
      <c r="D2557" s="1" t="s">
        <v>3256</v>
      </c>
      <c r="E2557" s="62" t="s">
        <v>45</v>
      </c>
      <c r="F2557" s="63" t="str">
        <f t="shared" si="552"/>
        <v>Non-methane volatile organic compounds (NMVOC), direct emissions (scope1 and downstre</v>
      </c>
      <c r="G2557" s="64">
        <v>6.12</v>
      </c>
      <c r="H2557" s="10"/>
      <c r="I2557" s="65">
        <v>6.12</v>
      </c>
      <c r="J2557" s="65">
        <v>0.0</v>
      </c>
      <c r="K2557" s="65">
        <v>0.0</v>
      </c>
      <c r="L2557" s="65">
        <v>0.0</v>
      </c>
      <c r="N2557" s="66">
        <v>0.0</v>
      </c>
      <c r="O2557" s="10"/>
      <c r="Q2557" s="67"/>
    </row>
    <row r="2558" ht="12.75" customHeight="1">
      <c r="A2558" s="1" t="s">
        <v>3279</v>
      </c>
      <c r="B2558" s="62" t="s">
        <v>3258</v>
      </c>
      <c r="C2558" s="60" t="str">
        <f t="shared" si="551"/>
        <v>Q.010.30.105</v>
      </c>
      <c r="D2558" s="1" t="s">
        <v>3256</v>
      </c>
      <c r="E2558" s="62" t="s">
        <v>45</v>
      </c>
      <c r="F2558" s="63" t="str">
        <f t="shared" si="552"/>
        <v>Phosphate (PO4), direct emissions (scope1 and downstream)</v>
      </c>
      <c r="G2558" s="64">
        <v>5.380684</v>
      </c>
      <c r="H2558" s="10"/>
      <c r="I2558" s="65">
        <v>0.0</v>
      </c>
      <c r="J2558" s="65">
        <v>5.380684</v>
      </c>
      <c r="K2558" s="65">
        <v>0.0</v>
      </c>
      <c r="L2558" s="65">
        <v>0.0</v>
      </c>
      <c r="N2558" s="66">
        <v>0.0</v>
      </c>
      <c r="O2558" s="10"/>
      <c r="Q2558" s="67"/>
    </row>
    <row r="2559" ht="12.75" customHeight="1">
      <c r="A2559" s="1" t="s">
        <v>3280</v>
      </c>
      <c r="B2559" s="62" t="s">
        <v>3258</v>
      </c>
      <c r="C2559" s="60" t="str">
        <f t="shared" si="551"/>
        <v>Q.010.30.106</v>
      </c>
      <c r="D2559" s="1" t="s">
        <v>3256</v>
      </c>
      <c r="E2559" s="62" t="s">
        <v>45</v>
      </c>
      <c r="F2559" s="63" t="str">
        <f t="shared" si="552"/>
        <v>Phosphorous (P), direct emissions (scope1 and downstream)</v>
      </c>
      <c r="G2559" s="64">
        <v>16.306361277870003</v>
      </c>
      <c r="H2559" s="10"/>
      <c r="I2559" s="65">
        <v>0.00114264</v>
      </c>
      <c r="J2559" s="65">
        <v>16.305218637870002</v>
      </c>
      <c r="K2559" s="65">
        <v>0.0</v>
      </c>
      <c r="L2559" s="65">
        <v>0.0</v>
      </c>
      <c r="N2559" s="66">
        <v>0.0</v>
      </c>
      <c r="O2559" s="10"/>
      <c r="Q2559" s="67"/>
    </row>
    <row r="2560" ht="12.75" customHeight="1">
      <c r="A2560" s="1" t="s">
        <v>3281</v>
      </c>
      <c r="B2560" s="62" t="s">
        <v>3258</v>
      </c>
      <c r="C2560" s="60" t="str">
        <f t="shared" si="551"/>
        <v>Q.010.30.107</v>
      </c>
      <c r="D2560" s="1" t="s">
        <v>3256</v>
      </c>
      <c r="E2560" s="62" t="s">
        <v>45</v>
      </c>
      <c r="F2560" s="63" t="str">
        <f t="shared" si="552"/>
        <v>Phosphoric acid (H3O4P), direct emissions (scope1 and downstream)</v>
      </c>
      <c r="G2560" s="64">
        <v>5.225122119</v>
      </c>
      <c r="H2560" s="10"/>
      <c r="I2560" s="65">
        <v>0.0</v>
      </c>
      <c r="J2560" s="65">
        <v>5.225122119</v>
      </c>
      <c r="K2560" s="65">
        <v>0.0</v>
      </c>
      <c r="L2560" s="65">
        <v>0.0</v>
      </c>
      <c r="N2560" s="66">
        <v>0.0</v>
      </c>
      <c r="O2560" s="10"/>
      <c r="Q2560" s="67"/>
    </row>
    <row r="2561" ht="12.75" customHeight="1">
      <c r="A2561" s="1" t="s">
        <v>3282</v>
      </c>
      <c r="B2561" s="62" t="s">
        <v>3258</v>
      </c>
      <c r="C2561" s="60" t="str">
        <f t="shared" si="551"/>
        <v>Q.010.40.101</v>
      </c>
      <c r="D2561" s="1" t="s">
        <v>3256</v>
      </c>
      <c r="E2561" s="62" t="s">
        <v>45</v>
      </c>
      <c r="F2561" s="63" t="str">
        <f t="shared" si="552"/>
        <v>Acetone (CH3COCH3), direct emissions (scope1 and downstream)</v>
      </c>
      <c r="G2561" s="64">
        <v>0.974927919</v>
      </c>
      <c r="H2561" s="10"/>
      <c r="I2561" s="65">
        <v>0.9742362264</v>
      </c>
      <c r="J2561" s="65">
        <v>6.916926E-4</v>
      </c>
      <c r="K2561" s="65">
        <v>0.0</v>
      </c>
      <c r="L2561" s="65">
        <v>0.0</v>
      </c>
      <c r="N2561" s="66">
        <v>0.0</v>
      </c>
      <c r="O2561" s="10"/>
      <c r="Q2561" s="67"/>
    </row>
    <row r="2562" ht="12.75" customHeight="1">
      <c r="A2562" s="1" t="s">
        <v>3283</v>
      </c>
      <c r="B2562" s="62" t="s">
        <v>3258</v>
      </c>
      <c r="C2562" s="60" t="str">
        <f t="shared" si="551"/>
        <v>Q.010.40.102</v>
      </c>
      <c r="D2562" s="1" t="s">
        <v>3256</v>
      </c>
      <c r="E2562" s="62" t="s">
        <v>45</v>
      </c>
      <c r="F2562" s="63" t="str">
        <f t="shared" si="552"/>
        <v>Benzene (C6H6), direct emissions (scope1 and downstream)</v>
      </c>
      <c r="G2562" s="64">
        <v>2.5277348056</v>
      </c>
      <c r="H2562" s="10"/>
      <c r="I2562" s="65">
        <v>2.52533888</v>
      </c>
      <c r="J2562" s="65">
        <v>0.0023959256</v>
      </c>
      <c r="K2562" s="65">
        <v>0.0</v>
      </c>
      <c r="L2562" s="65">
        <v>0.0</v>
      </c>
      <c r="N2562" s="66">
        <v>0.0</v>
      </c>
      <c r="O2562" s="10"/>
      <c r="Q2562" s="67"/>
    </row>
    <row r="2563" ht="12.75" customHeight="1">
      <c r="A2563" s="1" t="s">
        <v>3284</v>
      </c>
      <c r="B2563" s="62" t="s">
        <v>3258</v>
      </c>
      <c r="C2563" s="60" t="str">
        <f t="shared" si="551"/>
        <v>Q.010.40.103</v>
      </c>
      <c r="D2563" s="1" t="s">
        <v>3256</v>
      </c>
      <c r="E2563" s="62" t="s">
        <v>45</v>
      </c>
      <c r="F2563" s="63" t="str">
        <f t="shared" si="552"/>
        <v>Benzyl Chloride (C7H7Cl ), direct emissions (scope1 and downstream)</v>
      </c>
      <c r="G2563" s="64">
        <v>0.50931432</v>
      </c>
      <c r="H2563" s="10"/>
      <c r="I2563" s="65">
        <v>0.4751892</v>
      </c>
      <c r="J2563" s="65">
        <v>0.03412512</v>
      </c>
      <c r="K2563" s="65">
        <v>0.0</v>
      </c>
      <c r="L2563" s="65">
        <v>0.0</v>
      </c>
      <c r="N2563" s="66">
        <v>0.0</v>
      </c>
      <c r="O2563" s="10"/>
      <c r="Q2563" s="67"/>
    </row>
    <row r="2564" ht="12.75" customHeight="1">
      <c r="A2564" s="1" t="s">
        <v>3285</v>
      </c>
      <c r="B2564" s="62" t="s">
        <v>3258</v>
      </c>
      <c r="C2564" s="60" t="str">
        <f t="shared" si="551"/>
        <v>Q.010.40.104</v>
      </c>
      <c r="D2564" s="1" t="s">
        <v>3256</v>
      </c>
      <c r="E2564" s="62" t="s">
        <v>45</v>
      </c>
      <c r="F2564" s="63" t="str">
        <f t="shared" si="552"/>
        <v>1-Butanol (C4H10O), direct emissions (scope1 and downstream)</v>
      </c>
      <c r="G2564" s="64">
        <v>6.434570300000001</v>
      </c>
      <c r="H2564" s="10"/>
      <c r="I2564" s="65">
        <v>6.426914112</v>
      </c>
      <c r="J2564" s="65">
        <v>0.007656188</v>
      </c>
      <c r="K2564" s="65">
        <v>0.0</v>
      </c>
      <c r="L2564" s="65">
        <v>0.0</v>
      </c>
      <c r="N2564" s="66">
        <v>0.0</v>
      </c>
      <c r="O2564" s="10"/>
      <c r="Q2564" s="67"/>
    </row>
    <row r="2565" ht="12.75" customHeight="1">
      <c r="A2565" s="1" t="s">
        <v>3286</v>
      </c>
      <c r="B2565" s="62" t="s">
        <v>3258</v>
      </c>
      <c r="C2565" s="60" t="str">
        <f t="shared" si="551"/>
        <v>Q.010.40.105</v>
      </c>
      <c r="D2565" s="1" t="s">
        <v>3256</v>
      </c>
      <c r="E2565" s="62" t="s">
        <v>45</v>
      </c>
      <c r="F2565" s="63" t="str">
        <f t="shared" si="552"/>
        <v>Butadiene (C4H6), direct emissions (scope1 and downstream)</v>
      </c>
      <c r="G2565" s="64">
        <v>9.338287751693999</v>
      </c>
      <c r="H2565" s="10"/>
      <c r="I2565" s="65">
        <v>9.338284501599999</v>
      </c>
      <c r="J2565" s="65">
        <v>3.250094E-6</v>
      </c>
      <c r="K2565" s="65">
        <v>0.0</v>
      </c>
      <c r="L2565" s="65">
        <v>0.0</v>
      </c>
      <c r="N2565" s="66">
        <v>0.0</v>
      </c>
      <c r="O2565" s="10"/>
      <c r="Q2565" s="67"/>
    </row>
    <row r="2566" ht="12.75" customHeight="1">
      <c r="A2566" s="1" t="s">
        <v>3287</v>
      </c>
      <c r="B2566" s="62" t="s">
        <v>3258</v>
      </c>
      <c r="C2566" s="60" t="str">
        <f t="shared" si="551"/>
        <v>Q.010.40.106</v>
      </c>
      <c r="D2566" s="1" t="s">
        <v>3256</v>
      </c>
      <c r="E2566" s="62" t="s">
        <v>45</v>
      </c>
      <c r="F2566" s="63" t="str">
        <f t="shared" si="552"/>
        <v>Butyl acetate (C6H12O2), direct emissions (scope1 and downstream)</v>
      </c>
      <c r="G2566" s="64">
        <v>2.782805949</v>
      </c>
      <c r="H2566" s="10"/>
      <c r="I2566" s="65">
        <v>2.778964272</v>
      </c>
      <c r="J2566" s="65">
        <v>0.003841677</v>
      </c>
      <c r="K2566" s="65">
        <v>0.0</v>
      </c>
      <c r="L2566" s="65">
        <v>0.0</v>
      </c>
      <c r="N2566" s="66">
        <v>0.0</v>
      </c>
      <c r="O2566" s="10"/>
      <c r="Q2566" s="67"/>
    </row>
    <row r="2567" ht="12.75" customHeight="1">
      <c r="A2567" s="1" t="s">
        <v>3288</v>
      </c>
      <c r="B2567" s="62" t="s">
        <v>3258</v>
      </c>
      <c r="C2567" s="60" t="str">
        <f t="shared" si="551"/>
        <v>Q.010.40.106</v>
      </c>
      <c r="D2567" s="1" t="s">
        <v>3256</v>
      </c>
      <c r="E2567" s="62" t="s">
        <v>45</v>
      </c>
      <c r="F2567" s="63" t="str">
        <f t="shared" si="552"/>
        <v>Chloroform (CHCl3), direct emissions (scope1 and downstream)</v>
      </c>
      <c r="G2567" s="64">
        <v>3.7046022279999997</v>
      </c>
      <c r="H2567" s="10"/>
      <c r="I2567" s="65">
        <v>0.60124696</v>
      </c>
      <c r="J2567" s="65">
        <v>0.013355268</v>
      </c>
      <c r="K2567" s="65">
        <v>0.0</v>
      </c>
      <c r="L2567" s="65">
        <v>3.09</v>
      </c>
      <c r="N2567" s="66">
        <v>20.6</v>
      </c>
      <c r="O2567" s="10"/>
      <c r="Q2567" s="67"/>
    </row>
    <row r="2568" ht="12.75" customHeight="1">
      <c r="A2568" s="1" t="s">
        <v>3289</v>
      </c>
      <c r="B2568" s="62" t="s">
        <v>3258</v>
      </c>
      <c r="C2568" s="60" t="str">
        <f t="shared" si="551"/>
        <v>Q.010.40.107</v>
      </c>
      <c r="D2568" s="1" t="s">
        <v>3256</v>
      </c>
      <c r="E2568" s="62" t="s">
        <v>45</v>
      </c>
      <c r="F2568" s="63" t="str">
        <f t="shared" si="552"/>
        <v>Dichloro-ethane (C2H4Cl2), direct emissions (scope1 and downstream)</v>
      </c>
      <c r="G2568" s="64">
        <v>7.081367E-4</v>
      </c>
      <c r="H2568" s="10"/>
      <c r="I2568" s="65">
        <v>0.0</v>
      </c>
      <c r="J2568" s="65">
        <v>7.081367E-4</v>
      </c>
      <c r="K2568" s="65">
        <v>0.0</v>
      </c>
      <c r="L2568" s="65">
        <v>0.0</v>
      </c>
      <c r="N2568" s="66">
        <v>0.0</v>
      </c>
      <c r="O2568" s="10"/>
      <c r="Q2568" s="67"/>
    </row>
    <row r="2569" ht="12.75" customHeight="1">
      <c r="A2569" s="1" t="s">
        <v>3290</v>
      </c>
      <c r="B2569" s="62" t="s">
        <v>3258</v>
      </c>
      <c r="C2569" s="60" t="str">
        <f t="shared" si="551"/>
        <v>Q.010.40.108</v>
      </c>
      <c r="D2569" s="1" t="s">
        <v>3256</v>
      </c>
      <c r="E2569" s="62" t="s">
        <v>45</v>
      </c>
      <c r="F2569" s="63" t="str">
        <f t="shared" si="552"/>
        <v>Dimethyl ether (C2H6O), direct emissions (scope1 and downstream)</v>
      </c>
      <c r="G2569" s="64">
        <v>1.952490188616</v>
      </c>
      <c r="H2569" s="10"/>
      <c r="I2569" s="65">
        <v>1.952292027096</v>
      </c>
      <c r="J2569" s="65">
        <v>1.9816152E-4</v>
      </c>
      <c r="K2569" s="65">
        <v>0.0</v>
      </c>
      <c r="L2569" s="65">
        <v>0.0</v>
      </c>
      <c r="N2569" s="66">
        <v>0.0</v>
      </c>
      <c r="O2569" s="10"/>
      <c r="Q2569" s="67"/>
    </row>
    <row r="2570" ht="12.75" customHeight="1">
      <c r="A2570" s="1" t="s">
        <v>3291</v>
      </c>
      <c r="B2570" s="62" t="s">
        <v>3258</v>
      </c>
      <c r="C2570" s="60" t="str">
        <f t="shared" si="551"/>
        <v>Q.010.40.109</v>
      </c>
      <c r="D2570" s="1" t="s">
        <v>3256</v>
      </c>
      <c r="E2570" s="62" t="s">
        <v>45</v>
      </c>
      <c r="F2570" s="63" t="str">
        <f t="shared" si="552"/>
        <v>Ethanol (C2H5OH), direct emissions (scope1 and downstream)</v>
      </c>
      <c r="G2570" s="64">
        <v>4.1304210138</v>
      </c>
      <c r="H2570" s="10"/>
      <c r="I2570" s="65">
        <v>4.1271665848</v>
      </c>
      <c r="J2570" s="65">
        <v>0.003254429</v>
      </c>
      <c r="K2570" s="65">
        <v>0.0</v>
      </c>
      <c r="L2570" s="65">
        <v>0.0</v>
      </c>
      <c r="N2570" s="66">
        <v>0.0</v>
      </c>
      <c r="O2570" s="10"/>
      <c r="Q2570" s="67"/>
    </row>
    <row r="2571" ht="12.75" customHeight="1">
      <c r="A2571" s="1" t="s">
        <v>3292</v>
      </c>
      <c r="B2571" s="62" t="s">
        <v>3258</v>
      </c>
      <c r="C2571" s="60" t="str">
        <f t="shared" si="551"/>
        <v>Q.010.40.110</v>
      </c>
      <c r="D2571" s="1" t="s">
        <v>3256</v>
      </c>
      <c r="E2571" s="62" t="s">
        <v>45</v>
      </c>
      <c r="F2571" s="63" t="str">
        <f t="shared" si="552"/>
        <v>Ethyl acetate  (C4H8O2), direct emissions (scope1 and downstream)</v>
      </c>
      <c r="G2571" s="64">
        <v>2.166462447</v>
      </c>
      <c r="H2571" s="10"/>
      <c r="I2571" s="65">
        <v>2.161308132</v>
      </c>
      <c r="J2571" s="65">
        <v>0.005154315</v>
      </c>
      <c r="K2571" s="65">
        <v>0.0</v>
      </c>
      <c r="L2571" s="65">
        <v>0.0</v>
      </c>
      <c r="N2571" s="66">
        <v>0.0</v>
      </c>
      <c r="O2571" s="10"/>
      <c r="Q2571" s="67"/>
    </row>
    <row r="2572" ht="12.75" customHeight="1">
      <c r="A2572" s="1" t="s">
        <v>3293</v>
      </c>
      <c r="B2572" s="62" t="s">
        <v>3258</v>
      </c>
      <c r="C2572" s="60" t="str">
        <f t="shared" si="551"/>
        <v>Q.010.40.111</v>
      </c>
      <c r="D2572" s="1" t="s">
        <v>3256</v>
      </c>
      <c r="E2572" s="62" t="s">
        <v>45</v>
      </c>
      <c r="F2572" s="63" t="str">
        <f t="shared" si="552"/>
        <v>Ethylene (C2H4), direct emissions (scope1 and downstream)</v>
      </c>
      <c r="G2572" s="64">
        <v>10.342944545092202</v>
      </c>
      <c r="H2572" s="10"/>
      <c r="I2572" s="65">
        <v>10.34294180832</v>
      </c>
      <c r="J2572" s="65">
        <v>2.7367722E-6</v>
      </c>
      <c r="K2572" s="65">
        <v>0.0</v>
      </c>
      <c r="L2572" s="65">
        <v>0.0</v>
      </c>
      <c r="N2572" s="66">
        <v>0.0</v>
      </c>
      <c r="O2572" s="10"/>
      <c r="Q2572" s="67"/>
    </row>
    <row r="2573" ht="12.75" customHeight="1">
      <c r="A2573" s="1" t="s">
        <v>3294</v>
      </c>
      <c r="B2573" s="62" t="s">
        <v>3258</v>
      </c>
      <c r="C2573" s="60" t="str">
        <f t="shared" si="551"/>
        <v>Q.010.40.112</v>
      </c>
      <c r="D2573" s="1" t="s">
        <v>3256</v>
      </c>
      <c r="E2573" s="62" t="s">
        <v>45</v>
      </c>
      <c r="F2573" s="63" t="str">
        <f t="shared" si="552"/>
        <v>Formaldehyde (CH2O), direct emissions (scope1 and downstream)</v>
      </c>
      <c r="G2573" s="64">
        <v>18.08109084</v>
      </c>
      <c r="H2573" s="10"/>
      <c r="I2573" s="65">
        <v>17.561295440000002</v>
      </c>
      <c r="J2573" s="65">
        <v>0.5197954</v>
      </c>
      <c r="K2573" s="65">
        <v>0.0</v>
      </c>
      <c r="L2573" s="65">
        <v>0.0</v>
      </c>
      <c r="N2573" s="66">
        <v>0.0</v>
      </c>
      <c r="O2573" s="10"/>
      <c r="Q2573" s="67"/>
    </row>
    <row r="2574" ht="12.75" customHeight="1">
      <c r="A2574" s="1" t="s">
        <v>3295</v>
      </c>
      <c r="B2574" s="62" t="s">
        <v>3258</v>
      </c>
      <c r="C2574" s="60" t="str">
        <f t="shared" si="551"/>
        <v>Q.010.40.113</v>
      </c>
      <c r="D2574" s="1" t="s">
        <v>3256</v>
      </c>
      <c r="E2574" s="62" t="s">
        <v>45</v>
      </c>
      <c r="F2574" s="63" t="str">
        <f t="shared" si="552"/>
        <v>Hexane (C6H14), direct emissions (scope1 and downstream)</v>
      </c>
      <c r="G2574" s="64">
        <v>5.0107195109927</v>
      </c>
      <c r="H2574" s="10"/>
      <c r="I2574" s="65">
        <v>5.0107169231999995</v>
      </c>
      <c r="J2574" s="65">
        <v>2.5877927E-6</v>
      </c>
      <c r="K2574" s="65">
        <v>0.0</v>
      </c>
      <c r="L2574" s="65">
        <v>0.0</v>
      </c>
      <c r="N2574" s="66">
        <v>0.0</v>
      </c>
      <c r="O2574" s="10"/>
      <c r="Q2574" s="67"/>
    </row>
    <row r="2575" ht="12.75" customHeight="1">
      <c r="A2575" s="1" t="s">
        <v>3296</v>
      </c>
      <c r="B2575" s="62" t="s">
        <v>3258</v>
      </c>
      <c r="C2575" s="60" t="str">
        <f t="shared" si="551"/>
        <v>Q.010.40.114</v>
      </c>
      <c r="D2575" s="1" t="s">
        <v>3256</v>
      </c>
      <c r="E2575" s="62" t="s">
        <v>45</v>
      </c>
      <c r="F2575" s="63" t="str">
        <f t="shared" si="552"/>
        <v>Isoprene (C5H8), direct emissions (scope1 and downstream)</v>
      </c>
      <c r="G2575" s="64">
        <v>11.324562805581001</v>
      </c>
      <c r="H2575" s="10"/>
      <c r="I2575" s="65">
        <v>11.3245541272</v>
      </c>
      <c r="J2575" s="65">
        <v>8.678381E-6</v>
      </c>
      <c r="K2575" s="65">
        <v>0.0</v>
      </c>
      <c r="L2575" s="65">
        <v>0.0</v>
      </c>
      <c r="N2575" s="66">
        <v>0.0</v>
      </c>
      <c r="O2575" s="10"/>
      <c r="Q2575" s="67"/>
    </row>
    <row r="2576" ht="12.75" customHeight="1">
      <c r="A2576" s="1" t="s">
        <v>3297</v>
      </c>
      <c r="B2576" s="62" t="s">
        <v>3258</v>
      </c>
      <c r="C2576" s="60" t="str">
        <f t="shared" si="551"/>
        <v>Q.010.40.115</v>
      </c>
      <c r="D2576" s="1" t="s">
        <v>3256</v>
      </c>
      <c r="E2576" s="62" t="s">
        <v>45</v>
      </c>
      <c r="F2576" s="63" t="str">
        <f t="shared" si="552"/>
        <v>Methanol (CH3OH), direct emissions (scope1 and downstream)</v>
      </c>
      <c r="G2576" s="64">
        <v>1.4461776141</v>
      </c>
      <c r="H2576" s="10"/>
      <c r="I2576" s="65">
        <v>1.4451809976</v>
      </c>
      <c r="J2576" s="65">
        <v>9.966165E-4</v>
      </c>
      <c r="K2576" s="65">
        <v>0.0</v>
      </c>
      <c r="L2576" s="65">
        <v>0.0</v>
      </c>
      <c r="N2576" s="66">
        <v>0.0</v>
      </c>
      <c r="O2576" s="10"/>
      <c r="Q2576" s="67"/>
    </row>
    <row r="2577" ht="12.75" customHeight="1">
      <c r="A2577" s="1" t="s">
        <v>3298</v>
      </c>
      <c r="B2577" s="62" t="s">
        <v>3258</v>
      </c>
      <c r="C2577" s="60" t="str">
        <f t="shared" si="551"/>
        <v>Q.010.40.116</v>
      </c>
      <c r="D2577" s="1" t="s">
        <v>3256</v>
      </c>
      <c r="E2577" s="62" t="s">
        <v>45</v>
      </c>
      <c r="F2577" s="63" t="str">
        <f t="shared" si="552"/>
        <v>1-Propanol (C3H8O), direct emissions (scope1 and downstream)</v>
      </c>
      <c r="G2577" s="64">
        <v>5.8032739974</v>
      </c>
      <c r="H2577" s="10"/>
      <c r="I2577" s="65">
        <v>5.8020163272</v>
      </c>
      <c r="J2577" s="65">
        <v>0.0012576702</v>
      </c>
      <c r="K2577" s="65">
        <v>0.0</v>
      </c>
      <c r="L2577" s="65">
        <v>0.0</v>
      </c>
      <c r="N2577" s="66">
        <v>0.0</v>
      </c>
      <c r="O2577" s="10"/>
      <c r="Q2577" s="67"/>
    </row>
    <row r="2578" ht="12.75" customHeight="1">
      <c r="A2578" s="1" t="s">
        <v>3299</v>
      </c>
      <c r="B2578" s="62" t="s">
        <v>3258</v>
      </c>
      <c r="C2578" s="60" t="str">
        <f t="shared" si="551"/>
        <v>Q.010.40.117</v>
      </c>
      <c r="D2578" s="1" t="s">
        <v>3256</v>
      </c>
      <c r="E2578" s="62" t="s">
        <v>45</v>
      </c>
      <c r="F2578" s="63" t="str">
        <f t="shared" si="552"/>
        <v>Naphthalene (C10H8), direct emissions (scope1 and downstream)</v>
      </c>
      <c r="G2578" s="64">
        <v>1.167272055</v>
      </c>
      <c r="H2578" s="10"/>
      <c r="I2578" s="65">
        <v>1.156436</v>
      </c>
      <c r="J2578" s="65">
        <v>0.010836055</v>
      </c>
      <c r="K2578" s="65">
        <v>0.0</v>
      </c>
      <c r="L2578" s="65">
        <v>0.0</v>
      </c>
      <c r="N2578" s="66">
        <v>0.0</v>
      </c>
      <c r="O2578" s="10"/>
      <c r="Q2578" s="67"/>
    </row>
    <row r="2579" ht="12.75" customHeight="1">
      <c r="A2579" s="1" t="s">
        <v>3300</v>
      </c>
      <c r="B2579" s="62" t="s">
        <v>3258</v>
      </c>
      <c r="C2579" s="60" t="str">
        <f t="shared" si="551"/>
        <v>Q.010.40.118</v>
      </c>
      <c r="D2579" s="1" t="s">
        <v>3256</v>
      </c>
      <c r="E2579" s="62" t="s">
        <v>45</v>
      </c>
      <c r="F2579" s="63" t="str">
        <f t="shared" si="552"/>
        <v>Propylene (C3H6), direct emissions (scope1 and downstream)</v>
      </c>
      <c r="G2579" s="64">
        <v>11.6280513017629</v>
      </c>
      <c r="H2579" s="10"/>
      <c r="I2579" s="65">
        <v>11.62804942728</v>
      </c>
      <c r="J2579" s="65">
        <v>1.8744829E-6</v>
      </c>
      <c r="K2579" s="65">
        <v>0.0</v>
      </c>
      <c r="L2579" s="65">
        <v>0.0</v>
      </c>
      <c r="N2579" s="66">
        <v>0.0</v>
      </c>
      <c r="O2579" s="10"/>
      <c r="Q2579" s="67"/>
    </row>
    <row r="2580" ht="12.75" customHeight="1">
      <c r="A2580" s="1" t="s">
        <v>3301</v>
      </c>
      <c r="B2580" s="62" t="s">
        <v>3258</v>
      </c>
      <c r="C2580" s="60" t="str">
        <f t="shared" si="551"/>
        <v>Q.010.40.119</v>
      </c>
      <c r="D2580" s="1" t="s">
        <v>3256</v>
      </c>
      <c r="E2580" s="62" t="s">
        <v>45</v>
      </c>
      <c r="F2580" s="63" t="str">
        <f t="shared" si="552"/>
        <v>Styrene (C8H8), direct emissions (scope1 and downstream)</v>
      </c>
      <c r="G2580" s="64">
        <v>1.9442012034</v>
      </c>
      <c r="H2580" s="10"/>
      <c r="I2580" s="65">
        <v>1.943545</v>
      </c>
      <c r="J2580" s="65">
        <v>6.562034E-4</v>
      </c>
      <c r="K2580" s="65">
        <v>0.0</v>
      </c>
      <c r="L2580" s="65">
        <v>0.0</v>
      </c>
      <c r="N2580" s="66">
        <v>0.0</v>
      </c>
      <c r="O2580" s="10"/>
      <c r="Q2580" s="67"/>
    </row>
    <row r="2581" ht="12.75" customHeight="1">
      <c r="A2581" s="1" t="s">
        <v>3302</v>
      </c>
      <c r="B2581" s="62" t="s">
        <v>3258</v>
      </c>
      <c r="C2581" s="60" t="str">
        <f t="shared" si="551"/>
        <v>Q.010.40.120</v>
      </c>
      <c r="D2581" s="1" t="s">
        <v>3256</v>
      </c>
      <c r="E2581" s="62" t="s">
        <v>45</v>
      </c>
      <c r="F2581" s="63" t="str">
        <f t="shared" si="552"/>
        <v>Tetrachloroethylene (C2Cl4), direct emissions (scope1 and downstream)</v>
      </c>
      <c r="G2581" s="64">
        <v>1.743315173</v>
      </c>
      <c r="H2581" s="10"/>
      <c r="I2581" s="65">
        <v>0.7889752</v>
      </c>
      <c r="J2581" s="65">
        <v>0.003339973</v>
      </c>
      <c r="K2581" s="65">
        <v>0.0</v>
      </c>
      <c r="L2581" s="65">
        <v>0.951</v>
      </c>
      <c r="N2581" s="66">
        <v>6.34</v>
      </c>
      <c r="O2581" s="10"/>
      <c r="Q2581" s="67"/>
    </row>
    <row r="2582" ht="12.75" customHeight="1">
      <c r="A2582" s="1" t="s">
        <v>3303</v>
      </c>
      <c r="B2582" s="62" t="s">
        <v>3258</v>
      </c>
      <c r="C2582" s="60" t="str">
        <f t="shared" si="551"/>
        <v>Q.010.40.121</v>
      </c>
      <c r="D2582" s="1" t="s">
        <v>3256</v>
      </c>
      <c r="E2582" s="62" t="s">
        <v>45</v>
      </c>
      <c r="F2582" s="63" t="str">
        <f t="shared" si="552"/>
        <v>Toluene (C6H5CH3), direct emissions (scope1 and downstream)</v>
      </c>
      <c r="G2582" s="64">
        <v>6.610846650976001</v>
      </c>
      <c r="H2582" s="10"/>
      <c r="I2582" s="65">
        <v>6.610059501676001</v>
      </c>
      <c r="J2582" s="65">
        <v>7.871493E-4</v>
      </c>
      <c r="K2582" s="65">
        <v>0.0</v>
      </c>
      <c r="L2582" s="65">
        <v>0.0</v>
      </c>
      <c r="N2582" s="66">
        <v>0.0</v>
      </c>
      <c r="O2582" s="10"/>
      <c r="Q2582" s="67"/>
    </row>
    <row r="2583" ht="12.75" customHeight="1">
      <c r="A2583" s="1" t="s">
        <v>3304</v>
      </c>
      <c r="B2583" s="62" t="s">
        <v>3258</v>
      </c>
      <c r="C2583" s="60" t="str">
        <f t="shared" si="551"/>
        <v>Q.010.40.122</v>
      </c>
      <c r="D2583" s="1" t="s">
        <v>3256</v>
      </c>
      <c r="E2583" s="62" t="s">
        <v>45</v>
      </c>
      <c r="F2583" s="63" t="str">
        <f t="shared" si="552"/>
        <v>Trichloroethylene (C2HCl3), direct emissions (scope1 and downstream)</v>
      </c>
      <c r="G2583" s="64">
        <v>3.3919878221100004</v>
      </c>
      <c r="H2583" s="10"/>
      <c r="I2583" s="65">
        <v>3.38519564</v>
      </c>
      <c r="J2583" s="65">
        <v>1.9218211E-4</v>
      </c>
      <c r="K2583" s="65">
        <v>0.0</v>
      </c>
      <c r="L2583" s="65">
        <v>0.0066</v>
      </c>
      <c r="N2583" s="66">
        <v>0.044000000000000004</v>
      </c>
      <c r="O2583" s="10"/>
      <c r="Q2583" s="67"/>
    </row>
    <row r="2584" ht="12.75" customHeight="1">
      <c r="A2584" s="1" t="s">
        <v>3305</v>
      </c>
      <c r="B2584" s="62" t="s">
        <v>3258</v>
      </c>
      <c r="C2584" s="60" t="str">
        <f t="shared" si="551"/>
        <v>Q.010.40.123</v>
      </c>
      <c r="D2584" s="1" t="s">
        <v>3256</v>
      </c>
      <c r="E2584" s="62" t="s">
        <v>45</v>
      </c>
      <c r="F2584" s="63" t="str">
        <f t="shared" si="552"/>
        <v>Turpentine, direct emissions (scope1 and downstream)</v>
      </c>
      <c r="G2584" s="64">
        <v>0.0021294387</v>
      </c>
      <c r="H2584" s="10"/>
      <c r="I2584" s="65">
        <v>0.0</v>
      </c>
      <c r="J2584" s="65">
        <v>0.0021294387</v>
      </c>
      <c r="K2584" s="65">
        <v>0.0</v>
      </c>
      <c r="L2584" s="65">
        <v>0.0</v>
      </c>
      <c r="N2584" s="66">
        <v>0.0</v>
      </c>
      <c r="O2584" s="10"/>
      <c r="Q2584" s="67"/>
    </row>
    <row r="2585" ht="12.75" customHeight="1">
      <c r="A2585" s="1" t="s">
        <v>3306</v>
      </c>
      <c r="B2585" s="62" t="s">
        <v>3258</v>
      </c>
      <c r="C2585" s="60" t="str">
        <f t="shared" si="551"/>
        <v>Q.010.40.123</v>
      </c>
      <c r="D2585" s="1" t="s">
        <v>3256</v>
      </c>
      <c r="E2585" s="62" t="s">
        <v>45</v>
      </c>
      <c r="F2585" s="63" t="str">
        <f t="shared" si="552"/>
        <v>White spirit, direct emissions (scope1 and downstream)</v>
      </c>
      <c r="G2585" s="64">
        <v>0.048662735575</v>
      </c>
      <c r="H2585" s="10"/>
      <c r="I2585" s="65">
        <v>0.04864968</v>
      </c>
      <c r="J2585" s="65">
        <v>1.3055575E-5</v>
      </c>
      <c r="K2585" s="65">
        <v>0.0</v>
      </c>
      <c r="L2585" s="65">
        <v>0.0</v>
      </c>
      <c r="N2585" s="66">
        <v>0.0</v>
      </c>
      <c r="O2585" s="10"/>
      <c r="Q2585" s="67"/>
    </row>
    <row r="2586" ht="12.75" customHeight="1">
      <c r="A2586" s="1" t="s">
        <v>3307</v>
      </c>
      <c r="B2586" s="62" t="s">
        <v>3258</v>
      </c>
      <c r="C2586" s="60" t="str">
        <f t="shared" si="551"/>
        <v>Q.010.40.124</v>
      </c>
      <c r="D2586" s="1" t="s">
        <v>3256</v>
      </c>
      <c r="E2586" s="62" t="s">
        <v>45</v>
      </c>
      <c r="F2586" s="63" t="str">
        <f t="shared" si="552"/>
        <v>Xylene (C6H4(CH3)2), direct emissions (scope1 and downstream)</v>
      </c>
      <c r="G2586" s="64">
        <v>0.02816762752</v>
      </c>
      <c r="H2586" s="10"/>
      <c r="I2586" s="65">
        <v>0.027952704</v>
      </c>
      <c r="J2586" s="65">
        <v>2.1492352E-4</v>
      </c>
      <c r="K2586" s="65">
        <v>0.0</v>
      </c>
      <c r="L2586" s="65">
        <v>0.0</v>
      </c>
      <c r="N2586" s="66">
        <v>0.0</v>
      </c>
      <c r="O2586" s="10"/>
      <c r="Q2586" s="67"/>
    </row>
    <row r="2587" ht="12.75" customHeight="1">
      <c r="A2587" s="1" t="s">
        <v>3308</v>
      </c>
      <c r="B2587" s="62" t="s">
        <v>3258</v>
      </c>
      <c r="C2587" s="60" t="str">
        <f t="shared" si="551"/>
        <v>Q.010.40.125</v>
      </c>
      <c r="D2587" s="1" t="s">
        <v>3256</v>
      </c>
      <c r="E2587" s="62" t="s">
        <v>45</v>
      </c>
      <c r="F2587" s="63" t="str">
        <f t="shared" si="552"/>
        <v>Particulates PM2.5, direct emissions (scope1 and downstream)</v>
      </c>
      <c r="G2587" s="64">
        <v>40.1</v>
      </c>
      <c r="H2587" s="10"/>
      <c r="I2587" s="65">
        <v>40.1</v>
      </c>
      <c r="J2587" s="65">
        <v>0.0</v>
      </c>
      <c r="K2587" s="65">
        <v>0.0</v>
      </c>
      <c r="L2587" s="65">
        <v>0.0</v>
      </c>
      <c r="N2587" s="66">
        <v>0.0</v>
      </c>
      <c r="O2587" s="10"/>
      <c r="Q2587" s="67"/>
    </row>
  </sheetData>
  <printOptions/>
  <pageMargins bottom="0.75" footer="0.0" header="0.0" left="0.7" right="0.7" top="0.75"/>
  <pageSetup orientation="landscape"/>
  <drawing r:id="rId1"/>
</worksheet>
</file>